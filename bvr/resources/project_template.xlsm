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embeddings/oleObject7.bin" ContentType="application/vnd.openxmlformats-officedocument.oleObject"/>
  <Override PartName="/xl/embeddings/oleObject8.bin" ContentType="application/vnd.openxmlformats-officedocument.oleObject"/>
  <Override PartName="/xl/drawings/drawing3.xml" ContentType="application/vnd.openxmlformats-officedocument.drawing+xml"/>
  <Override PartName="/xl/embeddings/oleObject9.bin" ContentType="application/vnd.openxmlformats-officedocument.oleObject"/>
  <Override PartName="/xl/embeddings/oleObject10.bin" ContentType="application/vnd.openxmlformats-officedocument.oleObject"/>
  <Override PartName="/xl/embeddings/oleObject11.bin" ContentType="application/vnd.openxmlformats-officedocument.oleObject"/>
  <Override PartName="/xl/drawings/drawing4.xml" ContentType="application/vnd.openxmlformats-officedocument.drawing+xml"/>
  <Override PartName="/xl/drawings/drawing5.xml" ContentType="application/vnd.openxmlformats-officedocument.drawing+xml"/>
  <Override PartName="/xl/embeddings/oleObject12.bin" ContentType="application/vnd.openxmlformats-officedocument.oleObject"/>
  <Override PartName="/xl/embeddings/oleObject13.bin" ContentType="application/vnd.openxmlformats-officedocument.oleObject"/>
  <Override PartName="/xl/embeddings/oleObject14.bin" ContentType="application/vnd.openxmlformats-officedocument.oleObject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527" codeName="{564CA151-5A5B-428A-3C10-775976492406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poisk-40\Desktop\ПРОЕКТЫ!!!\"/>
    </mc:Choice>
  </mc:AlternateContent>
  <xr:revisionPtr revIDLastSave="0" documentId="13_ncr:1_{B430E147-D046-4587-9282-B0ED301960A9}" xr6:coauthVersionLast="45" xr6:coauthVersionMax="45" xr10:uidLastSave="{00000000-0000-0000-0000-000000000000}"/>
  <bookViews>
    <workbookView xWindow="2190" yWindow="1305" windowWidth="14490" windowHeight="19260" tabRatio="850" firstSheet="2" activeTab="2" xr2:uid="{00000000-000D-0000-FFFF-FFFF00000000}"/>
  </bookViews>
  <sheets>
    <sheet name="Зарядная карта" sheetId="1" r:id="rId1"/>
    <sheet name="Каталог скважин" sheetId="2" r:id="rId2"/>
    <sheet name="Параметры" sheetId="3" r:id="rId3"/>
    <sheet name="&lt;" sheetId="4" r:id="rId4"/>
    <sheet name="Обложка" sheetId="5" r:id="rId5"/>
    <sheet name="АКТ" sheetId="6" r:id="rId6"/>
    <sheet name="2" sheetId="7" r:id="rId7"/>
    <sheet name="Распорядок" sheetId="8" r:id="rId8"/>
    <sheet name="Таблица" sheetId="9" r:id="rId9"/>
    <sheet name="5" sheetId="10" r:id="rId10"/>
    <sheet name="7" sheetId="11" r:id="rId11"/>
    <sheet name="8" sheetId="12" r:id="rId12"/>
    <sheet name="не печатать!!!" sheetId="13" state="hidden" r:id="rId13"/>
    <sheet name="11" sheetId="14" r:id="rId14"/>
    <sheet name="12" sheetId="15" r:id="rId15"/>
    <sheet name="13" sheetId="16" r:id="rId16"/>
    <sheet name="14" sheetId="17" r:id="rId17"/>
    <sheet name="15" sheetId="18" r:id="rId18"/>
    <sheet name="16" sheetId="19" r:id="rId19"/>
    <sheet name="17" sheetId="20" r:id="rId20"/>
    <sheet name="&gt;" sheetId="21" r:id="rId21"/>
    <sheet name="Справочник" sheetId="22" r:id="rId22"/>
  </sheets>
  <definedNames>
    <definedName name="_xlnm._FilterDatabase" localSheetId="1" hidden="1">'Каталог скважин'!$D$7:$G$2407</definedName>
    <definedName name="d_скважины">Параметры!$D$26</definedName>
    <definedName name="h_уступа">Параметры!$D$45</definedName>
    <definedName name="l_скважины">Параметры!$D$44</definedName>
    <definedName name="n_скважин">Параметры!$D$40</definedName>
    <definedName name="S_массива">Параметры!$D$35</definedName>
    <definedName name="ДатаВзрыва">Параметры!$C$9</definedName>
    <definedName name="_xlnm.Print_Titles" localSheetId="1">'Каталог скважин'!$7:$7</definedName>
    <definedName name="КИС">Параметры!$D$27</definedName>
    <definedName name="_xlnm.Print_Area" localSheetId="13">'11'!$A$1:$I$38</definedName>
    <definedName name="_xlnm.Print_Area" localSheetId="14">'12'!$A$1:$AB$48</definedName>
    <definedName name="_xlnm.Print_Area" localSheetId="15">'13'!$A$1:$AE$67</definedName>
    <definedName name="_xlnm.Print_Area" localSheetId="18">'16'!$A$1:$O$35</definedName>
    <definedName name="_xlnm.Print_Area" localSheetId="6">'2'!$A$1:$E$22</definedName>
    <definedName name="_xlnm.Print_Area" localSheetId="9">'5'!$A$1:$J$45</definedName>
    <definedName name="_xlnm.Print_Area" localSheetId="10">'7'!$A$1:$M$44</definedName>
    <definedName name="_xlnm.Print_Area" localSheetId="11">'8'!$A$1:$I$55</definedName>
    <definedName name="_xlnm.Print_Area" localSheetId="5">АКТ!$A$1:$J$40</definedName>
    <definedName name="_xlnm.Print_Area" localSheetId="0">'Зарядная карта'!$A$1:$BJ$46</definedName>
    <definedName name="_xlnm.Print_Area" localSheetId="12">'не печатать!!!'!$A$1:$L$43</definedName>
    <definedName name="_xlnm.Print_Area" localSheetId="8">Таблица!$A$1:$AA$33</definedName>
    <definedName name="Плотность_ВВ">Параметры!$D$22</definedName>
    <definedName name="Плотность_ДТ">Параметры!$D$25</definedName>
    <definedName name="Селитра">Таблица1[#All]</definedName>
    <definedName name="Скважины">'Каталог скважин'!$D$8:$D$2407</definedName>
    <definedName name="_xlnm.Print_Area" localSheetId="17">'15'!$A$1:$N$47</definedName>
  </definedNames>
  <calcPr calcId="191029" forceFullCalc="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22" i="3" l="1"/>
  <c r="D56" i="3" l="1"/>
  <c r="B61" i="3"/>
  <c r="K18" i="11" l="1"/>
  <c r="B15" i="8"/>
  <c r="B16" i="8"/>
  <c r="C14" i="15"/>
  <c r="B26" i="12" l="1"/>
  <c r="O28" i="9"/>
  <c r="B49" i="12" l="1"/>
  <c r="F49" i="12"/>
  <c r="B42" i="12"/>
  <c r="P24" i="22" l="1"/>
  <c r="P23" i="22"/>
  <c r="P19" i="22"/>
  <c r="P18" i="22"/>
  <c r="P17" i="22"/>
  <c r="P16" i="22"/>
  <c r="P15" i="22"/>
  <c r="P14" i="22"/>
  <c r="P12" i="22"/>
  <c r="P11" i="22"/>
  <c r="B39" i="12" s="1"/>
  <c r="P10" i="22"/>
  <c r="P9" i="22"/>
  <c r="P8" i="22"/>
  <c r="P7" i="22"/>
  <c r="P6" i="22"/>
  <c r="P5" i="22"/>
  <c r="P4" i="22"/>
  <c r="P3" i="22"/>
  <c r="C27" i="20"/>
  <c r="B25" i="20"/>
  <c r="F26" i="19"/>
  <c r="B32" i="18"/>
  <c r="B13" i="18"/>
  <c r="E43" i="17"/>
  <c r="E42" i="17"/>
  <c r="D29" i="17"/>
  <c r="E27" i="17"/>
  <c r="E24" i="17"/>
  <c r="E19" i="17"/>
  <c r="C13" i="17"/>
  <c r="C8" i="17"/>
  <c r="H49" i="16"/>
  <c r="H7" i="16"/>
  <c r="C32" i="15"/>
  <c r="P23" i="15"/>
  <c r="S24" i="15" s="1"/>
  <c r="N23" i="15"/>
  <c r="K18" i="15"/>
  <c r="Z17" i="15"/>
  <c r="Q17" i="15"/>
  <c r="N17" i="15"/>
  <c r="I17" i="15"/>
  <c r="U17" i="15" s="1"/>
  <c r="D12" i="15"/>
  <c r="C10" i="15"/>
  <c r="A37" i="14"/>
  <c r="C35" i="14"/>
  <c r="C38" i="14" s="1"/>
  <c r="B35" i="14"/>
  <c r="B38" i="14" s="1"/>
  <c r="A35" i="14"/>
  <c r="A38" i="14" s="1"/>
  <c r="A34" i="14"/>
  <c r="A9" i="14"/>
  <c r="H8" i="14"/>
  <c r="G8" i="14"/>
  <c r="D8" i="14"/>
  <c r="C8" i="14"/>
  <c r="B8" i="14"/>
  <c r="A6" i="14"/>
  <c r="G13" i="13"/>
  <c r="B13" i="13"/>
  <c r="B2" i="13"/>
  <c r="I37" i="12"/>
  <c r="H37" i="12"/>
  <c r="G37" i="12"/>
  <c r="F37" i="12"/>
  <c r="E37" i="12"/>
  <c r="I35" i="12"/>
  <c r="H35" i="12"/>
  <c r="G35" i="12"/>
  <c r="F35" i="12"/>
  <c r="E35" i="12"/>
  <c r="B31" i="12"/>
  <c r="B28" i="12"/>
  <c r="B27" i="12"/>
  <c r="B30" i="12"/>
  <c r="F19" i="12"/>
  <c r="E19" i="12"/>
  <c r="B18" i="12"/>
  <c r="C15" i="12"/>
  <c r="G25" i="12" s="1"/>
  <c r="B14" i="12"/>
  <c r="D13" i="12"/>
  <c r="D19" i="12" s="1"/>
  <c r="C13" i="12"/>
  <c r="C19" i="12" s="1"/>
  <c r="B13" i="12"/>
  <c r="B19" i="12" s="1"/>
  <c r="B10" i="12"/>
  <c r="C34" i="11"/>
  <c r="E31" i="11"/>
  <c r="E36" i="11" s="1"/>
  <c r="D31" i="11"/>
  <c r="D36" i="11" s="1"/>
  <c r="C31" i="11"/>
  <c r="C36" i="11" s="1"/>
  <c r="C29" i="11"/>
  <c r="K24" i="11"/>
  <c r="K23" i="11"/>
  <c r="K22" i="11"/>
  <c r="K21" i="11"/>
  <c r="K20" i="11"/>
  <c r="K19" i="11"/>
  <c r="C3" i="11"/>
  <c r="F41" i="10"/>
  <c r="D30" i="10"/>
  <c r="B25" i="10"/>
  <c r="B22" i="10"/>
  <c r="D19" i="10"/>
  <c r="B34" i="12" s="1"/>
  <c r="B16" i="10"/>
  <c r="C13" i="10"/>
  <c r="C10" i="10"/>
  <c r="C7" i="10"/>
  <c r="F2" i="10"/>
  <c r="F30" i="9"/>
  <c r="Q30" i="9" s="1"/>
  <c r="R28" i="9"/>
  <c r="G28" i="9"/>
  <c r="C28" i="9"/>
  <c r="S24" i="9"/>
  <c r="S22" i="9"/>
  <c r="B3" i="9"/>
  <c r="E39" i="8"/>
  <c r="B37" i="8"/>
  <c r="B33" i="8"/>
  <c r="B13" i="8"/>
  <c r="I12" i="8"/>
  <c r="H12" i="8"/>
  <c r="D11" i="8"/>
  <c r="F9" i="8"/>
  <c r="G12" i="8" s="1"/>
  <c r="E9" i="8"/>
  <c r="F12" i="8" s="1"/>
  <c r="D9" i="8"/>
  <c r="E12" i="8" s="1"/>
  <c r="H8" i="8"/>
  <c r="E8" i="8"/>
  <c r="F10" i="8" s="1"/>
  <c r="I10" i="8" s="1"/>
  <c r="B3" i="8"/>
  <c r="C2" i="8"/>
  <c r="H32" i="6"/>
  <c r="H29" i="6"/>
  <c r="F19" i="6"/>
  <c r="B14" i="6"/>
  <c r="I11" i="6"/>
  <c r="D11" i="6"/>
  <c r="C11" i="6"/>
  <c r="H9" i="6"/>
  <c r="B15" i="6" s="1"/>
  <c r="F9" i="6"/>
  <c r="B3" i="6"/>
  <c r="A49" i="5"/>
  <c r="A23" i="5"/>
  <c r="A22" i="5"/>
  <c r="A3" i="5"/>
  <c r="C69" i="3"/>
  <c r="C56" i="3" s="1"/>
  <c r="D50" i="3"/>
  <c r="P28" i="15" s="1"/>
  <c r="D43" i="3"/>
  <c r="D34" i="3"/>
  <c r="Q24" i="15" s="1"/>
  <c r="D25" i="3"/>
  <c r="D24" i="3"/>
  <c r="D36" i="3"/>
  <c r="D2348" i="2" a="1"/>
  <c r="D2384" i="2" s="1"/>
  <c r="D2288" i="2" a="1"/>
  <c r="D2288" i="2" s="1"/>
  <c r="E2288" i="2" s="1"/>
  <c r="D2228" i="2" a="1"/>
  <c r="D2286" i="2" s="1"/>
  <c r="D2168" i="2" a="1"/>
  <c r="D2217" i="2" s="1"/>
  <c r="I2217" i="2" s="1"/>
  <c r="D2108" i="2" a="1"/>
  <c r="D2115" i="2" s="1"/>
  <c r="D2048" i="2" a="1"/>
  <c r="D2067" i="2" s="1"/>
  <c r="D1988" i="2" a="1"/>
  <c r="D2013" i="2" s="1"/>
  <c r="D1928" i="2" a="1"/>
  <c r="D1986" i="2" s="1"/>
  <c r="D1868" i="2" a="1"/>
  <c r="D1908" i="2" s="1"/>
  <c r="I1908" i="2" s="1"/>
  <c r="D1808" i="2" a="1"/>
  <c r="D1830" i="2" s="1"/>
  <c r="D1748" i="2" a="1"/>
  <c r="D1805" i="2" s="1"/>
  <c r="I1805" i="2" s="1"/>
  <c r="D1688" i="2" a="1"/>
  <c r="D1721" i="2" s="1"/>
  <c r="H1721" i="2" s="1"/>
  <c r="D1628" i="2" a="1"/>
  <c r="D1685" i="2" s="1"/>
  <c r="D1568" i="2" a="1"/>
  <c r="D1624" i="2" s="1"/>
  <c r="E1624" i="2" s="1"/>
  <c r="D1508" i="2" a="1"/>
  <c r="D1522" i="2" s="1"/>
  <c r="F1522" i="2" s="1"/>
  <c r="D1448" i="2" a="1"/>
  <c r="D1504" i="2" s="1"/>
  <c r="H1504" i="2" s="1"/>
  <c r="D1388" i="2" a="1"/>
  <c r="D1434" i="2" s="1"/>
  <c r="D1328" i="2" a="1"/>
  <c r="D1369" i="2" s="1"/>
  <c r="D1268" i="2" a="1"/>
  <c r="D1313" i="2" s="1"/>
  <c r="D1208" i="2" a="1"/>
  <c r="D1250" i="2" s="1"/>
  <c r="D1148" i="2" a="1"/>
  <c r="D1205" i="2" s="1"/>
  <c r="D1088" i="2" a="1"/>
  <c r="D1124" i="2" s="1"/>
  <c r="N1124" i="2" s="1"/>
  <c r="D1028" i="2" a="1"/>
  <c r="D1037" i="2" s="1"/>
  <c r="D968" i="2" a="1"/>
  <c r="D1016" i="2" s="1"/>
  <c r="I1016" i="2" s="1"/>
  <c r="D908" i="2" a="1"/>
  <c r="D947" i="2" s="1"/>
  <c r="D848" i="2" a="1"/>
  <c r="D901" i="2" s="1"/>
  <c r="D788" i="2" a="1"/>
  <c r="D842" i="2" s="1"/>
  <c r="E842" i="2" s="1"/>
  <c r="D728" i="2" a="1"/>
  <c r="D774" i="2" s="1"/>
  <c r="N774" i="2" s="1"/>
  <c r="D668" i="2" a="1"/>
  <c r="D726" i="2" s="1"/>
  <c r="F726" i="2" s="1"/>
  <c r="D608" i="2" a="1"/>
  <c r="D548" i="2" a="1"/>
  <c r="D584" i="2" s="1"/>
  <c r="D488" i="2" a="1"/>
  <c r="D428" i="2" a="1"/>
  <c r="D428" i="2" s="1"/>
  <c r="F428" i="2" s="1"/>
  <c r="D368" i="2" a="1"/>
  <c r="D426" i="2" s="1"/>
  <c r="D308" i="2" a="1"/>
  <c r="D352" i="2" s="1"/>
  <c r="D248" i="2" a="1"/>
  <c r="D257" i="2" s="1"/>
  <c r="F257" i="2" s="1"/>
  <c r="D188" i="2" a="1"/>
  <c r="D193" i="2" s="1"/>
  <c r="H193" i="2" s="1"/>
  <c r="D128" i="2" a="1"/>
  <c r="D172" i="2" s="1"/>
  <c r="D68" i="2" a="1"/>
  <c r="D124" i="2" s="1"/>
  <c r="E124" i="2" s="1"/>
  <c r="D8" i="2" a="1"/>
  <c r="D8" i="2" s="1"/>
  <c r="F8" i="2" s="1"/>
  <c r="B1" i="2"/>
  <c r="BL44" i="1"/>
  <c r="BL43" i="1"/>
  <c r="BL42" i="1"/>
  <c r="BL41" i="1"/>
  <c r="BL40" i="1"/>
  <c r="BL39" i="1"/>
  <c r="BL38" i="1"/>
  <c r="BL37" i="1"/>
  <c r="BL36" i="1"/>
  <c r="BL35" i="1"/>
  <c r="BL34" i="1"/>
  <c r="BL33" i="1"/>
  <c r="BL32" i="1"/>
  <c r="BL31" i="1"/>
  <c r="BL30" i="1"/>
  <c r="BL29" i="1"/>
  <c r="BL28" i="1"/>
  <c r="BL27" i="1"/>
  <c r="BL26" i="1"/>
  <c r="BL25" i="1"/>
  <c r="BL24" i="1"/>
  <c r="BL23" i="1"/>
  <c r="BL22" i="1"/>
  <c r="BL21" i="1"/>
  <c r="BL20" i="1"/>
  <c r="BL8" i="1"/>
  <c r="BL7" i="1"/>
  <c r="BL6" i="1"/>
  <c r="BL5" i="1"/>
  <c r="B2" i="1"/>
  <c r="I5" i="11"/>
  <c r="B4" i="10"/>
  <c r="B6" i="7"/>
  <c r="B5" i="7"/>
  <c r="B4" i="7"/>
  <c r="I352" i="2" l="1"/>
  <c r="F352" i="2"/>
  <c r="H426" i="2"/>
  <c r="F426" i="2"/>
  <c r="E31" i="17"/>
  <c r="I56" i="16"/>
  <c r="F42" i="16"/>
  <c r="M23" i="9"/>
  <c r="L63" i="16"/>
  <c r="G35" i="16"/>
  <c r="D728" i="2"/>
  <c r="D1628" i="2"/>
  <c r="J1628" i="2" s="1"/>
  <c r="D1868" i="2"/>
  <c r="J1868" i="2" s="1"/>
  <c r="D308" i="2"/>
  <c r="F308" i="2" s="1"/>
  <c r="D1626" i="2"/>
  <c r="J1626" i="2" s="1"/>
  <c r="D1625" i="2"/>
  <c r="J1625" i="2" s="1"/>
  <c r="D727" i="2"/>
  <c r="J727" i="2" s="1"/>
  <c r="D1568" i="2"/>
  <c r="J1568" i="2" s="1"/>
  <c r="D1535" i="2"/>
  <c r="E1535" i="2" s="1"/>
  <c r="D697" i="2"/>
  <c r="D1025" i="2"/>
  <c r="N1025" i="2" s="1"/>
  <c r="D1560" i="2"/>
  <c r="N1560" i="2" s="1"/>
  <c r="D808" i="2"/>
  <c r="D1645" i="2"/>
  <c r="I1645" i="2" s="1"/>
  <c r="D994" i="2"/>
  <c r="N994" i="2" s="1"/>
  <c r="D1557" i="2"/>
  <c r="N1557" i="2" s="1"/>
  <c r="D1534" i="2"/>
  <c r="I1534" i="2" s="1"/>
  <c r="D703" i="2"/>
  <c r="F703" i="2" s="1"/>
  <c r="D1554" i="2"/>
  <c r="J1554" i="2" s="1"/>
  <c r="D687" i="2"/>
  <c r="H687" i="2" s="1"/>
  <c r="D1024" i="2"/>
  <c r="I1024" i="2" s="1"/>
  <c r="D1559" i="2"/>
  <c r="F1559" i="2" s="1"/>
  <c r="D698" i="2"/>
  <c r="D704" i="2"/>
  <c r="F704" i="2" s="1"/>
  <c r="D1599" i="2"/>
  <c r="E1599" i="2" s="1"/>
  <c r="D1555" i="2"/>
  <c r="I1555" i="2" s="1"/>
  <c r="D705" i="2"/>
  <c r="D1604" i="2"/>
  <c r="N1604" i="2" s="1"/>
  <c r="D722" i="2"/>
  <c r="I722" i="2" s="1"/>
  <c r="D1608" i="2"/>
  <c r="J1608" i="2" s="1"/>
  <c r="D1899" i="2"/>
  <c r="N1899" i="2" s="1"/>
  <c r="D586" i="2"/>
  <c r="N586" i="2" s="1"/>
  <c r="D1148" i="2"/>
  <c r="D1917" i="2"/>
  <c r="J1917" i="2" s="1"/>
  <c r="D1897" i="2"/>
  <c r="F1897" i="2" s="1"/>
  <c r="D585" i="2"/>
  <c r="E585" i="2" s="1"/>
  <c r="D1929" i="2"/>
  <c r="F1929" i="2" s="1"/>
  <c r="D126" i="2"/>
  <c r="F126" i="2" s="1"/>
  <c r="D589" i="2"/>
  <c r="F589" i="2" s="1"/>
  <c r="D1573" i="2"/>
  <c r="J1573" i="2" s="1"/>
  <c r="D1659" i="2"/>
  <c r="N1659" i="2" s="1"/>
  <c r="D1981" i="2"/>
  <c r="J1981" i="2" s="1"/>
  <c r="D127" i="2"/>
  <c r="N127" i="2" s="1"/>
  <c r="D806" i="2"/>
  <c r="D1577" i="2"/>
  <c r="F1577" i="2" s="1"/>
  <c r="D1661" i="2"/>
  <c r="I1661" i="2" s="1"/>
  <c r="D100" i="2"/>
  <c r="J100" i="2" s="1"/>
  <c r="D1910" i="2"/>
  <c r="I1910" i="2" s="1"/>
  <c r="D1580" i="2"/>
  <c r="J1580" i="2" s="1"/>
  <c r="D1662" i="2"/>
  <c r="I1662" i="2" s="1"/>
  <c r="D99" i="2"/>
  <c r="N99" i="2" s="1"/>
  <c r="D1646" i="2"/>
  <c r="N1646" i="2" s="1"/>
  <c r="D673" i="2"/>
  <c r="D1591" i="2"/>
  <c r="I1591" i="2" s="1"/>
  <c r="D1663" i="2"/>
  <c r="F1663" i="2" s="1"/>
  <c r="D1909" i="2"/>
  <c r="N1909" i="2" s="1"/>
  <c r="D1135" i="2"/>
  <c r="N1135" i="2" s="1"/>
  <c r="D106" i="2"/>
  <c r="J106" i="2" s="1"/>
  <c r="D588" i="2"/>
  <c r="F588" i="2" s="1"/>
  <c r="D1592" i="2"/>
  <c r="H1592" i="2" s="1"/>
  <c r="D105" i="2"/>
  <c r="H105" i="2" s="1"/>
  <c r="D587" i="2"/>
  <c r="I587" i="2" s="1"/>
  <c r="D688" i="2"/>
  <c r="D1520" i="2"/>
  <c r="J1520" i="2" s="1"/>
  <c r="D1593" i="2"/>
  <c r="F1593" i="2" s="1"/>
  <c r="D98" i="2"/>
  <c r="E98" i="2" s="1"/>
  <c r="D101" i="2"/>
  <c r="I101" i="2" s="1"/>
  <c r="D689" i="2"/>
  <c r="D993" i="2"/>
  <c r="J993" i="2" s="1"/>
  <c r="D1528" i="2"/>
  <c r="E1528" i="2" s="1"/>
  <c r="D1598" i="2"/>
  <c r="E1598" i="2" s="1"/>
  <c r="D2263" i="2"/>
  <c r="H2263" i="2" s="1"/>
  <c r="D1469" i="2"/>
  <c r="H1469" i="2" s="1"/>
  <c r="D1767" i="2"/>
  <c r="F1767" i="2" s="1"/>
  <c r="D2360" i="2"/>
  <c r="J2360" i="2" s="1"/>
  <c r="D280" i="2"/>
  <c r="F280" i="2" s="1"/>
  <c r="D295" i="2"/>
  <c r="F295" i="2" s="1"/>
  <c r="D2366" i="2"/>
  <c r="J2366" i="2" s="1"/>
  <c r="D1027" i="2"/>
  <c r="J1027" i="2" s="1"/>
  <c r="D1768" i="2"/>
  <c r="I1768" i="2" s="1"/>
  <c r="D783" i="2"/>
  <c r="N783" i="2" s="1"/>
  <c r="D971" i="2"/>
  <c r="D1001" i="2"/>
  <c r="D1190" i="2"/>
  <c r="J1190" i="2" s="1"/>
  <c r="D1471" i="2"/>
  <c r="F1471" i="2" s="1"/>
  <c r="D1770" i="2"/>
  <c r="D107" i="2"/>
  <c r="D296" i="2"/>
  <c r="D699" i="2"/>
  <c r="F699" i="2" s="1"/>
  <c r="D972" i="2"/>
  <c r="D1002" i="2"/>
  <c r="F1002" i="2" s="1"/>
  <c r="D1191" i="2"/>
  <c r="N1191" i="2" s="1"/>
  <c r="D1473" i="2"/>
  <c r="N1473" i="2" s="1"/>
  <c r="D1558" i="2"/>
  <c r="I1558" i="2" s="1"/>
  <c r="D1605" i="2"/>
  <c r="N1605" i="2" s="1"/>
  <c r="D1664" i="2"/>
  <c r="N1664" i="2" s="1"/>
  <c r="D1771" i="2"/>
  <c r="F1771" i="2" s="1"/>
  <c r="D2367" i="2"/>
  <c r="D995" i="2"/>
  <c r="F995" i="2" s="1"/>
  <c r="D969" i="2"/>
  <c r="D2364" i="2"/>
  <c r="F2364" i="2" s="1"/>
  <c r="D307" i="2"/>
  <c r="F307" i="2" s="1"/>
  <c r="D973" i="2"/>
  <c r="D1003" i="2"/>
  <c r="N1003" i="2" s="1"/>
  <c r="D1475" i="2"/>
  <c r="J1475" i="2" s="1"/>
  <c r="D1773" i="2"/>
  <c r="J1773" i="2" s="1"/>
  <c r="D2368" i="2"/>
  <c r="H2368" i="2" s="1"/>
  <c r="D422" i="2"/>
  <c r="D777" i="2"/>
  <c r="N777" i="2" s="1"/>
  <c r="D974" i="2"/>
  <c r="D267" i="2"/>
  <c r="D775" i="2"/>
  <c r="F775" i="2" s="1"/>
  <c r="D1026" i="2"/>
  <c r="D996" i="2"/>
  <c r="D1189" i="2"/>
  <c r="N1189" i="2" s="1"/>
  <c r="D1470" i="2"/>
  <c r="E1470" i="2" s="1"/>
  <c r="D1711" i="2"/>
  <c r="H1711" i="2" s="1"/>
  <c r="D130" i="2"/>
  <c r="H130" i="2" s="1"/>
  <c r="I130" i="2" s="1"/>
  <c r="D328" i="2"/>
  <c r="D809" i="2"/>
  <c r="F809" i="2" s="1"/>
  <c r="D976" i="2"/>
  <c r="D1006" i="2"/>
  <c r="N1006" i="2" s="1"/>
  <c r="D1506" i="2"/>
  <c r="H1506" i="2" s="1"/>
  <c r="D1712" i="2"/>
  <c r="H1712" i="2" s="1"/>
  <c r="D1804" i="2"/>
  <c r="N1804" i="2" s="1"/>
  <c r="D2378" i="2"/>
  <c r="I2378" i="2" s="1"/>
  <c r="D1489" i="2"/>
  <c r="H1489" i="2" s="1"/>
  <c r="D1807" i="2"/>
  <c r="E1807" i="2" s="1"/>
  <c r="D975" i="2"/>
  <c r="F975" i="2" s="1"/>
  <c r="D1507" i="2"/>
  <c r="J1507" i="2" s="1"/>
  <c r="D1713" i="2"/>
  <c r="H1713" i="2" s="1"/>
  <c r="D2379" i="2"/>
  <c r="D1435" i="2"/>
  <c r="D1718" i="2"/>
  <c r="I1718" i="2" s="1"/>
  <c r="D2381" i="2"/>
  <c r="F2381" i="2" s="1"/>
  <c r="D1799" i="2"/>
  <c r="J1799" i="2" s="1"/>
  <c r="D2370" i="2"/>
  <c r="N2370" i="2" s="1"/>
  <c r="D1005" i="2"/>
  <c r="N1005" i="2" s="1"/>
  <c r="D153" i="2"/>
  <c r="E153" i="2" s="1"/>
  <c r="D329" i="2"/>
  <c r="D814" i="2"/>
  <c r="D1007" i="2"/>
  <c r="I1007" i="2" s="1"/>
  <c r="D815" i="2"/>
  <c r="D978" i="2"/>
  <c r="D91" i="2"/>
  <c r="D155" i="2"/>
  <c r="F155" i="2" s="1"/>
  <c r="D365" i="2"/>
  <c r="F365" i="2" s="1"/>
  <c r="H1016" i="2"/>
  <c r="D1579" i="2"/>
  <c r="D1637" i="2"/>
  <c r="J1637" i="2" s="1"/>
  <c r="D1719" i="2"/>
  <c r="H1719" i="2" s="1"/>
  <c r="D2209" i="2"/>
  <c r="J2209" i="2" s="1"/>
  <c r="D2383" i="2"/>
  <c r="E2383" i="2" s="1"/>
  <c r="D2227" i="2"/>
  <c r="N2227" i="2" s="1"/>
  <c r="D2403" i="2"/>
  <c r="H2403" i="2" s="1"/>
  <c r="D1468" i="2"/>
  <c r="H1468" i="2" s="1"/>
  <c r="D1762" i="2"/>
  <c r="I1762" i="2" s="1"/>
  <c r="D1004" i="2"/>
  <c r="I1004" i="2" s="1"/>
  <c r="D1484" i="2"/>
  <c r="N1484" i="2" s="1"/>
  <c r="D2372" i="2"/>
  <c r="D977" i="2"/>
  <c r="D154" i="2"/>
  <c r="I154" i="2" s="1"/>
  <c r="D330" i="2"/>
  <c r="D1019" i="2"/>
  <c r="D816" i="2"/>
  <c r="D979" i="2"/>
  <c r="D1020" i="2"/>
  <c r="H1020" i="2" s="1"/>
  <c r="D1436" i="2"/>
  <c r="F1436" i="2" s="1"/>
  <c r="D92" i="2"/>
  <c r="N92" i="2" s="1"/>
  <c r="D156" i="2"/>
  <c r="I156" i="2" s="1"/>
  <c r="D366" i="2"/>
  <c r="D671" i="2"/>
  <c r="D843" i="2"/>
  <c r="J843" i="2" s="1"/>
  <c r="D980" i="2"/>
  <c r="F980" i="2" s="1"/>
  <c r="D1021" i="2"/>
  <c r="E1021" i="2" s="1"/>
  <c r="D1437" i="2"/>
  <c r="D1643" i="2"/>
  <c r="D1720" i="2"/>
  <c r="N1720" i="2" s="1"/>
  <c r="D93" i="2"/>
  <c r="J93" i="2" s="1"/>
  <c r="D171" i="2"/>
  <c r="D367" i="2"/>
  <c r="F367" i="2" s="1"/>
  <c r="D672" i="2"/>
  <c r="D845" i="2"/>
  <c r="J845" i="2" s="1"/>
  <c r="D985" i="2"/>
  <c r="E985" i="2" s="1"/>
  <c r="D1022" i="2"/>
  <c r="I1022" i="2" s="1"/>
  <c r="D1447" i="2"/>
  <c r="J1447" i="2" s="1"/>
  <c r="D1527" i="2"/>
  <c r="N1527" i="2" s="1"/>
  <c r="D1581" i="2"/>
  <c r="E1581" i="2" s="1"/>
  <c r="D1644" i="2"/>
  <c r="H1644" i="2" s="1"/>
  <c r="D1726" i="2"/>
  <c r="E1726" i="2" s="1"/>
  <c r="D1803" i="2"/>
  <c r="J1803" i="2" s="1"/>
  <c r="D846" i="2"/>
  <c r="D992" i="2"/>
  <c r="E992" i="2" s="1"/>
  <c r="D1023" i="2"/>
  <c r="E1023" i="2" s="1"/>
  <c r="D1448" i="2"/>
  <c r="F1448" i="2" s="1"/>
  <c r="F1250" i="2"/>
  <c r="E1250" i="2"/>
  <c r="D2266" i="2"/>
  <c r="I2266" i="2" s="1"/>
  <c r="D1990" i="2"/>
  <c r="E1990" i="2" s="1"/>
  <c r="D2268" i="2"/>
  <c r="E2268" i="2" s="1"/>
  <c r="D2269" i="2"/>
  <c r="H2269" i="2" s="1"/>
  <c r="D1193" i="2"/>
  <c r="E1193" i="2" s="1"/>
  <c r="D1371" i="2"/>
  <c r="F1371" i="2" s="1"/>
  <c r="D2024" i="2"/>
  <c r="I2024" i="2" s="1"/>
  <c r="D2274" i="2"/>
  <c r="H2274" i="2" s="1"/>
  <c r="D1160" i="2"/>
  <c r="J1160" i="2" s="1"/>
  <c r="D2025" i="2"/>
  <c r="D2237" i="2"/>
  <c r="I2237" i="2" s="1"/>
  <c r="D2275" i="2"/>
  <c r="F2275" i="2" s="1"/>
  <c r="D188" i="2"/>
  <c r="D389" i="2"/>
  <c r="F389" i="2" s="1"/>
  <c r="D452" i="2"/>
  <c r="D701" i="2"/>
  <c r="D824" i="2"/>
  <c r="D1161" i="2"/>
  <c r="F1161" i="2" s="1"/>
  <c r="D1203" i="2"/>
  <c r="D1231" i="2"/>
  <c r="N1231" i="2" s="1"/>
  <c r="D1277" i="2"/>
  <c r="N1277" i="2" s="1"/>
  <c r="D1391" i="2"/>
  <c r="I1391" i="2" s="1"/>
  <c r="D1476" i="2"/>
  <c r="D1660" i="2"/>
  <c r="D1725" i="2"/>
  <c r="N1725" i="2" s="1"/>
  <c r="D1783" i="2"/>
  <c r="E1783" i="2" s="1"/>
  <c r="D1808" i="2"/>
  <c r="E1808" i="2" s="1"/>
  <c r="D2238" i="2"/>
  <c r="E2238" i="2" s="1"/>
  <c r="D2276" i="2"/>
  <c r="F2276" i="2" s="1"/>
  <c r="D1367" i="2"/>
  <c r="N1367" i="2" s="1"/>
  <c r="D1162" i="2"/>
  <c r="N1162" i="2" s="1"/>
  <c r="D1204" i="2"/>
  <c r="N1204" i="2" s="1"/>
  <c r="D1278" i="2"/>
  <c r="H1278" i="2" s="1"/>
  <c r="D1397" i="2"/>
  <c r="D1784" i="2"/>
  <c r="J1784" i="2" s="1"/>
  <c r="D2048" i="2"/>
  <c r="D2240" i="2"/>
  <c r="E2240" i="2" s="1"/>
  <c r="D2277" i="2"/>
  <c r="J2277" i="2" s="1"/>
  <c r="D1159" i="2"/>
  <c r="D2236" i="2"/>
  <c r="H2236" i="2" s="1"/>
  <c r="D1269" i="2"/>
  <c r="D2280" i="2"/>
  <c r="J2280" i="2" s="1"/>
  <c r="D224" i="2"/>
  <c r="I224" i="2" s="1"/>
  <c r="D397" i="2"/>
  <c r="D829" i="2"/>
  <c r="E829" i="2" s="1"/>
  <c r="D1071" i="2"/>
  <c r="H1071" i="2" s="1"/>
  <c r="D1170" i="2"/>
  <c r="H1170" i="2" s="1"/>
  <c r="D1256" i="2"/>
  <c r="D1298" i="2"/>
  <c r="E1298" i="2" s="1"/>
  <c r="D1405" i="2"/>
  <c r="H1405" i="2" s="1"/>
  <c r="D1451" i="2"/>
  <c r="H1451" i="2" s="1"/>
  <c r="D1491" i="2"/>
  <c r="D1693" i="2"/>
  <c r="E1693" i="2" s="1"/>
  <c r="D1740" i="2"/>
  <c r="N1740" i="2" s="1"/>
  <c r="D1753" i="2"/>
  <c r="I1753" i="2" s="1"/>
  <c r="D1787" i="2"/>
  <c r="E1787" i="2" s="1"/>
  <c r="D1884" i="2"/>
  <c r="I1884" i="2" s="1"/>
  <c r="D1941" i="2"/>
  <c r="N1941" i="2" s="1"/>
  <c r="D2091" i="2"/>
  <c r="N2091" i="2" s="1"/>
  <c r="D2248" i="2"/>
  <c r="E2248" i="2" s="1"/>
  <c r="D2283" i="2"/>
  <c r="D2325" i="2"/>
  <c r="I2325" i="2" s="1"/>
  <c r="D447" i="2"/>
  <c r="F447" i="2" s="1"/>
  <c r="D1163" i="2"/>
  <c r="N1163" i="2" s="1"/>
  <c r="D2282" i="2"/>
  <c r="J2282" i="2" s="1"/>
  <c r="D2312" i="2"/>
  <c r="H2312" i="2" s="1"/>
  <c r="D1171" i="2"/>
  <c r="E1171" i="2" s="1"/>
  <c r="D1258" i="2"/>
  <c r="D1299" i="2"/>
  <c r="J1299" i="2" s="1"/>
  <c r="D1406" i="2"/>
  <c r="E1406" i="2" s="1"/>
  <c r="D1452" i="2"/>
  <c r="J1452" i="2" s="1"/>
  <c r="D1493" i="2"/>
  <c r="I1493" i="2" s="1"/>
  <c r="D1667" i="2"/>
  <c r="E1667" i="2" s="1"/>
  <c r="D1694" i="2"/>
  <c r="D1741" i="2"/>
  <c r="E1741" i="2" s="1"/>
  <c r="D1757" i="2"/>
  <c r="F1757" i="2" s="1"/>
  <c r="D1788" i="2"/>
  <c r="I1788" i="2" s="1"/>
  <c r="D1885" i="2"/>
  <c r="H1885" i="2" s="1"/>
  <c r="D1943" i="2"/>
  <c r="I1943" i="2" s="1"/>
  <c r="D2249" i="2"/>
  <c r="I2249" i="2" s="1"/>
  <c r="D2284" i="2"/>
  <c r="I2284" i="2" s="1"/>
  <c r="D2334" i="2"/>
  <c r="E2334" i="2" s="1"/>
  <c r="D2397" i="2"/>
  <c r="E2397" i="2" s="1"/>
  <c r="H14" i="8"/>
  <c r="D390" i="2"/>
  <c r="D1735" i="2"/>
  <c r="F1735" i="2" s="1"/>
  <c r="D1751" i="2"/>
  <c r="E1751" i="2" s="1"/>
  <c r="D2241" i="2"/>
  <c r="I2241" i="2" s="1"/>
  <c r="C39" i="15"/>
  <c r="D396" i="2"/>
  <c r="D468" i="2"/>
  <c r="F468" i="2" s="1"/>
  <c r="D828" i="2"/>
  <c r="D1404" i="2"/>
  <c r="D225" i="2"/>
  <c r="H225" i="2" s="1"/>
  <c r="D331" i="2"/>
  <c r="F331" i="2" s="1"/>
  <c r="D473" i="2"/>
  <c r="F473" i="2" s="1"/>
  <c r="D674" i="2"/>
  <c r="D706" i="2"/>
  <c r="D756" i="2"/>
  <c r="F756" i="2" s="1"/>
  <c r="D796" i="2"/>
  <c r="F796" i="2" s="1"/>
  <c r="D226" i="2"/>
  <c r="J226" i="2" s="1"/>
  <c r="D332" i="2"/>
  <c r="D402" i="2"/>
  <c r="F402" i="2" s="1"/>
  <c r="D483" i="2"/>
  <c r="D679" i="2"/>
  <c r="D759" i="2"/>
  <c r="D797" i="2"/>
  <c r="D838" i="2"/>
  <c r="D954" i="2"/>
  <c r="I954" i="2" s="1"/>
  <c r="D227" i="2"/>
  <c r="I227" i="2" s="1"/>
  <c r="D333" i="2"/>
  <c r="F333" i="2" s="1"/>
  <c r="D403" i="2"/>
  <c r="F403" i="2" s="1"/>
  <c r="D680" i="2"/>
  <c r="D713" i="2"/>
  <c r="N713" i="2" s="1"/>
  <c r="D760" i="2"/>
  <c r="F760" i="2" s="1"/>
  <c r="D798" i="2"/>
  <c r="D839" i="2"/>
  <c r="E839" i="2" s="1"/>
  <c r="D956" i="2"/>
  <c r="N956" i="2" s="1"/>
  <c r="D986" i="2"/>
  <c r="H986" i="2" s="1"/>
  <c r="D1011" i="2"/>
  <c r="D1119" i="2"/>
  <c r="D1172" i="2"/>
  <c r="D1264" i="2"/>
  <c r="H1264" i="2" s="1"/>
  <c r="D1300" i="2"/>
  <c r="N1300" i="2" s="1"/>
  <c r="D1412" i="2"/>
  <c r="E1412" i="2" s="1"/>
  <c r="D1453" i="2"/>
  <c r="I1453" i="2" s="1"/>
  <c r="D1494" i="2"/>
  <c r="E1494" i="2" s="1"/>
  <c r="D1606" i="2"/>
  <c r="E1606" i="2" s="1"/>
  <c r="D1632" i="2"/>
  <c r="E1632" i="2" s="1"/>
  <c r="D1674" i="2"/>
  <c r="J1674" i="2" s="1"/>
  <c r="D1696" i="2"/>
  <c r="H1696" i="2" s="1"/>
  <c r="D1742" i="2"/>
  <c r="N1742" i="2" s="1"/>
  <c r="D1758" i="2"/>
  <c r="H1758" i="2" s="1"/>
  <c r="D1789" i="2"/>
  <c r="J1789" i="2" s="1"/>
  <c r="D1890" i="2"/>
  <c r="F1890" i="2" s="1"/>
  <c r="D1972" i="2"/>
  <c r="N1972" i="2" s="1"/>
  <c r="D2253" i="2"/>
  <c r="D2398" i="2"/>
  <c r="N2398" i="2" s="1"/>
  <c r="F20" i="6"/>
  <c r="F23" i="12"/>
  <c r="B38" i="12"/>
  <c r="D445" i="2"/>
  <c r="F445" i="2" s="1"/>
  <c r="D2234" i="2"/>
  <c r="E2234" i="2" s="1"/>
  <c r="D1192" i="2"/>
  <c r="H1192" i="2" s="1"/>
  <c r="D449" i="2"/>
  <c r="F449" i="2" s="1"/>
  <c r="D1194" i="2"/>
  <c r="N1194" i="2" s="1"/>
  <c r="D459" i="2"/>
  <c r="D1206" i="2"/>
  <c r="J1206" i="2" s="1"/>
  <c r="D1279" i="2"/>
  <c r="N1279" i="2" s="1"/>
  <c r="D1785" i="2"/>
  <c r="N1785" i="2" s="1"/>
  <c r="D1070" i="2"/>
  <c r="D1169" i="2"/>
  <c r="D1207" i="2"/>
  <c r="N1207" i="2" s="1"/>
  <c r="D1280" i="2"/>
  <c r="E1280" i="2" s="1"/>
  <c r="D1490" i="2"/>
  <c r="J1490" i="2" s="1"/>
  <c r="D1692" i="2"/>
  <c r="D1739" i="2"/>
  <c r="J1739" i="2" s="1"/>
  <c r="D1752" i="2"/>
  <c r="N1752" i="2" s="1"/>
  <c r="D1786" i="2"/>
  <c r="F1786" i="2" s="1"/>
  <c r="D1938" i="2"/>
  <c r="H1938" i="2" s="1"/>
  <c r="D68" i="2"/>
  <c r="D228" i="2"/>
  <c r="I228" i="2" s="1"/>
  <c r="D344" i="2"/>
  <c r="D404" i="2"/>
  <c r="D681" i="2"/>
  <c r="D714" i="2"/>
  <c r="H714" i="2" s="1"/>
  <c r="D761" i="2"/>
  <c r="D799" i="2"/>
  <c r="D840" i="2"/>
  <c r="D963" i="2"/>
  <c r="D987" i="2"/>
  <c r="H987" i="2" s="1"/>
  <c r="D1012" i="2"/>
  <c r="E1012" i="2" s="1"/>
  <c r="D1121" i="2"/>
  <c r="J1121" i="2" s="1"/>
  <c r="D1177" i="2"/>
  <c r="H1177" i="2" s="1"/>
  <c r="D1265" i="2"/>
  <c r="D1310" i="2"/>
  <c r="E1310" i="2" s="1"/>
  <c r="D1430" i="2"/>
  <c r="I1430" i="2" s="1"/>
  <c r="D1461" i="2"/>
  <c r="D1499" i="2"/>
  <c r="D1634" i="2"/>
  <c r="J1634" i="2" s="1"/>
  <c r="D1679" i="2"/>
  <c r="D1697" i="2"/>
  <c r="J1697" i="2" s="1"/>
  <c r="D1743" i="2"/>
  <c r="F1743" i="2" s="1"/>
  <c r="D1759" i="2"/>
  <c r="E1759" i="2" s="1"/>
  <c r="D1792" i="2"/>
  <c r="H1792" i="2" s="1"/>
  <c r="D1892" i="2"/>
  <c r="J1892" i="2" s="1"/>
  <c r="D1974" i="2"/>
  <c r="I1974" i="2" s="1"/>
  <c r="D2254" i="2"/>
  <c r="E2254" i="2" s="1"/>
  <c r="D2399" i="2"/>
  <c r="J2399" i="2" s="1"/>
  <c r="D2235" i="2"/>
  <c r="N2235" i="2" s="1"/>
  <c r="D451" i="2"/>
  <c r="F451" i="2" s="1"/>
  <c r="D825" i="2"/>
  <c r="D1248" i="2"/>
  <c r="D223" i="2"/>
  <c r="D391" i="2"/>
  <c r="F391" i="2" s="1"/>
  <c r="D467" i="2"/>
  <c r="D826" i="2"/>
  <c r="D1403" i="2"/>
  <c r="E1403" i="2" s="1"/>
  <c r="D2243" i="2"/>
  <c r="J2243" i="2" s="1"/>
  <c r="D952" i="2"/>
  <c r="J952" i="2" s="1"/>
  <c r="D248" i="2"/>
  <c r="H248" i="2" s="1"/>
  <c r="D345" i="2"/>
  <c r="F345" i="2" s="1"/>
  <c r="D413" i="2"/>
  <c r="D682" i="2"/>
  <c r="D715" i="2"/>
  <c r="H715" i="2" s="1"/>
  <c r="D767" i="2"/>
  <c r="F767" i="2" s="1"/>
  <c r="D800" i="2"/>
  <c r="D841" i="2"/>
  <c r="E841" i="2" s="1"/>
  <c r="D964" i="2"/>
  <c r="J964" i="2" s="1"/>
  <c r="D989" i="2"/>
  <c r="I989" i="2" s="1"/>
  <c r="D1017" i="2"/>
  <c r="I1017" i="2" s="1"/>
  <c r="D1123" i="2"/>
  <c r="J1123" i="2" s="1"/>
  <c r="D1178" i="2"/>
  <c r="N1178" i="2" s="1"/>
  <c r="D1266" i="2"/>
  <c r="I1266" i="2" s="1"/>
  <c r="D1432" i="2"/>
  <c r="I1432" i="2" s="1"/>
  <c r="D1462" i="2"/>
  <c r="I1462" i="2" s="1"/>
  <c r="D1500" i="2"/>
  <c r="E1500" i="2" s="1"/>
  <c r="D1521" i="2"/>
  <c r="H1521" i="2" s="1"/>
  <c r="D1612" i="2"/>
  <c r="D1635" i="2"/>
  <c r="N1635" i="2" s="1"/>
  <c r="D1680" i="2"/>
  <c r="J1680" i="2" s="1"/>
  <c r="D1702" i="2"/>
  <c r="D1744" i="2"/>
  <c r="J1744" i="2" s="1"/>
  <c r="D1760" i="2"/>
  <c r="I1760" i="2" s="1"/>
  <c r="D1793" i="2"/>
  <c r="D1893" i="2"/>
  <c r="N1893" i="2" s="1"/>
  <c r="D1976" i="2"/>
  <c r="N1976" i="2" s="1"/>
  <c r="D2214" i="2"/>
  <c r="J2214" i="2" s="1"/>
  <c r="D2256" i="2"/>
  <c r="E2256" i="2" s="1"/>
  <c r="D2353" i="2"/>
  <c r="F2353" i="2" s="1"/>
  <c r="D2401" i="2"/>
  <c r="E2401" i="2" s="1"/>
  <c r="D65" i="3"/>
  <c r="C6" i="17" s="1"/>
  <c r="D2005" i="2"/>
  <c r="N2005" i="2" s="1"/>
  <c r="D1249" i="2"/>
  <c r="D795" i="2"/>
  <c r="D711" i="2"/>
  <c r="H711" i="2" s="1"/>
  <c r="D80" i="2"/>
  <c r="F80" i="2" s="1"/>
  <c r="N80" i="2" s="1"/>
  <c r="D346" i="2"/>
  <c r="D421" i="2"/>
  <c r="D683" i="2"/>
  <c r="D721" i="2"/>
  <c r="I721" i="2" s="1"/>
  <c r="D805" i="2"/>
  <c r="D991" i="2"/>
  <c r="H991" i="2" s="1"/>
  <c r="D1018" i="2"/>
  <c r="J1018" i="2" s="1"/>
  <c r="D1188" i="2"/>
  <c r="I1188" i="2" s="1"/>
  <c r="D1467" i="2"/>
  <c r="D1572" i="2"/>
  <c r="D1636" i="2"/>
  <c r="F1636" i="2" s="1"/>
  <c r="D1703" i="2"/>
  <c r="E1703" i="2" s="1"/>
  <c r="D1745" i="2"/>
  <c r="F1745" i="2" s="1"/>
  <c r="D1761" i="2"/>
  <c r="J1761" i="2" s="1"/>
  <c r="D1794" i="2"/>
  <c r="I1794" i="2" s="1"/>
  <c r="D1896" i="2"/>
  <c r="D1977" i="2"/>
  <c r="J1977" i="2" s="1"/>
  <c r="D2260" i="2"/>
  <c r="F2260" i="2" s="1"/>
  <c r="D2358" i="2"/>
  <c r="I2358" i="2" s="1"/>
  <c r="D2402" i="2"/>
  <c r="E2402" i="2" s="1"/>
  <c r="N2115" i="2"/>
  <c r="E2115" i="2"/>
  <c r="J172" i="2"/>
  <c r="N172" i="2"/>
  <c r="D56" i="2"/>
  <c r="E56" i="2" s="1"/>
  <c r="D24" i="2"/>
  <c r="H24" i="2" s="1"/>
  <c r="D55" i="2"/>
  <c r="D23" i="2"/>
  <c r="D52" i="2"/>
  <c r="J52" i="2" s="1"/>
  <c r="D22" i="2"/>
  <c r="I22" i="2" s="1"/>
  <c r="D50" i="2"/>
  <c r="J50" i="2" s="1"/>
  <c r="D51" i="2"/>
  <c r="D21" i="2"/>
  <c r="D20" i="2"/>
  <c r="D47" i="2"/>
  <c r="I47" i="2" s="1"/>
  <c r="D46" i="2"/>
  <c r="I46" i="2" s="1"/>
  <c r="D25" i="2"/>
  <c r="I25" i="2" s="1"/>
  <c r="D19" i="2"/>
  <c r="H19" i="2" s="1"/>
  <c r="D41" i="2"/>
  <c r="F41" i="2" s="1"/>
  <c r="D40" i="2"/>
  <c r="I40" i="2" s="1"/>
  <c r="D33" i="2"/>
  <c r="N33" i="2" s="1"/>
  <c r="D34" i="2"/>
  <c r="E34" i="2" s="1"/>
  <c r="D31" i="2"/>
  <c r="H31" i="2" s="1"/>
  <c r="D30" i="2"/>
  <c r="D2161" i="2"/>
  <c r="D2158" i="2"/>
  <c r="J2158" i="2" s="1"/>
  <c r="D2135" i="2"/>
  <c r="J2135" i="2" s="1"/>
  <c r="D2112" i="2"/>
  <c r="H2112" i="2" s="1"/>
  <c r="D2157" i="2"/>
  <c r="F2157" i="2" s="1"/>
  <c r="D2133" i="2"/>
  <c r="H2133" i="2" s="1"/>
  <c r="D2111" i="2"/>
  <c r="J2111" i="2" s="1"/>
  <c r="D2156" i="2"/>
  <c r="H2156" i="2" s="1"/>
  <c r="D2132" i="2"/>
  <c r="E2132" i="2" s="1"/>
  <c r="D2110" i="2"/>
  <c r="H2110" i="2" s="1"/>
  <c r="D2153" i="2"/>
  <c r="N2153" i="2" s="1"/>
  <c r="D2129" i="2"/>
  <c r="J2129" i="2" s="1"/>
  <c r="D2149" i="2"/>
  <c r="J2149" i="2" s="1"/>
  <c r="D2123" i="2"/>
  <c r="N2123" i="2" s="1"/>
  <c r="D2139" i="2"/>
  <c r="N2139" i="2" s="1"/>
  <c r="D2138" i="2"/>
  <c r="J2138" i="2" s="1"/>
  <c r="D2137" i="2"/>
  <c r="D2131" i="2"/>
  <c r="I2131" i="2" s="1"/>
  <c r="D2159" i="2"/>
  <c r="E2159" i="2" s="1"/>
  <c r="D2121" i="2"/>
  <c r="I2121" i="2" s="1"/>
  <c r="D2128" i="2"/>
  <c r="F2128" i="2" s="1"/>
  <c r="D2122" i="2"/>
  <c r="I2122" i="2" s="1"/>
  <c r="D2119" i="2"/>
  <c r="E2119" i="2" s="1"/>
  <c r="D2117" i="2"/>
  <c r="N2117" i="2" s="1"/>
  <c r="D2164" i="2"/>
  <c r="H2164" i="2" s="1"/>
  <c r="D2114" i="2"/>
  <c r="J2114" i="2" s="1"/>
  <c r="D2167" i="2"/>
  <c r="E2167" i="2" s="1"/>
  <c r="D2165" i="2"/>
  <c r="N2165" i="2" s="1"/>
  <c r="D2155" i="2"/>
  <c r="N2155" i="2" s="1"/>
  <c r="D2151" i="2"/>
  <c r="H2151" i="2" s="1"/>
  <c r="D2154" i="2"/>
  <c r="J2154" i="2" s="1"/>
  <c r="D2140" i="2"/>
  <c r="H2140" i="2" s="1"/>
  <c r="D2147" i="2"/>
  <c r="H2147" i="2" s="1"/>
  <c r="D2148" i="2"/>
  <c r="N2148" i="2" s="1"/>
  <c r="D2146" i="2"/>
  <c r="J2146" i="2" s="1"/>
  <c r="D2141" i="2"/>
  <c r="F2141" i="2" s="1"/>
  <c r="D2116" i="2"/>
  <c r="E2116" i="2" s="1"/>
  <c r="D2130" i="2"/>
  <c r="N2130" i="2" s="1"/>
  <c r="D48" i="2"/>
  <c r="F48" i="2" s="1"/>
  <c r="J584" i="2"/>
  <c r="I584" i="2"/>
  <c r="D65" i="2"/>
  <c r="F774" i="2"/>
  <c r="E774" i="2"/>
  <c r="D2113" i="2"/>
  <c r="E2113" i="2" s="1"/>
  <c r="D49" i="3"/>
  <c r="C41" i="15"/>
  <c r="C4" i="15"/>
  <c r="D186" i="2"/>
  <c r="D170" i="2"/>
  <c r="D140" i="2"/>
  <c r="D135" i="2"/>
  <c r="D169" i="2"/>
  <c r="J169" i="2" s="1"/>
  <c r="D139" i="2"/>
  <c r="F139" i="2" s="1"/>
  <c r="D168" i="2"/>
  <c r="D138" i="2"/>
  <c r="D167" i="2"/>
  <c r="E167" i="2" s="1"/>
  <c r="D137" i="2"/>
  <c r="H137" i="2" s="1"/>
  <c r="D159" i="2"/>
  <c r="D157" i="2"/>
  <c r="D136" i="2"/>
  <c r="F136" i="2" s="1"/>
  <c r="N136" i="2" s="1"/>
  <c r="D152" i="2"/>
  <c r="D133" i="2"/>
  <c r="H133" i="2" s="1"/>
  <c r="I133" i="2" s="1"/>
  <c r="D151" i="2"/>
  <c r="H151" i="2" s="1"/>
  <c r="I151" i="2" s="1"/>
  <c r="D147" i="2"/>
  <c r="D180" i="2"/>
  <c r="I180" i="2" s="1"/>
  <c r="D179" i="2"/>
  <c r="D173" i="2"/>
  <c r="J173" i="2" s="1"/>
  <c r="D131" i="2"/>
  <c r="D150" i="2"/>
  <c r="F150" i="2" s="1"/>
  <c r="D149" i="2"/>
  <c r="F149" i="2" s="1"/>
  <c r="N149" i="2" s="1"/>
  <c r="D183" i="2"/>
  <c r="N183" i="2" s="1"/>
  <c r="D148" i="2"/>
  <c r="D182" i="2"/>
  <c r="E182" i="2" s="1"/>
  <c r="D134" i="2"/>
  <c r="H134" i="2" s="1"/>
  <c r="D181" i="2"/>
  <c r="H181" i="2" s="1"/>
  <c r="D132" i="2"/>
  <c r="F132" i="2" s="1"/>
  <c r="N132" i="2" s="1"/>
  <c r="D9" i="2"/>
  <c r="H9" i="2" s="1"/>
  <c r="D14" i="2"/>
  <c r="H1369" i="2"/>
  <c r="F1369" i="2"/>
  <c r="E1369" i="2"/>
  <c r="D49" i="2"/>
  <c r="H49" i="2" s="1"/>
  <c r="D66" i="2"/>
  <c r="D67" i="2"/>
  <c r="D129" i="2"/>
  <c r="D1377" i="2"/>
  <c r="H1377" i="2" s="1"/>
  <c r="D1370" i="2"/>
  <c r="D1350" i="2"/>
  <c r="I1350" i="2" s="1"/>
  <c r="D1330" i="2"/>
  <c r="F1330" i="2" s="1"/>
  <c r="D1381" i="2"/>
  <c r="E1381" i="2" s="1"/>
  <c r="D1356" i="2"/>
  <c r="F1356" i="2" s="1"/>
  <c r="D1335" i="2"/>
  <c r="D1380" i="2"/>
  <c r="N1380" i="2" s="1"/>
  <c r="D1355" i="2"/>
  <c r="H1355" i="2" s="1"/>
  <c r="D1334" i="2"/>
  <c r="J1334" i="2" s="1"/>
  <c r="D1379" i="2"/>
  <c r="D1354" i="2"/>
  <c r="N1354" i="2" s="1"/>
  <c r="D1333" i="2"/>
  <c r="D1378" i="2"/>
  <c r="F1378" i="2" s="1"/>
  <c r="D1353" i="2"/>
  <c r="J1353" i="2" s="1"/>
  <c r="D1332" i="2"/>
  <c r="N1332" i="2" s="1"/>
  <c r="D1383" i="2"/>
  <c r="D1349" i="2"/>
  <c r="F1349" i="2" s="1"/>
  <c r="D1382" i="2"/>
  <c r="E1382" i="2" s="1"/>
  <c r="D1348" i="2"/>
  <c r="N1348" i="2" s="1"/>
  <c r="D1373" i="2"/>
  <c r="D1347" i="2"/>
  <c r="D1372" i="2"/>
  <c r="D1346" i="2"/>
  <c r="E1346" i="2" s="1"/>
  <c r="D1368" i="2"/>
  <c r="E1368" i="2" s="1"/>
  <c r="D1339" i="2"/>
  <c r="J1339" i="2" s="1"/>
  <c r="D1351" i="2"/>
  <c r="H1351" i="2" s="1"/>
  <c r="D1384" i="2"/>
  <c r="N1384" i="2" s="1"/>
  <c r="D1341" i="2"/>
  <c r="D1387" i="2"/>
  <c r="D1340" i="2"/>
  <c r="N1340" i="2" s="1"/>
  <c r="D1386" i="2"/>
  <c r="E1386" i="2" s="1"/>
  <c r="D1338" i="2"/>
  <c r="D1385" i="2"/>
  <c r="J1385" i="2" s="1"/>
  <c r="D1337" i="2"/>
  <c r="D1336" i="2"/>
  <c r="E1336" i="2" s="1"/>
  <c r="D1824" i="2"/>
  <c r="D538" i="2"/>
  <c r="D522" i="2"/>
  <c r="E522" i="2" s="1"/>
  <c r="D521" i="2"/>
  <c r="N521" i="2" s="1"/>
  <c r="D520" i="2"/>
  <c r="D514" i="2"/>
  <c r="N514" i="2" s="1"/>
  <c r="D518" i="2"/>
  <c r="J518" i="2" s="1"/>
  <c r="D516" i="2"/>
  <c r="E516" i="2" s="1"/>
  <c r="D513" i="2"/>
  <c r="J513" i="2" s="1"/>
  <c r="D506" i="2"/>
  <c r="D512" i="2"/>
  <c r="D507" i="2"/>
  <c r="D598" i="2"/>
  <c r="J598" i="2" s="1"/>
  <c r="D602" i="2"/>
  <c r="E602" i="2" s="1"/>
  <c r="D578" i="2"/>
  <c r="D558" i="2"/>
  <c r="D601" i="2"/>
  <c r="J601" i="2" s="1"/>
  <c r="D577" i="2"/>
  <c r="J577" i="2" s="1"/>
  <c r="D557" i="2"/>
  <c r="F557" i="2" s="1"/>
  <c r="D600" i="2"/>
  <c r="E600" i="2" s="1"/>
  <c r="D576" i="2"/>
  <c r="D556" i="2"/>
  <c r="F556" i="2" s="1"/>
  <c r="D599" i="2"/>
  <c r="N599" i="2" s="1"/>
  <c r="D575" i="2"/>
  <c r="D555" i="2"/>
  <c r="D592" i="2"/>
  <c r="F592" i="2" s="1"/>
  <c r="D572" i="2"/>
  <c r="H572" i="2" s="1"/>
  <c r="D552" i="2"/>
  <c r="D606" i="2"/>
  <c r="N606" i="2" s="1"/>
  <c r="D573" i="2"/>
  <c r="H573" i="2" s="1"/>
  <c r="D605" i="2"/>
  <c r="D571" i="2"/>
  <c r="D604" i="2"/>
  <c r="D570" i="2"/>
  <c r="D593" i="2"/>
  <c r="I593" i="2" s="1"/>
  <c r="D567" i="2"/>
  <c r="D603" i="2"/>
  <c r="F603" i="2" s="1"/>
  <c r="D569" i="2"/>
  <c r="D594" i="2"/>
  <c r="H594" i="2" s="1"/>
  <c r="D568" i="2"/>
  <c r="D664" i="2"/>
  <c r="I664" i="2" s="1"/>
  <c r="D635" i="2"/>
  <c r="D633" i="2"/>
  <c r="D629" i="2"/>
  <c r="D628" i="2"/>
  <c r="D617" i="2"/>
  <c r="D497" i="2"/>
  <c r="D607" i="2"/>
  <c r="J607" i="2" s="1"/>
  <c r="D627" i="2"/>
  <c r="D1331" i="2"/>
  <c r="D347" i="2"/>
  <c r="D640" i="2"/>
  <c r="D850" i="2"/>
  <c r="D108" i="2"/>
  <c r="D545" i="2"/>
  <c r="J545" i="2" s="1"/>
  <c r="D1363" i="2"/>
  <c r="F1363" i="2" s="1"/>
  <c r="D2086" i="2"/>
  <c r="E2086" i="2" s="1"/>
  <c r="D2075" i="2"/>
  <c r="N2075" i="2" s="1"/>
  <c r="D2070" i="2"/>
  <c r="F2070" i="2" s="1"/>
  <c r="D2069" i="2"/>
  <c r="H2069" i="2" s="1"/>
  <c r="D2107" i="2"/>
  <c r="H2107" i="2" s="1"/>
  <c r="D2063" i="2"/>
  <c r="J2063" i="2" s="1"/>
  <c r="D2096" i="2"/>
  <c r="N2096" i="2" s="1"/>
  <c r="D2052" i="2"/>
  <c r="I2052" i="2" s="1"/>
  <c r="D2084" i="2"/>
  <c r="H2084" i="2" s="1"/>
  <c r="D2083" i="2"/>
  <c r="I2083" i="2" s="1"/>
  <c r="D2081" i="2"/>
  <c r="J2081" i="2" s="1"/>
  <c r="D2076" i="2"/>
  <c r="E2076" i="2" s="1"/>
  <c r="D2051" i="2"/>
  <c r="F2051" i="2" s="1"/>
  <c r="D2101" i="2"/>
  <c r="N2101" i="2" s="1"/>
  <c r="D2095" i="2"/>
  <c r="J2095" i="2" s="1"/>
  <c r="D2094" i="2"/>
  <c r="F2094" i="2" s="1"/>
  <c r="D2093" i="2"/>
  <c r="E2093" i="2" s="1"/>
  <c r="D2064" i="2"/>
  <c r="E2064" i="2" s="1"/>
  <c r="D244" i="2"/>
  <c r="D208" i="2"/>
  <c r="H208" i="2" s="1"/>
  <c r="D243" i="2"/>
  <c r="E243" i="2" s="1"/>
  <c r="D207" i="2"/>
  <c r="H207" i="2" s="1"/>
  <c r="D242" i="2"/>
  <c r="J242" i="2" s="1"/>
  <c r="D206" i="2"/>
  <c r="D234" i="2"/>
  <c r="J234" i="2" s="1"/>
  <c r="D203" i="2"/>
  <c r="H203" i="2" s="1"/>
  <c r="D241" i="2"/>
  <c r="J241" i="2" s="1"/>
  <c r="D205" i="2"/>
  <c r="D240" i="2"/>
  <c r="F240" i="2" s="1"/>
  <c r="D204" i="2"/>
  <c r="F204" i="2" s="1"/>
  <c r="D626" i="2"/>
  <c r="D195" i="2"/>
  <c r="H195" i="2" s="1"/>
  <c r="D498" i="2"/>
  <c r="D196" i="2"/>
  <c r="D312" i="2"/>
  <c r="D544" i="2"/>
  <c r="N544" i="2" s="1"/>
  <c r="D641" i="2"/>
  <c r="D1357" i="2"/>
  <c r="F1357" i="2" s="1"/>
  <c r="D313" i="2"/>
  <c r="F313" i="2" s="1"/>
  <c r="D349" i="2"/>
  <c r="D423" i="2"/>
  <c r="F423" i="2" s="1"/>
  <c r="D642" i="2"/>
  <c r="D1362" i="2"/>
  <c r="F1362" i="2" s="1"/>
  <c r="D69" i="2"/>
  <c r="F69" i="2" s="1"/>
  <c r="D219" i="2"/>
  <c r="I219" i="2" s="1"/>
  <c r="D320" i="2"/>
  <c r="D370" i="2"/>
  <c r="F370" i="2" s="1"/>
  <c r="D546" i="2"/>
  <c r="E546" i="2" s="1"/>
  <c r="D658" i="2"/>
  <c r="J658" i="2" s="1"/>
  <c r="D73" i="2"/>
  <c r="D123" i="2"/>
  <c r="D220" i="2"/>
  <c r="D321" i="2"/>
  <c r="D351" i="2"/>
  <c r="D374" i="2"/>
  <c r="F374" i="2" s="1"/>
  <c r="D547" i="2"/>
  <c r="D562" i="2"/>
  <c r="D660" i="2"/>
  <c r="E660" i="2" s="1"/>
  <c r="D1364" i="2"/>
  <c r="N1364" i="2" s="1"/>
  <c r="D2049" i="2"/>
  <c r="N2049" i="2" s="1"/>
  <c r="D590" i="2"/>
  <c r="F590" i="2" s="1"/>
  <c r="D591" i="2"/>
  <c r="E591" i="2" s="1"/>
  <c r="D848" i="2"/>
  <c r="D907" i="2"/>
  <c r="E907" i="2" s="1"/>
  <c r="D1352" i="2"/>
  <c r="J1352" i="2" s="1"/>
  <c r="D559" i="2"/>
  <c r="D417" i="2"/>
  <c r="F417" i="2" s="1"/>
  <c r="D420" i="2"/>
  <c r="D395" i="2"/>
  <c r="D373" i="2"/>
  <c r="D419" i="2"/>
  <c r="F419" i="2" s="1"/>
  <c r="D394" i="2"/>
  <c r="F394" i="2" s="1"/>
  <c r="D372" i="2"/>
  <c r="F372" i="2" s="1"/>
  <c r="D418" i="2"/>
  <c r="F418" i="2" s="1"/>
  <c r="D392" i="2"/>
  <c r="D371" i="2"/>
  <c r="F371" i="2" s="1"/>
  <c r="D410" i="2"/>
  <c r="F410" i="2" s="1"/>
  <c r="D388" i="2"/>
  <c r="F388" i="2" s="1"/>
  <c r="D412" i="2"/>
  <c r="D381" i="2"/>
  <c r="D405" i="2"/>
  <c r="D411" i="2"/>
  <c r="D380" i="2"/>
  <c r="F380" i="2" s="1"/>
  <c r="D408" i="2"/>
  <c r="D379" i="2"/>
  <c r="F379" i="2" s="1"/>
  <c r="D375" i="2"/>
  <c r="F375" i="2" s="1"/>
  <c r="D407" i="2"/>
  <c r="F407" i="2" s="1"/>
  <c r="D378" i="2"/>
  <c r="D406" i="2"/>
  <c r="D376" i="2"/>
  <c r="F376" i="2" s="1"/>
  <c r="D560" i="2"/>
  <c r="D122" i="2"/>
  <c r="D424" i="2"/>
  <c r="D74" i="2"/>
  <c r="D221" i="2"/>
  <c r="E221" i="2" s="1"/>
  <c r="D322" i="2"/>
  <c r="F322" i="2" s="1"/>
  <c r="D386" i="2"/>
  <c r="F386" i="2" s="1"/>
  <c r="D427" i="2"/>
  <c r="F427" i="2" s="1"/>
  <c r="D574" i="2"/>
  <c r="D1365" i="2"/>
  <c r="F1365" i="2" s="1"/>
  <c r="J1805" i="2"/>
  <c r="E1805" i="2"/>
  <c r="F1805" i="2"/>
  <c r="H1805" i="2"/>
  <c r="D2050" i="2"/>
  <c r="N2050" i="2" s="1"/>
  <c r="D1831" i="2"/>
  <c r="E1831" i="2" s="1"/>
  <c r="D1864" i="2"/>
  <c r="H1864" i="2" s="1"/>
  <c r="D1865" i="2"/>
  <c r="I1865" i="2" s="1"/>
  <c r="D35" i="3"/>
  <c r="J49" i="16"/>
  <c r="L49" i="16" s="1"/>
  <c r="D551" i="2"/>
  <c r="D194" i="2"/>
  <c r="D553" i="2"/>
  <c r="D1828" i="2"/>
  <c r="N1828" i="2" s="1"/>
  <c r="D359" i="2"/>
  <c r="F359" i="2" s="1"/>
  <c r="D364" i="2"/>
  <c r="D339" i="2"/>
  <c r="D319" i="2"/>
  <c r="F319" i="2" s="1"/>
  <c r="D363" i="2"/>
  <c r="D338" i="2"/>
  <c r="D318" i="2"/>
  <c r="D362" i="2"/>
  <c r="D337" i="2"/>
  <c r="D317" i="2"/>
  <c r="F317" i="2" s="1"/>
  <c r="D354" i="2"/>
  <c r="F354" i="2" s="1"/>
  <c r="D334" i="2"/>
  <c r="F334" i="2" s="1"/>
  <c r="D314" i="2"/>
  <c r="D361" i="2"/>
  <c r="D336" i="2"/>
  <c r="D316" i="2"/>
  <c r="D360" i="2"/>
  <c r="D335" i="2"/>
  <c r="F335" i="2" s="1"/>
  <c r="D315" i="2"/>
  <c r="D554" i="2"/>
  <c r="D348" i="2"/>
  <c r="D121" i="2"/>
  <c r="I121" i="2" s="1"/>
  <c r="D89" i="2"/>
  <c r="H89" i="2" s="1"/>
  <c r="I89" i="2" s="1"/>
  <c r="D117" i="2"/>
  <c r="D85" i="2"/>
  <c r="D112" i="2"/>
  <c r="D84" i="2"/>
  <c r="H84" i="2" s="1"/>
  <c r="D110" i="2"/>
  <c r="D81" i="2"/>
  <c r="D111" i="2"/>
  <c r="N111" i="2" s="1"/>
  <c r="D83" i="2"/>
  <c r="D82" i="2"/>
  <c r="F82" i="2" s="1"/>
  <c r="D202" i="2"/>
  <c r="D350" i="2"/>
  <c r="F350" i="2" s="1"/>
  <c r="D561" i="2"/>
  <c r="D79" i="2"/>
  <c r="D125" i="2"/>
  <c r="D222" i="2"/>
  <c r="D323" i="2"/>
  <c r="F323" i="2" s="1"/>
  <c r="D353" i="2"/>
  <c r="D387" i="2"/>
  <c r="D583" i="2"/>
  <c r="H583" i="2" s="1"/>
  <c r="D1366" i="2"/>
  <c r="F1366" i="2" s="1"/>
  <c r="D2061" i="2"/>
  <c r="I2061" i="2" s="1"/>
  <c r="D752" i="2"/>
  <c r="D751" i="2"/>
  <c r="D785" i="2"/>
  <c r="J785" i="2" s="1"/>
  <c r="D745" i="2"/>
  <c r="D784" i="2"/>
  <c r="D744" i="2"/>
  <c r="D776" i="2"/>
  <c r="I776" i="2" s="1"/>
  <c r="D735" i="2"/>
  <c r="D729" i="2"/>
  <c r="F729" i="2" s="1"/>
  <c r="D915" i="2"/>
  <c r="D1263" i="2"/>
  <c r="N1263" i="2" s="1"/>
  <c r="D1224" i="2"/>
  <c r="J1224" i="2" s="1"/>
  <c r="D1260" i="2"/>
  <c r="D1218" i="2"/>
  <c r="H1218" i="2" s="1"/>
  <c r="D1259" i="2"/>
  <c r="J1259" i="2" s="1"/>
  <c r="D1217" i="2"/>
  <c r="D1247" i="2"/>
  <c r="F1247" i="2" s="1"/>
  <c r="D1234" i="2"/>
  <c r="F1234" i="2" s="1"/>
  <c r="D1233" i="2"/>
  <c r="N1233" i="2" s="1"/>
  <c r="D1232" i="2"/>
  <c r="D1227" i="2"/>
  <c r="J1227" i="2" s="1"/>
  <c r="D1084" i="2"/>
  <c r="N1084" i="2" s="1"/>
  <c r="D1076" i="2"/>
  <c r="E1076" i="2" s="1"/>
  <c r="D1068" i="2"/>
  <c r="J1068" i="2" s="1"/>
  <c r="N1624" i="2"/>
  <c r="H1624" i="2"/>
  <c r="D736" i="2"/>
  <c r="D933" i="2"/>
  <c r="F933" i="2" s="1"/>
  <c r="D1049" i="2"/>
  <c r="N1049" i="2" s="1"/>
  <c r="D1215" i="2"/>
  <c r="D737" i="2"/>
  <c r="D836" i="2"/>
  <c r="D837" i="2"/>
  <c r="J837" i="2" s="1"/>
  <c r="D813" i="2"/>
  <c r="D793" i="2"/>
  <c r="F793" i="2" s="1"/>
  <c r="D832" i="2"/>
  <c r="H832" i="2" s="1"/>
  <c r="D812" i="2"/>
  <c r="H812" i="2" s="1"/>
  <c r="D792" i="2"/>
  <c r="D831" i="2"/>
  <c r="N831" i="2" s="1"/>
  <c r="D811" i="2"/>
  <c r="D791" i="2"/>
  <c r="D830" i="2"/>
  <c r="J830" i="2" s="1"/>
  <c r="D810" i="2"/>
  <c r="D790" i="2"/>
  <c r="F790" i="2" s="1"/>
  <c r="D827" i="2"/>
  <c r="D807" i="2"/>
  <c r="D821" i="2"/>
  <c r="H821" i="2" s="1"/>
  <c r="D847" i="2"/>
  <c r="D1050" i="2"/>
  <c r="I1050" i="2" s="1"/>
  <c r="D1216" i="2"/>
  <c r="F1216" i="2" s="1"/>
  <c r="D1564" i="2"/>
  <c r="N1564" i="2" s="1"/>
  <c r="D1551" i="2"/>
  <c r="D1526" i="2"/>
  <c r="N1526" i="2" s="1"/>
  <c r="D1550" i="2"/>
  <c r="J1550" i="2" s="1"/>
  <c r="D1525" i="2"/>
  <c r="D1549" i="2"/>
  <c r="E1549" i="2" s="1"/>
  <c r="D1523" i="2"/>
  <c r="D1565" i="2"/>
  <c r="H1565" i="2" s="1"/>
  <c r="D1539" i="2"/>
  <c r="J1539" i="2" s="1"/>
  <c r="D1518" i="2"/>
  <c r="H1518" i="2" s="1"/>
  <c r="D1552" i="2"/>
  <c r="J1552" i="2" s="1"/>
  <c r="D1519" i="2"/>
  <c r="I1519" i="2" s="1"/>
  <c r="D1544" i="2"/>
  <c r="J1544" i="2" s="1"/>
  <c r="D1517" i="2"/>
  <c r="H1517" i="2" s="1"/>
  <c r="D1543" i="2"/>
  <c r="D1512" i="2"/>
  <c r="J1512" i="2" s="1"/>
  <c r="D1542" i="2"/>
  <c r="N1542" i="2" s="1"/>
  <c r="D1511" i="2"/>
  <c r="J1511" i="2" s="1"/>
  <c r="D1567" i="2"/>
  <c r="F1567" i="2" s="1"/>
  <c r="D1536" i="2"/>
  <c r="H1536" i="2" s="1"/>
  <c r="D1508" i="2"/>
  <c r="I1508" i="2" s="1"/>
  <c r="D1553" i="2"/>
  <c r="I1553" i="2" s="1"/>
  <c r="D1541" i="2"/>
  <c r="E1541" i="2" s="1"/>
  <c r="D1538" i="2"/>
  <c r="D1537" i="2"/>
  <c r="N1537" i="2" s="1"/>
  <c r="D1533" i="2"/>
  <c r="H1533" i="2" s="1"/>
  <c r="D1566" i="2"/>
  <c r="F1566" i="2" s="1"/>
  <c r="D2200" i="2"/>
  <c r="E2200" i="2" s="1"/>
  <c r="D2198" i="2"/>
  <c r="I2198" i="2" s="1"/>
  <c r="D2197" i="2"/>
  <c r="N2197" i="2" s="1"/>
  <c r="D2185" i="2"/>
  <c r="I2185" i="2" s="1"/>
  <c r="D2226" i="2"/>
  <c r="E2226" i="2" s="1"/>
  <c r="D2222" i="2"/>
  <c r="N2222" i="2" s="1"/>
  <c r="D924" i="2"/>
  <c r="F924" i="2" s="1"/>
  <c r="D922" i="2"/>
  <c r="D920" i="2"/>
  <c r="D932" i="2"/>
  <c r="H932" i="2" s="1"/>
  <c r="D931" i="2"/>
  <c r="D917" i="2"/>
  <c r="D916" i="2"/>
  <c r="D965" i="2"/>
  <c r="N965" i="2" s="1"/>
  <c r="D249" i="2"/>
  <c r="H249" i="2" s="1"/>
  <c r="D753" i="2"/>
  <c r="D789" i="2"/>
  <c r="D822" i="2"/>
  <c r="F822" i="2" s="1"/>
  <c r="D948" i="2"/>
  <c r="D1062" i="2"/>
  <c r="N1062" i="2" s="1"/>
  <c r="D1226" i="2"/>
  <c r="H1226" i="2" s="1"/>
  <c r="D1509" i="2"/>
  <c r="E1509" i="2" s="1"/>
  <c r="D2188" i="2"/>
  <c r="F2188" i="2" s="1"/>
  <c r="D754" i="2"/>
  <c r="D794" i="2"/>
  <c r="D823" i="2"/>
  <c r="F823" i="2" s="1"/>
  <c r="D949" i="2"/>
  <c r="J949" i="2" s="1"/>
  <c r="D1063" i="2"/>
  <c r="J1063" i="2" s="1"/>
  <c r="D1228" i="2"/>
  <c r="N1228" i="2" s="1"/>
  <c r="D1510" i="2"/>
  <c r="N1510" i="2" s="1"/>
  <c r="D2196" i="2"/>
  <c r="H2196" i="2" s="1"/>
  <c r="E2384" i="2"/>
  <c r="F2384" i="2"/>
  <c r="H2384" i="2"/>
  <c r="D482" i="2"/>
  <c r="D685" i="2"/>
  <c r="D712" i="2"/>
  <c r="D1173" i="2"/>
  <c r="I1173" i="2" s="1"/>
  <c r="D1200" i="2"/>
  <c r="D1202" i="2"/>
  <c r="D1176" i="2"/>
  <c r="I1176" i="2" s="1"/>
  <c r="D1155" i="2"/>
  <c r="D1201" i="2"/>
  <c r="D1175" i="2"/>
  <c r="D1154" i="2"/>
  <c r="F1154" i="2" s="1"/>
  <c r="D1195" i="2"/>
  <c r="H1195" i="2" s="1"/>
  <c r="D1174" i="2"/>
  <c r="N1174" i="2" s="1"/>
  <c r="D1153" i="2"/>
  <c r="D1179" i="2"/>
  <c r="F1179" i="2" s="1"/>
  <c r="D668" i="2"/>
  <c r="D690" i="2"/>
  <c r="H690" i="2" s="1"/>
  <c r="D717" i="2"/>
  <c r="I717" i="2" s="1"/>
  <c r="D1156" i="2"/>
  <c r="D1185" i="2"/>
  <c r="J1185" i="2" s="1"/>
  <c r="D1417" i="2"/>
  <c r="J1417" i="2" s="1"/>
  <c r="D1433" i="2"/>
  <c r="D1416" i="2"/>
  <c r="D1415" i="2"/>
  <c r="I1415" i="2" s="1"/>
  <c r="D1414" i="2"/>
  <c r="H1414" i="2" s="1"/>
  <c r="D1413" i="2"/>
  <c r="N1413" i="2" s="1"/>
  <c r="D695" i="2"/>
  <c r="D719" i="2"/>
  <c r="E719" i="2" s="1"/>
  <c r="D1157" i="2"/>
  <c r="D1186" i="2"/>
  <c r="J1186" i="2" s="1"/>
  <c r="D669" i="2"/>
  <c r="D696" i="2"/>
  <c r="D720" i="2"/>
  <c r="I720" i="2" s="1"/>
  <c r="D1115" i="2"/>
  <c r="D1110" i="2"/>
  <c r="E1110" i="2" s="1"/>
  <c r="D1102" i="2"/>
  <c r="F1102" i="2" s="1"/>
  <c r="D1158" i="2"/>
  <c r="D1187" i="2"/>
  <c r="J1187" i="2" s="1"/>
  <c r="D1297" i="2"/>
  <c r="I1297" i="2" s="1"/>
  <c r="D1317" i="2"/>
  <c r="E1317" i="2" s="1"/>
  <c r="D1324" i="2"/>
  <c r="N1324" i="2" s="1"/>
  <c r="D1323" i="2"/>
  <c r="D1318" i="2"/>
  <c r="H1318" i="2" s="1"/>
  <c r="D1396" i="2"/>
  <c r="J1396" i="2" s="1"/>
  <c r="D1619" i="2"/>
  <c r="E1619" i="2" s="1"/>
  <c r="D1622" i="2"/>
  <c r="D1597" i="2"/>
  <c r="N1597" i="2" s="1"/>
  <c r="D1576" i="2"/>
  <c r="I1576" i="2" s="1"/>
  <c r="D1621" i="2"/>
  <c r="N1621" i="2" s="1"/>
  <c r="D1596" i="2"/>
  <c r="H1596" i="2" s="1"/>
  <c r="D1575" i="2"/>
  <c r="F1575" i="2" s="1"/>
  <c r="D1620" i="2"/>
  <c r="I1620" i="2" s="1"/>
  <c r="D1594" i="2"/>
  <c r="H1594" i="2" s="1"/>
  <c r="D1574" i="2"/>
  <c r="I1574" i="2" s="1"/>
  <c r="D1610" i="2"/>
  <c r="H1610" i="2" s="1"/>
  <c r="D1589" i="2"/>
  <c r="I1589" i="2" s="1"/>
  <c r="D1623" i="2"/>
  <c r="I1623" i="2" s="1"/>
  <c r="D1590" i="2"/>
  <c r="F1590" i="2" s="1"/>
  <c r="D1615" i="2"/>
  <c r="N1615" i="2" s="1"/>
  <c r="D1588" i="2"/>
  <c r="E1588" i="2" s="1"/>
  <c r="D1614" i="2"/>
  <c r="N1614" i="2" s="1"/>
  <c r="D1583" i="2"/>
  <c r="D1613" i="2"/>
  <c r="D1582" i="2"/>
  <c r="I1582" i="2" s="1"/>
  <c r="D1607" i="2"/>
  <c r="F1607" i="2" s="1"/>
  <c r="D1578" i="2"/>
  <c r="H1578" i="2" s="1"/>
  <c r="D1609" i="2"/>
  <c r="J1609" i="2" s="1"/>
  <c r="D1498" i="2"/>
  <c r="E1498" i="2" s="1"/>
  <c r="D1503" i="2"/>
  <c r="N1503" i="2" s="1"/>
  <c r="D1483" i="2"/>
  <c r="D1459" i="2"/>
  <c r="E1459" i="2" s="1"/>
  <c r="D1502" i="2"/>
  <c r="J1502" i="2" s="1"/>
  <c r="D1478" i="2"/>
  <c r="J1478" i="2" s="1"/>
  <c r="D1458" i="2"/>
  <c r="D1501" i="2"/>
  <c r="D1477" i="2"/>
  <c r="D1457" i="2"/>
  <c r="H1457" i="2" s="1"/>
  <c r="D1492" i="2"/>
  <c r="F1492" i="2" s="1"/>
  <c r="D1472" i="2"/>
  <c r="E1472" i="2" s="1"/>
  <c r="D1474" i="2"/>
  <c r="J1474" i="2" s="1"/>
  <c r="D1505" i="2"/>
  <c r="H1505" i="2" s="1"/>
  <c r="D1454" i="2"/>
  <c r="E1454" i="2" s="1"/>
  <c r="D1485" i="2"/>
  <c r="F1485" i="2" s="1"/>
  <c r="D1916" i="2"/>
  <c r="J1916" i="2" s="1"/>
  <c r="D1878" i="2"/>
  <c r="D1913" i="2"/>
  <c r="I1913" i="2" s="1"/>
  <c r="D1877" i="2"/>
  <c r="I1877" i="2" s="1"/>
  <c r="D1912" i="2"/>
  <c r="H1912" i="2" s="1"/>
  <c r="D1876" i="2"/>
  <c r="D1898" i="2"/>
  <c r="F1898" i="2" s="1"/>
  <c r="D1922" i="2"/>
  <c r="N1922" i="2" s="1"/>
  <c r="D988" i="2"/>
  <c r="H988" i="2" s="1"/>
  <c r="D1008" i="2"/>
  <c r="N1008" i="2" s="1"/>
  <c r="D1455" i="2"/>
  <c r="N1455" i="2" s="1"/>
  <c r="D1486" i="2"/>
  <c r="J1486" i="2" s="1"/>
  <c r="D1684" i="2"/>
  <c r="E1684" i="2" s="1"/>
  <c r="D1658" i="2"/>
  <c r="I1658" i="2" s="1"/>
  <c r="D1683" i="2"/>
  <c r="D1648" i="2"/>
  <c r="D1682" i="2"/>
  <c r="N1682" i="2" s="1"/>
  <c r="D1647" i="2"/>
  <c r="H1647" i="2" s="1"/>
  <c r="D1668" i="2"/>
  <c r="I1668" i="2" s="1"/>
  <c r="D1642" i="2"/>
  <c r="N1642" i="2" s="1"/>
  <c r="D1666" i="2"/>
  <c r="D1772" i="2"/>
  <c r="N1772" i="2" s="1"/>
  <c r="D1869" i="2"/>
  <c r="N1869" i="2" s="1"/>
  <c r="D1923" i="2"/>
  <c r="J1923" i="2" s="1"/>
  <c r="D2257" i="2"/>
  <c r="F2257" i="2" s="1"/>
  <c r="D2348" i="2"/>
  <c r="D1009" i="2"/>
  <c r="N1009" i="2" s="1"/>
  <c r="D1456" i="2"/>
  <c r="H1456" i="2" s="1"/>
  <c r="D1487" i="2"/>
  <c r="I1487" i="2" s="1"/>
  <c r="D1727" i="2"/>
  <c r="H1727" i="2" s="1"/>
  <c r="D1738" i="2"/>
  <c r="E1738" i="2" s="1"/>
  <c r="D1706" i="2"/>
  <c r="D1737" i="2"/>
  <c r="J1737" i="2" s="1"/>
  <c r="D1705" i="2"/>
  <c r="D1736" i="2"/>
  <c r="N1736" i="2" s="1"/>
  <c r="D1704" i="2"/>
  <c r="F1704" i="2" s="1"/>
  <c r="D1723" i="2"/>
  <c r="E1723" i="2" s="1"/>
  <c r="D1695" i="2"/>
  <c r="E1695" i="2" s="1"/>
  <c r="D1722" i="2"/>
  <c r="I1722" i="2" s="1"/>
  <c r="D1873" i="2"/>
  <c r="I1873" i="2" s="1"/>
  <c r="D2278" i="2"/>
  <c r="E2278" i="2" s="1"/>
  <c r="D2273" i="2"/>
  <c r="E2273" i="2" s="1"/>
  <c r="D2252" i="2"/>
  <c r="E2252" i="2" s="1"/>
  <c r="D2232" i="2"/>
  <c r="H2232" i="2" s="1"/>
  <c r="D2272" i="2"/>
  <c r="F2272" i="2" s="1"/>
  <c r="D2251" i="2"/>
  <c r="D2231" i="2"/>
  <c r="E2231" i="2" s="1"/>
  <c r="D2270" i="2"/>
  <c r="I2270" i="2" s="1"/>
  <c r="D2250" i="2"/>
  <c r="N2250" i="2" s="1"/>
  <c r="D2229" i="2"/>
  <c r="E2229" i="2" s="1"/>
  <c r="D2267" i="2"/>
  <c r="J2267" i="2" s="1"/>
  <c r="D2246" i="2"/>
  <c r="I2246" i="2" s="1"/>
  <c r="D2285" i="2"/>
  <c r="F2285" i="2" s="1"/>
  <c r="D2265" i="2"/>
  <c r="F2265" i="2" s="1"/>
  <c r="D2242" i="2"/>
  <c r="I2242" i="2" s="1"/>
  <c r="D2258" i="2"/>
  <c r="F2258" i="2" s="1"/>
  <c r="D2390" i="2"/>
  <c r="E2390" i="2" s="1"/>
  <c r="D2363" i="2"/>
  <c r="N2363" i="2" s="1"/>
  <c r="D2386" i="2"/>
  <c r="H2386" i="2" s="1"/>
  <c r="D2362" i="2"/>
  <c r="D2385" i="2"/>
  <c r="I2385" i="2" s="1"/>
  <c r="D2361" i="2"/>
  <c r="I2361" i="2" s="1"/>
  <c r="D2382" i="2"/>
  <c r="H2382" i="2" s="1"/>
  <c r="D2355" i="2"/>
  <c r="I2355" i="2" s="1"/>
  <c r="D2404" i="2"/>
  <c r="H2404" i="2" s="1"/>
  <c r="D2380" i="2"/>
  <c r="H2380" i="2" s="1"/>
  <c r="D2350" i="2"/>
  <c r="E2350" i="2" s="1"/>
  <c r="D2393" i="2"/>
  <c r="J2393" i="2" s="1"/>
  <c r="D970" i="2"/>
  <c r="D990" i="2"/>
  <c r="F990" i="2" s="1"/>
  <c r="D1010" i="2"/>
  <c r="D1460" i="2"/>
  <c r="J1460" i="2" s="1"/>
  <c r="D1488" i="2"/>
  <c r="I1488" i="2" s="1"/>
  <c r="D1669" i="2"/>
  <c r="N1669" i="2" s="1"/>
  <c r="D1691" i="2"/>
  <c r="J1691" i="2" s="1"/>
  <c r="D1724" i="2"/>
  <c r="I1724" i="2" s="1"/>
  <c r="D1798" i="2"/>
  <c r="N1798" i="2" s="1"/>
  <c r="D1802" i="2"/>
  <c r="E1802" i="2" s="1"/>
  <c r="D1777" i="2"/>
  <c r="N1777" i="2" s="1"/>
  <c r="D1756" i="2"/>
  <c r="I1756" i="2" s="1"/>
  <c r="D1801" i="2"/>
  <c r="H1801" i="2" s="1"/>
  <c r="D1776" i="2"/>
  <c r="J1776" i="2" s="1"/>
  <c r="D1755" i="2"/>
  <c r="E1755" i="2" s="1"/>
  <c r="D1800" i="2"/>
  <c r="D1775" i="2"/>
  <c r="N1775" i="2" s="1"/>
  <c r="D1754" i="2"/>
  <c r="E1754" i="2" s="1"/>
  <c r="D1791" i="2"/>
  <c r="N1791" i="2" s="1"/>
  <c r="D1769" i="2"/>
  <c r="D1778" i="2"/>
  <c r="I1778" i="2" s="1"/>
  <c r="D1879" i="2"/>
  <c r="N1879" i="2" s="1"/>
  <c r="D2233" i="2"/>
  <c r="H2233" i="2" s="1"/>
  <c r="D2259" i="2"/>
  <c r="E2259" i="2" s="1"/>
  <c r="D2349" i="2"/>
  <c r="H2349" i="2" s="1"/>
  <c r="D2395" i="2"/>
  <c r="H2395" i="2" s="1"/>
  <c r="D2008" i="2"/>
  <c r="F2008" i="2" s="1"/>
  <c r="D2012" i="2"/>
  <c r="H2012" i="2" s="1"/>
  <c r="J13" i="11"/>
  <c r="B8" i="2"/>
  <c r="D61" i="2"/>
  <c r="D45" i="2"/>
  <c r="D29" i="2"/>
  <c r="D13" i="2"/>
  <c r="H13" i="2" s="1"/>
  <c r="D60" i="2"/>
  <c r="D44" i="2"/>
  <c r="D28" i="2"/>
  <c r="D12" i="2"/>
  <c r="H12" i="2" s="1"/>
  <c r="D59" i="2"/>
  <c r="D43" i="2"/>
  <c r="D27" i="2"/>
  <c r="D11" i="2"/>
  <c r="H11" i="2" s="1"/>
  <c r="D58" i="2"/>
  <c r="D42" i="2"/>
  <c r="D26" i="2"/>
  <c r="D10" i="2"/>
  <c r="H10" i="2" s="1"/>
  <c r="D54" i="2"/>
  <c r="D38" i="2"/>
  <c r="D32" i="2"/>
  <c r="D53" i="2"/>
  <c r="H8" i="2"/>
  <c r="I8" i="2" s="1"/>
  <c r="N428" i="2"/>
  <c r="D15" i="2"/>
  <c r="H15" i="2" s="1"/>
  <c r="D35" i="2"/>
  <c r="D57" i="2"/>
  <c r="N257" i="2"/>
  <c r="D16" i="2"/>
  <c r="H16" i="2" s="1"/>
  <c r="D36" i="2"/>
  <c r="D62" i="2"/>
  <c r="N726" i="2"/>
  <c r="H726" i="2"/>
  <c r="E726" i="2"/>
  <c r="J726" i="2"/>
  <c r="I726" i="2"/>
  <c r="D17" i="2"/>
  <c r="D37" i="2"/>
  <c r="D63" i="2"/>
  <c r="N124" i="2"/>
  <c r="J124" i="2"/>
  <c r="I124" i="2"/>
  <c r="H124" i="2"/>
  <c r="F124" i="2"/>
  <c r="D18" i="2"/>
  <c r="H18" i="2" s="1"/>
  <c r="D39" i="2"/>
  <c r="D64" i="2"/>
  <c r="D304" i="2"/>
  <c r="F304" i="2" s="1"/>
  <c r="D288" i="2"/>
  <c r="F288" i="2" s="1"/>
  <c r="D272" i="2"/>
  <c r="F272" i="2" s="1"/>
  <c r="D256" i="2"/>
  <c r="F256" i="2" s="1"/>
  <c r="D303" i="2"/>
  <c r="F303" i="2" s="1"/>
  <c r="D287" i="2"/>
  <c r="F287" i="2" s="1"/>
  <c r="D271" i="2"/>
  <c r="F271" i="2" s="1"/>
  <c r="D255" i="2"/>
  <c r="D302" i="2"/>
  <c r="F302" i="2" s="1"/>
  <c r="D286" i="2"/>
  <c r="F286" i="2" s="1"/>
  <c r="D270" i="2"/>
  <c r="F270" i="2" s="1"/>
  <c r="D254" i="2"/>
  <c r="D301" i="2"/>
  <c r="F301" i="2" s="1"/>
  <c r="D285" i="2"/>
  <c r="F285" i="2" s="1"/>
  <c r="D269" i="2"/>
  <c r="F269" i="2" s="1"/>
  <c r="D253" i="2"/>
  <c r="D300" i="2"/>
  <c r="F300" i="2" s="1"/>
  <c r="D284" i="2"/>
  <c r="F284" i="2" s="1"/>
  <c r="D268" i="2"/>
  <c r="F268" i="2" s="1"/>
  <c r="D252" i="2"/>
  <c r="D291" i="2"/>
  <c r="F291" i="2" s="1"/>
  <c r="D265" i="2"/>
  <c r="F265" i="2" s="1"/>
  <c r="D290" i="2"/>
  <c r="F290" i="2" s="1"/>
  <c r="D264" i="2"/>
  <c r="F264" i="2" s="1"/>
  <c r="D289" i="2"/>
  <c r="F289" i="2" s="1"/>
  <c r="D263" i="2"/>
  <c r="F263" i="2" s="1"/>
  <c r="D283" i="2"/>
  <c r="F283" i="2" s="1"/>
  <c r="D262" i="2"/>
  <c r="F262" i="2" s="1"/>
  <c r="D282" i="2"/>
  <c r="F282" i="2" s="1"/>
  <c r="D261" i="2"/>
  <c r="F261" i="2" s="1"/>
  <c r="D298" i="2"/>
  <c r="F298" i="2" s="1"/>
  <c r="D277" i="2"/>
  <c r="F277" i="2" s="1"/>
  <c r="D251" i="2"/>
  <c r="D297" i="2"/>
  <c r="F297" i="2" s="1"/>
  <c r="D276" i="2"/>
  <c r="F276" i="2" s="1"/>
  <c r="D250" i="2"/>
  <c r="D279" i="2"/>
  <c r="F279" i="2" s="1"/>
  <c r="D278" i="2"/>
  <c r="F278" i="2" s="1"/>
  <c r="D275" i="2"/>
  <c r="F275" i="2" s="1"/>
  <c r="D274" i="2"/>
  <c r="F274" i="2" s="1"/>
  <c r="D273" i="2"/>
  <c r="F273" i="2" s="1"/>
  <c r="D306" i="2"/>
  <c r="F306" i="2" s="1"/>
  <c r="D266" i="2"/>
  <c r="F266" i="2" s="1"/>
  <c r="D305" i="2"/>
  <c r="F305" i="2" s="1"/>
  <c r="D260" i="2"/>
  <c r="F260" i="2" s="1"/>
  <c r="D299" i="2"/>
  <c r="F299" i="2" s="1"/>
  <c r="D259" i="2"/>
  <c r="F259" i="2" s="1"/>
  <c r="H352" i="2"/>
  <c r="E352" i="2"/>
  <c r="J352" i="2"/>
  <c r="N352" i="2"/>
  <c r="D258" i="2"/>
  <c r="F258" i="2" s="1"/>
  <c r="D281" i="2"/>
  <c r="F281" i="2" s="1"/>
  <c r="D292" i="2"/>
  <c r="F292" i="2" s="1"/>
  <c r="I172" i="2"/>
  <c r="H172" i="2"/>
  <c r="F172" i="2"/>
  <c r="E172" i="2"/>
  <c r="D293" i="2"/>
  <c r="F293" i="2" s="1"/>
  <c r="N901" i="2"/>
  <c r="H901" i="2"/>
  <c r="F901" i="2"/>
  <c r="J901" i="2"/>
  <c r="I901" i="2"/>
  <c r="E901" i="2"/>
  <c r="D294" i="2"/>
  <c r="F294" i="2" s="1"/>
  <c r="D120" i="2"/>
  <c r="D104" i="2"/>
  <c r="D88" i="2"/>
  <c r="D72" i="2"/>
  <c r="D119" i="2"/>
  <c r="D103" i="2"/>
  <c r="D87" i="2"/>
  <c r="D71" i="2"/>
  <c r="D118" i="2"/>
  <c r="D102" i="2"/>
  <c r="D86" i="2"/>
  <c r="D70" i="2"/>
  <c r="D90" i="2"/>
  <c r="D109" i="2"/>
  <c r="D75" i="2"/>
  <c r="D94" i="2"/>
  <c r="D113" i="2"/>
  <c r="D76" i="2"/>
  <c r="D95" i="2"/>
  <c r="D114" i="2"/>
  <c r="F193" i="2"/>
  <c r="N193" i="2" s="1"/>
  <c r="D77" i="2"/>
  <c r="D96" i="2"/>
  <c r="D115" i="2"/>
  <c r="D78" i="2"/>
  <c r="D97" i="2"/>
  <c r="D116" i="2"/>
  <c r="I193" i="2"/>
  <c r="D472" i="2"/>
  <c r="F472" i="2" s="1"/>
  <c r="D456" i="2"/>
  <c r="F456" i="2" s="1"/>
  <c r="D440" i="2"/>
  <c r="F440" i="2" s="1"/>
  <c r="D487" i="2"/>
  <c r="F487" i="2" s="1"/>
  <c r="D471" i="2"/>
  <c r="F471" i="2" s="1"/>
  <c r="D455" i="2"/>
  <c r="F455" i="2" s="1"/>
  <c r="D439" i="2"/>
  <c r="F439" i="2" s="1"/>
  <c r="D486" i="2"/>
  <c r="F486" i="2" s="1"/>
  <c r="D470" i="2"/>
  <c r="F470" i="2" s="1"/>
  <c r="D454" i="2"/>
  <c r="F454" i="2" s="1"/>
  <c r="D438" i="2"/>
  <c r="F438" i="2" s="1"/>
  <c r="D485" i="2"/>
  <c r="F485" i="2" s="1"/>
  <c r="D469" i="2"/>
  <c r="F469" i="2" s="1"/>
  <c r="D453" i="2"/>
  <c r="F453" i="2" s="1"/>
  <c r="D437" i="2"/>
  <c r="F437" i="2" s="1"/>
  <c r="D480" i="2"/>
  <c r="F480" i="2" s="1"/>
  <c r="D464" i="2"/>
  <c r="F464" i="2" s="1"/>
  <c r="D448" i="2"/>
  <c r="F448" i="2" s="1"/>
  <c r="D432" i="2"/>
  <c r="F432" i="2" s="1"/>
  <c r="D478" i="2"/>
  <c r="F478" i="2" s="1"/>
  <c r="D462" i="2"/>
  <c r="F462" i="2" s="1"/>
  <c r="D446" i="2"/>
  <c r="F446" i="2" s="1"/>
  <c r="D430" i="2"/>
  <c r="F430" i="2" s="1"/>
  <c r="D466" i="2"/>
  <c r="F466" i="2" s="1"/>
  <c r="D442" i="2"/>
  <c r="F442" i="2" s="1"/>
  <c r="D465" i="2"/>
  <c r="F465" i="2" s="1"/>
  <c r="D441" i="2"/>
  <c r="F441" i="2" s="1"/>
  <c r="D463" i="2"/>
  <c r="F463" i="2" s="1"/>
  <c r="D436" i="2"/>
  <c r="F436" i="2" s="1"/>
  <c r="D461" i="2"/>
  <c r="F461" i="2" s="1"/>
  <c r="D435" i="2"/>
  <c r="F435" i="2" s="1"/>
  <c r="D484" i="2"/>
  <c r="F484" i="2" s="1"/>
  <c r="D460" i="2"/>
  <c r="F460" i="2" s="1"/>
  <c r="D434" i="2"/>
  <c r="F434" i="2" s="1"/>
  <c r="D476" i="2"/>
  <c r="F476" i="2" s="1"/>
  <c r="D450" i="2"/>
  <c r="F450" i="2" s="1"/>
  <c r="D481" i="2"/>
  <c r="F481" i="2" s="1"/>
  <c r="D444" i="2"/>
  <c r="F444" i="2" s="1"/>
  <c r="D479" i="2"/>
  <c r="F479" i="2" s="1"/>
  <c r="D443" i="2"/>
  <c r="F443" i="2" s="1"/>
  <c r="D477" i="2"/>
  <c r="F477" i="2" s="1"/>
  <c r="D433" i="2"/>
  <c r="F433" i="2" s="1"/>
  <c r="D475" i="2"/>
  <c r="F475" i="2" s="1"/>
  <c r="D431" i="2"/>
  <c r="F431" i="2" s="1"/>
  <c r="D474" i="2"/>
  <c r="F474" i="2" s="1"/>
  <c r="D429" i="2"/>
  <c r="F429" i="2" s="1"/>
  <c r="D458" i="2"/>
  <c r="F458" i="2" s="1"/>
  <c r="D457" i="2"/>
  <c r="F457" i="2" s="1"/>
  <c r="D906" i="2"/>
  <c r="D890" i="2"/>
  <c r="D874" i="2"/>
  <c r="D858" i="2"/>
  <c r="D905" i="2"/>
  <c r="D889" i="2"/>
  <c r="D873" i="2"/>
  <c r="D857" i="2"/>
  <c r="D904" i="2"/>
  <c r="D888" i="2"/>
  <c r="D872" i="2"/>
  <c r="D856" i="2"/>
  <c r="D903" i="2"/>
  <c r="D887" i="2"/>
  <c r="D871" i="2"/>
  <c r="D855" i="2"/>
  <c r="D902" i="2"/>
  <c r="D886" i="2"/>
  <c r="D870" i="2"/>
  <c r="D854" i="2"/>
  <c r="D885" i="2"/>
  <c r="D864" i="2"/>
  <c r="D884" i="2"/>
  <c r="D863" i="2"/>
  <c r="D883" i="2"/>
  <c r="D862" i="2"/>
  <c r="D882" i="2"/>
  <c r="D861" i="2"/>
  <c r="D898" i="2"/>
  <c r="D877" i="2"/>
  <c r="D851" i="2"/>
  <c r="D896" i="2"/>
  <c r="D875" i="2"/>
  <c r="D849" i="2"/>
  <c r="D891" i="2"/>
  <c r="D865" i="2"/>
  <c r="D879" i="2"/>
  <c r="D878" i="2"/>
  <c r="D876" i="2"/>
  <c r="D869" i="2"/>
  <c r="D899" i="2"/>
  <c r="D859" i="2"/>
  <c r="D895" i="2"/>
  <c r="D852" i="2"/>
  <c r="D900" i="2"/>
  <c r="D897" i="2"/>
  <c r="D894" i="2"/>
  <c r="D893" i="2"/>
  <c r="D892" i="2"/>
  <c r="D860" i="2"/>
  <c r="D880" i="2"/>
  <c r="D868" i="2"/>
  <c r="D867" i="2"/>
  <c r="D866" i="2"/>
  <c r="D853" i="2"/>
  <c r="D881" i="2"/>
  <c r="F1037" i="2"/>
  <c r="N1037" i="2" s="1"/>
  <c r="D233" i="2"/>
  <c r="D217" i="2"/>
  <c r="D201" i="2"/>
  <c r="D232" i="2"/>
  <c r="D216" i="2"/>
  <c r="D200" i="2"/>
  <c r="D247" i="2"/>
  <c r="D231" i="2"/>
  <c r="D215" i="2"/>
  <c r="D199" i="2"/>
  <c r="D246" i="2"/>
  <c r="D230" i="2"/>
  <c r="D214" i="2"/>
  <c r="D198" i="2"/>
  <c r="D245" i="2"/>
  <c r="D229" i="2"/>
  <c r="D213" i="2"/>
  <c r="D197" i="2"/>
  <c r="D209" i="2"/>
  <c r="D235" i="2"/>
  <c r="D141" i="2"/>
  <c r="D163" i="2"/>
  <c r="D184" i="2"/>
  <c r="D189" i="2"/>
  <c r="D210" i="2"/>
  <c r="D236" i="2"/>
  <c r="D543" i="2"/>
  <c r="D527" i="2"/>
  <c r="D511" i="2"/>
  <c r="D495" i="2"/>
  <c r="F495" i="2" s="1"/>
  <c r="D542" i="2"/>
  <c r="D526" i="2"/>
  <c r="D510" i="2"/>
  <c r="D494" i="2"/>
  <c r="F494" i="2" s="1"/>
  <c r="D541" i="2"/>
  <c r="D525" i="2"/>
  <c r="D509" i="2"/>
  <c r="D493" i="2"/>
  <c r="F493" i="2" s="1"/>
  <c r="D540" i="2"/>
  <c r="D524" i="2"/>
  <c r="D508" i="2"/>
  <c r="D492" i="2"/>
  <c r="F492" i="2" s="1"/>
  <c r="D535" i="2"/>
  <c r="D519" i="2"/>
  <c r="D503" i="2"/>
  <c r="D488" i="2"/>
  <c r="F488" i="2" s="1"/>
  <c r="D533" i="2"/>
  <c r="D517" i="2"/>
  <c r="D501" i="2"/>
  <c r="D531" i="2"/>
  <c r="D505" i="2"/>
  <c r="D530" i="2"/>
  <c r="D504" i="2"/>
  <c r="D529" i="2"/>
  <c r="D502" i="2"/>
  <c r="D528" i="2"/>
  <c r="D500" i="2"/>
  <c r="D523" i="2"/>
  <c r="D499" i="2"/>
  <c r="D539" i="2"/>
  <c r="D515" i="2"/>
  <c r="D489" i="2"/>
  <c r="F489" i="2" s="1"/>
  <c r="D532" i="2"/>
  <c r="D661" i="2"/>
  <c r="D142" i="2"/>
  <c r="D164" i="2"/>
  <c r="D185" i="2"/>
  <c r="D190" i="2"/>
  <c r="D211" i="2"/>
  <c r="D237" i="2"/>
  <c r="D490" i="2"/>
  <c r="F490" i="2" s="1"/>
  <c r="D534" i="2"/>
  <c r="D662" i="2"/>
  <c r="D128" i="2"/>
  <c r="D143" i="2"/>
  <c r="D165" i="2"/>
  <c r="D191" i="2"/>
  <c r="D212" i="2"/>
  <c r="D238" i="2"/>
  <c r="D491" i="2"/>
  <c r="F491" i="2" s="1"/>
  <c r="D536" i="2"/>
  <c r="D178" i="2"/>
  <c r="D162" i="2"/>
  <c r="D146" i="2"/>
  <c r="D177" i="2"/>
  <c r="D161" i="2"/>
  <c r="D145" i="2"/>
  <c r="D176" i="2"/>
  <c r="D160" i="2"/>
  <c r="D175" i="2"/>
  <c r="D174" i="2"/>
  <c r="D158" i="2"/>
  <c r="D144" i="2"/>
  <c r="D166" i="2"/>
  <c r="D187" i="2"/>
  <c r="D192" i="2"/>
  <c r="D218" i="2"/>
  <c r="D239" i="2"/>
  <c r="D496" i="2"/>
  <c r="D537" i="2"/>
  <c r="D655" i="2"/>
  <c r="D639" i="2"/>
  <c r="D623" i="2"/>
  <c r="D608" i="2"/>
  <c r="D654" i="2"/>
  <c r="D638" i="2"/>
  <c r="D622" i="2"/>
  <c r="D653" i="2"/>
  <c r="D637" i="2"/>
  <c r="D621" i="2"/>
  <c r="D652" i="2"/>
  <c r="D636" i="2"/>
  <c r="D620" i="2"/>
  <c r="D663" i="2"/>
  <c r="D647" i="2"/>
  <c r="D631" i="2"/>
  <c r="D615" i="2"/>
  <c r="D646" i="2"/>
  <c r="D625" i="2"/>
  <c r="D667" i="2"/>
  <c r="D645" i="2"/>
  <c r="D624" i="2"/>
  <c r="D666" i="2"/>
  <c r="D644" i="2"/>
  <c r="D619" i="2"/>
  <c r="D665" i="2"/>
  <c r="D643" i="2"/>
  <c r="D618" i="2"/>
  <c r="D659" i="2"/>
  <c r="D634" i="2"/>
  <c r="D612" i="2"/>
  <c r="D657" i="2"/>
  <c r="D632" i="2"/>
  <c r="D610" i="2"/>
  <c r="D656" i="2"/>
  <c r="D616" i="2"/>
  <c r="D651" i="2"/>
  <c r="D614" i="2"/>
  <c r="D650" i="2"/>
  <c r="D613" i="2"/>
  <c r="D649" i="2"/>
  <c r="D611" i="2"/>
  <c r="D648" i="2"/>
  <c r="D609" i="2"/>
  <c r="D630" i="2"/>
  <c r="D355" i="2"/>
  <c r="F355" i="2" s="1"/>
  <c r="E426" i="2"/>
  <c r="I426" i="2"/>
  <c r="D324" i="2"/>
  <c r="F324" i="2" s="1"/>
  <c r="D340" i="2"/>
  <c r="F340" i="2" s="1"/>
  <c r="D356" i="2"/>
  <c r="F356" i="2" s="1"/>
  <c r="J426" i="2"/>
  <c r="E584" i="2"/>
  <c r="N584" i="2"/>
  <c r="H584" i="2"/>
  <c r="F584" i="2"/>
  <c r="D309" i="2"/>
  <c r="F309" i="2" s="1"/>
  <c r="D325" i="2"/>
  <c r="F325" i="2" s="1"/>
  <c r="D341" i="2"/>
  <c r="F341" i="2" s="1"/>
  <c r="D357" i="2"/>
  <c r="F357" i="2" s="1"/>
  <c r="I774" i="2"/>
  <c r="J774" i="2"/>
  <c r="H774" i="2"/>
  <c r="J1124" i="2"/>
  <c r="I1124" i="2"/>
  <c r="H1124" i="2"/>
  <c r="F1124" i="2"/>
  <c r="E1124" i="2"/>
  <c r="J1205" i="2"/>
  <c r="E1205" i="2"/>
  <c r="I1205" i="2"/>
  <c r="H1205" i="2"/>
  <c r="F1205" i="2"/>
  <c r="N1205" i="2"/>
  <c r="D310" i="2"/>
  <c r="F310" i="2" s="1"/>
  <c r="D326" i="2"/>
  <c r="F326" i="2" s="1"/>
  <c r="D342" i="2"/>
  <c r="F342" i="2" s="1"/>
  <c r="D358" i="2"/>
  <c r="F358" i="2" s="1"/>
  <c r="D311" i="2"/>
  <c r="F311" i="2" s="1"/>
  <c r="D327" i="2"/>
  <c r="F327" i="2" s="1"/>
  <c r="D343" i="2"/>
  <c r="F343" i="2" s="1"/>
  <c r="N426" i="2"/>
  <c r="N1313" i="2"/>
  <c r="J1313" i="2"/>
  <c r="F1313" i="2"/>
  <c r="E1313" i="2"/>
  <c r="I1313" i="2"/>
  <c r="H1313" i="2"/>
  <c r="D377" i="2"/>
  <c r="F377" i="2" s="1"/>
  <c r="D393" i="2"/>
  <c r="F393" i="2" s="1"/>
  <c r="D409" i="2"/>
  <c r="F409" i="2" s="1"/>
  <c r="D425" i="2"/>
  <c r="F425" i="2" s="1"/>
  <c r="D781" i="2"/>
  <c r="D765" i="2"/>
  <c r="D749" i="2"/>
  <c r="D733" i="2"/>
  <c r="D780" i="2"/>
  <c r="D764" i="2"/>
  <c r="D748" i="2"/>
  <c r="D732" i="2"/>
  <c r="D779" i="2"/>
  <c r="D763" i="2"/>
  <c r="D747" i="2"/>
  <c r="D731" i="2"/>
  <c r="D778" i="2"/>
  <c r="D762" i="2"/>
  <c r="D746" i="2"/>
  <c r="D730" i="2"/>
  <c r="D773" i="2"/>
  <c r="D757" i="2"/>
  <c r="D741" i="2"/>
  <c r="D787" i="2"/>
  <c r="D771" i="2"/>
  <c r="D755" i="2"/>
  <c r="D739" i="2"/>
  <c r="D782" i="2"/>
  <c r="D766" i="2"/>
  <c r="D750" i="2"/>
  <c r="D734" i="2"/>
  <c r="D758" i="2"/>
  <c r="D786" i="2"/>
  <c r="D382" i="2"/>
  <c r="F382" i="2" s="1"/>
  <c r="D398" i="2"/>
  <c r="F398" i="2" s="1"/>
  <c r="D414" i="2"/>
  <c r="F414" i="2" s="1"/>
  <c r="D548" i="2"/>
  <c r="D563" i="2"/>
  <c r="D579" i="2"/>
  <c r="D595" i="2"/>
  <c r="D738" i="2"/>
  <c r="D768" i="2"/>
  <c r="D368" i="2"/>
  <c r="F368" i="2" s="1"/>
  <c r="D383" i="2"/>
  <c r="F383" i="2" s="1"/>
  <c r="D399" i="2"/>
  <c r="F399" i="2" s="1"/>
  <c r="D415" i="2"/>
  <c r="F415" i="2" s="1"/>
  <c r="D564" i="2"/>
  <c r="D580" i="2"/>
  <c r="D596" i="2"/>
  <c r="D740" i="2"/>
  <c r="D769" i="2"/>
  <c r="I947" i="2"/>
  <c r="H947" i="2"/>
  <c r="F947" i="2"/>
  <c r="E947" i="2"/>
  <c r="N947" i="2"/>
  <c r="J947" i="2"/>
  <c r="D384" i="2"/>
  <c r="F384" i="2" s="1"/>
  <c r="D400" i="2"/>
  <c r="F400" i="2" s="1"/>
  <c r="D416" i="2"/>
  <c r="F416" i="2" s="1"/>
  <c r="D549" i="2"/>
  <c r="D565" i="2"/>
  <c r="D581" i="2"/>
  <c r="D597" i="2"/>
  <c r="D742" i="2"/>
  <c r="D770" i="2"/>
  <c r="N1016" i="2"/>
  <c r="E1016" i="2"/>
  <c r="J1016" i="2"/>
  <c r="F1016" i="2"/>
  <c r="D1075" i="2"/>
  <c r="D1059" i="2"/>
  <c r="D1043" i="2"/>
  <c r="D1028" i="2"/>
  <c r="D1074" i="2"/>
  <c r="D1058" i="2"/>
  <c r="D1042" i="2"/>
  <c r="D1073" i="2"/>
  <c r="D1057" i="2"/>
  <c r="D1041" i="2"/>
  <c r="D1072" i="2"/>
  <c r="D1056" i="2"/>
  <c r="D1040" i="2"/>
  <c r="D1083" i="2"/>
  <c r="D1067" i="2"/>
  <c r="D1051" i="2"/>
  <c r="D1035" i="2"/>
  <c r="D1081" i="2"/>
  <c r="D1060" i="2"/>
  <c r="D1034" i="2"/>
  <c r="D1080" i="2"/>
  <c r="D1055" i="2"/>
  <c r="D1033" i="2"/>
  <c r="D1079" i="2"/>
  <c r="D1054" i="2"/>
  <c r="D1032" i="2"/>
  <c r="D1078" i="2"/>
  <c r="D1053" i="2"/>
  <c r="D1031" i="2"/>
  <c r="D1077" i="2"/>
  <c r="D1052" i="2"/>
  <c r="D1030" i="2"/>
  <c r="D1066" i="2"/>
  <c r="D1045" i="2"/>
  <c r="D1087" i="2"/>
  <c r="D1065" i="2"/>
  <c r="D1044" i="2"/>
  <c r="D1082" i="2"/>
  <c r="D1061" i="2"/>
  <c r="D1036" i="2"/>
  <c r="D1047" i="2"/>
  <c r="D1046" i="2"/>
  <c r="D1086" i="2"/>
  <c r="D1039" i="2"/>
  <c r="D1085" i="2"/>
  <c r="D1038" i="2"/>
  <c r="D1069" i="2"/>
  <c r="D1064" i="2"/>
  <c r="D1048" i="2"/>
  <c r="D1146" i="2"/>
  <c r="D1130" i="2"/>
  <c r="D1114" i="2"/>
  <c r="D1098" i="2"/>
  <c r="D1145" i="2"/>
  <c r="D1129" i="2"/>
  <c r="D1113" i="2"/>
  <c r="D1097" i="2"/>
  <c r="D1144" i="2"/>
  <c r="D1128" i="2"/>
  <c r="D1112" i="2"/>
  <c r="D1096" i="2"/>
  <c r="D1143" i="2"/>
  <c r="D1127" i="2"/>
  <c r="D1111" i="2"/>
  <c r="D1095" i="2"/>
  <c r="D1138" i="2"/>
  <c r="D1122" i="2"/>
  <c r="D1106" i="2"/>
  <c r="D1090" i="2"/>
  <c r="D1133" i="2"/>
  <c r="D1108" i="2"/>
  <c r="D1132" i="2"/>
  <c r="D1107" i="2"/>
  <c r="D1131" i="2"/>
  <c r="D1105" i="2"/>
  <c r="D1126" i="2"/>
  <c r="D1104" i="2"/>
  <c r="D1125" i="2"/>
  <c r="D1103" i="2"/>
  <c r="D1140" i="2"/>
  <c r="D1118" i="2"/>
  <c r="D1093" i="2"/>
  <c r="D1139" i="2"/>
  <c r="D1117" i="2"/>
  <c r="D1092" i="2"/>
  <c r="D1134" i="2"/>
  <c r="D1109" i="2"/>
  <c r="D1088" i="2"/>
  <c r="D1142" i="2"/>
  <c r="D1099" i="2"/>
  <c r="D1141" i="2"/>
  <c r="D1094" i="2"/>
  <c r="D1137" i="2"/>
  <c r="D1091" i="2"/>
  <c r="D1136" i="2"/>
  <c r="D1089" i="2"/>
  <c r="D1120" i="2"/>
  <c r="D1116" i="2"/>
  <c r="D1147" i="2"/>
  <c r="D1100" i="2"/>
  <c r="N1250" i="2"/>
  <c r="J1250" i="2"/>
  <c r="I1250" i="2"/>
  <c r="H1250" i="2"/>
  <c r="D369" i="2"/>
  <c r="F369" i="2" s="1"/>
  <c r="D385" i="2"/>
  <c r="F385" i="2" s="1"/>
  <c r="D401" i="2"/>
  <c r="F401" i="2" s="1"/>
  <c r="D550" i="2"/>
  <c r="D566" i="2"/>
  <c r="D582" i="2"/>
  <c r="D743" i="2"/>
  <c r="D772" i="2"/>
  <c r="D1029" i="2"/>
  <c r="D1101" i="2"/>
  <c r="D961" i="2"/>
  <c r="D945" i="2"/>
  <c r="D929" i="2"/>
  <c r="D913" i="2"/>
  <c r="D960" i="2"/>
  <c r="D944" i="2"/>
  <c r="D928" i="2"/>
  <c r="D912" i="2"/>
  <c r="D959" i="2"/>
  <c r="D943" i="2"/>
  <c r="D927" i="2"/>
  <c r="D911" i="2"/>
  <c r="D958" i="2"/>
  <c r="D942" i="2"/>
  <c r="D926" i="2"/>
  <c r="D910" i="2"/>
  <c r="D957" i="2"/>
  <c r="D941" i="2"/>
  <c r="D925" i="2"/>
  <c r="D909" i="2"/>
  <c r="D967" i="2"/>
  <c r="D951" i="2"/>
  <c r="D935" i="2"/>
  <c r="D919" i="2"/>
  <c r="D966" i="2"/>
  <c r="D950" i="2"/>
  <c r="D934" i="2"/>
  <c r="D918" i="2"/>
  <c r="D962" i="2"/>
  <c r="D946" i="2"/>
  <c r="D930" i="2"/>
  <c r="D914" i="2"/>
  <c r="D940" i="2"/>
  <c r="D684" i="2"/>
  <c r="D700" i="2"/>
  <c r="D716" i="2"/>
  <c r="J842" i="2"/>
  <c r="I842" i="2"/>
  <c r="D921" i="2"/>
  <c r="D953" i="2"/>
  <c r="D670" i="2"/>
  <c r="D686" i="2"/>
  <c r="D702" i="2"/>
  <c r="D718" i="2"/>
  <c r="D844" i="2"/>
  <c r="D923" i="2"/>
  <c r="D955" i="2"/>
  <c r="D675" i="2"/>
  <c r="D691" i="2"/>
  <c r="D707" i="2"/>
  <c r="D723" i="2"/>
  <c r="D801" i="2"/>
  <c r="D817" i="2"/>
  <c r="D833" i="2"/>
  <c r="F842" i="2"/>
  <c r="D936" i="2"/>
  <c r="D676" i="2"/>
  <c r="D692" i="2"/>
  <c r="D708" i="2"/>
  <c r="D724" i="2"/>
  <c r="D802" i="2"/>
  <c r="D818" i="2"/>
  <c r="D834" i="2"/>
  <c r="H842" i="2"/>
  <c r="D937" i="2"/>
  <c r="D677" i="2"/>
  <c r="D693" i="2"/>
  <c r="D709" i="2"/>
  <c r="D725" i="2"/>
  <c r="D788" i="2"/>
  <c r="D803" i="2"/>
  <c r="D819" i="2"/>
  <c r="D835" i="2"/>
  <c r="N842" i="2"/>
  <c r="D938" i="2"/>
  <c r="D678" i="2"/>
  <c r="D694" i="2"/>
  <c r="D710" i="2"/>
  <c r="D804" i="2"/>
  <c r="D820" i="2"/>
  <c r="D908" i="2"/>
  <c r="D939" i="2"/>
  <c r="F1504" i="2"/>
  <c r="E1504" i="2"/>
  <c r="J1504" i="2"/>
  <c r="N1504" i="2"/>
  <c r="I1504" i="2"/>
  <c r="D981" i="2"/>
  <c r="D997" i="2"/>
  <c r="D1013" i="2"/>
  <c r="D982" i="2"/>
  <c r="D998" i="2"/>
  <c r="D1014" i="2"/>
  <c r="D968" i="2"/>
  <c r="D983" i="2"/>
  <c r="D999" i="2"/>
  <c r="D1015" i="2"/>
  <c r="D984" i="2"/>
  <c r="D1000" i="2"/>
  <c r="J1434" i="2"/>
  <c r="I1434" i="2"/>
  <c r="H1434" i="2"/>
  <c r="F1434" i="2"/>
  <c r="N1434" i="2"/>
  <c r="E1434" i="2"/>
  <c r="D1322" i="2"/>
  <c r="D1306" i="2"/>
  <c r="D1290" i="2"/>
  <c r="D1274" i="2"/>
  <c r="D1321" i="2"/>
  <c r="D1305" i="2"/>
  <c r="D1289" i="2"/>
  <c r="D1273" i="2"/>
  <c r="D1320" i="2"/>
  <c r="D1304" i="2"/>
  <c r="D1288" i="2"/>
  <c r="D1272" i="2"/>
  <c r="D1319" i="2"/>
  <c r="D1303" i="2"/>
  <c r="D1287" i="2"/>
  <c r="D1271" i="2"/>
  <c r="D1309" i="2"/>
  <c r="D1285" i="2"/>
  <c r="D1308" i="2"/>
  <c r="D1284" i="2"/>
  <c r="D1327" i="2"/>
  <c r="D1307" i="2"/>
  <c r="D1283" i="2"/>
  <c r="D1326" i="2"/>
  <c r="D1302" i="2"/>
  <c r="D1282" i="2"/>
  <c r="D1325" i="2"/>
  <c r="D1301" i="2"/>
  <c r="D1281" i="2"/>
  <c r="D1316" i="2"/>
  <c r="D1296" i="2"/>
  <c r="D1276" i="2"/>
  <c r="D1315" i="2"/>
  <c r="D1295" i="2"/>
  <c r="D1275" i="2"/>
  <c r="D1311" i="2"/>
  <c r="D1291" i="2"/>
  <c r="D1268" i="2"/>
  <c r="D1312" i="2"/>
  <c r="D1270" i="2"/>
  <c r="D1314" i="2"/>
  <c r="D1255" i="2"/>
  <c r="D1239" i="2"/>
  <c r="D1223" i="2"/>
  <c r="D1208" i="2"/>
  <c r="D1254" i="2"/>
  <c r="D1238" i="2"/>
  <c r="D1222" i="2"/>
  <c r="D1253" i="2"/>
  <c r="D1237" i="2"/>
  <c r="D1221" i="2"/>
  <c r="D1252" i="2"/>
  <c r="D1236" i="2"/>
  <c r="D1220" i="2"/>
  <c r="D1267" i="2"/>
  <c r="D1251" i="2"/>
  <c r="D1235" i="2"/>
  <c r="D1219" i="2"/>
  <c r="D1262" i="2"/>
  <c r="D1246" i="2"/>
  <c r="D1230" i="2"/>
  <c r="D1214" i="2"/>
  <c r="D1261" i="2"/>
  <c r="D1245" i="2"/>
  <c r="D1229" i="2"/>
  <c r="D1213" i="2"/>
  <c r="D1257" i="2"/>
  <c r="D1241" i="2"/>
  <c r="D1225" i="2"/>
  <c r="D1209" i="2"/>
  <c r="D1240" i="2"/>
  <c r="D1286" i="2"/>
  <c r="D1210" i="2"/>
  <c r="D1242" i="2"/>
  <c r="D1292" i="2"/>
  <c r="D1211" i="2"/>
  <c r="D1243" i="2"/>
  <c r="D1293" i="2"/>
  <c r="D1212" i="2"/>
  <c r="D1244" i="2"/>
  <c r="D1294" i="2"/>
  <c r="J1624" i="2"/>
  <c r="I1624" i="2"/>
  <c r="F1624" i="2"/>
  <c r="J1369" i="2"/>
  <c r="I1369" i="2"/>
  <c r="N1369" i="2"/>
  <c r="D1164" i="2"/>
  <c r="D1180" i="2"/>
  <c r="D1196" i="2"/>
  <c r="D1149" i="2"/>
  <c r="D1165" i="2"/>
  <c r="D1181" i="2"/>
  <c r="D1197" i="2"/>
  <c r="D1150" i="2"/>
  <c r="D1166" i="2"/>
  <c r="D1182" i="2"/>
  <c r="D1198" i="2"/>
  <c r="D1443" i="2"/>
  <c r="D1427" i="2"/>
  <c r="D1411" i="2"/>
  <c r="D1395" i="2"/>
  <c r="D1442" i="2"/>
  <c r="D1426" i="2"/>
  <c r="D1410" i="2"/>
  <c r="D1394" i="2"/>
  <c r="D1441" i="2"/>
  <c r="D1425" i="2"/>
  <c r="D1409" i="2"/>
  <c r="D1393" i="2"/>
  <c r="D1440" i="2"/>
  <c r="D1424" i="2"/>
  <c r="D1408" i="2"/>
  <c r="D1392" i="2"/>
  <c r="D1446" i="2"/>
  <c r="D1422" i="2"/>
  <c r="D1402" i="2"/>
  <c r="D1445" i="2"/>
  <c r="D1421" i="2"/>
  <c r="D1401" i="2"/>
  <c r="D1444" i="2"/>
  <c r="D1420" i="2"/>
  <c r="D1400" i="2"/>
  <c r="D1439" i="2"/>
  <c r="D1419" i="2"/>
  <c r="D1399" i="2"/>
  <c r="D1438" i="2"/>
  <c r="D1418" i="2"/>
  <c r="D1398" i="2"/>
  <c r="D1431" i="2"/>
  <c r="D1407" i="2"/>
  <c r="D1388" i="2"/>
  <c r="D1423" i="2"/>
  <c r="D1151" i="2"/>
  <c r="D1167" i="2"/>
  <c r="D1183" i="2"/>
  <c r="D1199" i="2"/>
  <c r="D1389" i="2"/>
  <c r="D1428" i="2"/>
  <c r="J1830" i="2"/>
  <c r="I1830" i="2"/>
  <c r="H1830" i="2"/>
  <c r="N1830" i="2"/>
  <c r="F1830" i="2"/>
  <c r="E1830" i="2"/>
  <c r="D1152" i="2"/>
  <c r="D1168" i="2"/>
  <c r="D1184" i="2"/>
  <c r="D1390" i="2"/>
  <c r="D1429" i="2"/>
  <c r="D1342" i="2"/>
  <c r="D1358" i="2"/>
  <c r="D1374" i="2"/>
  <c r="D1328" i="2"/>
  <c r="D1343" i="2"/>
  <c r="D1359" i="2"/>
  <c r="D1375" i="2"/>
  <c r="D1344" i="2"/>
  <c r="D1360" i="2"/>
  <c r="D1376" i="2"/>
  <c r="D1329" i="2"/>
  <c r="D1345" i="2"/>
  <c r="D1361" i="2"/>
  <c r="N1685" i="2"/>
  <c r="F1685" i="2"/>
  <c r="E1685" i="2"/>
  <c r="J1685" i="2"/>
  <c r="I1685" i="2"/>
  <c r="E1522" i="2"/>
  <c r="N1522" i="2"/>
  <c r="H1522" i="2"/>
  <c r="D1463" i="2"/>
  <c r="D1479" i="2"/>
  <c r="D1495" i="2"/>
  <c r="I1522" i="2"/>
  <c r="J1986" i="2"/>
  <c r="I1986" i="2"/>
  <c r="H1986" i="2"/>
  <c r="F1986" i="2"/>
  <c r="N1986" i="2"/>
  <c r="E1986" i="2"/>
  <c r="D1464" i="2"/>
  <c r="D1480" i="2"/>
  <c r="D1496" i="2"/>
  <c r="J1522" i="2"/>
  <c r="D1449" i="2"/>
  <c r="D1465" i="2"/>
  <c r="D1481" i="2"/>
  <c r="D1497" i="2"/>
  <c r="H1685" i="2"/>
  <c r="D1450" i="2"/>
  <c r="D1466" i="2"/>
  <c r="D1482" i="2"/>
  <c r="D1853" i="2"/>
  <c r="D1837" i="2"/>
  <c r="D1821" i="2"/>
  <c r="D1852" i="2"/>
  <c r="D1836" i="2"/>
  <c r="D1820" i="2"/>
  <c r="D1867" i="2"/>
  <c r="D1851" i="2"/>
  <c r="D1835" i="2"/>
  <c r="D1819" i="2"/>
  <c r="D1866" i="2"/>
  <c r="D1850" i="2"/>
  <c r="D1834" i="2"/>
  <c r="D1818" i="2"/>
  <c r="D1861" i="2"/>
  <c r="D1845" i="2"/>
  <c r="D1829" i="2"/>
  <c r="D1813" i="2"/>
  <c r="D1860" i="2"/>
  <c r="D1839" i="2"/>
  <c r="D1814" i="2"/>
  <c r="D1859" i="2"/>
  <c r="D1838" i="2"/>
  <c r="D1812" i="2"/>
  <c r="D1858" i="2"/>
  <c r="D1833" i="2"/>
  <c r="D1811" i="2"/>
  <c r="D1857" i="2"/>
  <c r="D1832" i="2"/>
  <c r="D1810" i="2"/>
  <c r="D1848" i="2"/>
  <c r="D1826" i="2"/>
  <c r="D1847" i="2"/>
  <c r="D1825" i="2"/>
  <c r="D1862" i="2"/>
  <c r="D1840" i="2"/>
  <c r="D1815" i="2"/>
  <c r="D1863" i="2"/>
  <c r="D1822" i="2"/>
  <c r="D1856" i="2"/>
  <c r="D1817" i="2"/>
  <c r="D1855" i="2"/>
  <c r="D1816" i="2"/>
  <c r="D1854" i="2"/>
  <c r="D1809" i="2"/>
  <c r="D1842" i="2"/>
  <c r="D1841" i="2"/>
  <c r="D1827" i="2"/>
  <c r="D1524" i="2"/>
  <c r="D1540" i="2"/>
  <c r="D1556" i="2"/>
  <c r="D1595" i="2"/>
  <c r="D1611" i="2"/>
  <c r="D1627" i="2"/>
  <c r="D1823" i="2"/>
  <c r="D1513" i="2"/>
  <c r="D1529" i="2"/>
  <c r="D1545" i="2"/>
  <c r="D1561" i="2"/>
  <c r="D1584" i="2"/>
  <c r="D1600" i="2"/>
  <c r="D1616" i="2"/>
  <c r="D1673" i="2"/>
  <c r="D1657" i="2"/>
  <c r="D1641" i="2"/>
  <c r="D1672" i="2"/>
  <c r="D1656" i="2"/>
  <c r="D1640" i="2"/>
  <c r="D1687" i="2"/>
  <c r="D1671" i="2"/>
  <c r="D1655" i="2"/>
  <c r="D1639" i="2"/>
  <c r="D1686" i="2"/>
  <c r="D1670" i="2"/>
  <c r="D1654" i="2"/>
  <c r="D1638" i="2"/>
  <c r="D1681" i="2"/>
  <c r="D1665" i="2"/>
  <c r="D1649" i="2"/>
  <c r="D1633" i="2"/>
  <c r="D1650" i="2"/>
  <c r="D1675" i="2"/>
  <c r="D1843" i="2"/>
  <c r="D1514" i="2"/>
  <c r="D1530" i="2"/>
  <c r="D1546" i="2"/>
  <c r="D1562" i="2"/>
  <c r="D1569" i="2"/>
  <c r="D1585" i="2"/>
  <c r="D1601" i="2"/>
  <c r="D1617" i="2"/>
  <c r="D1629" i="2"/>
  <c r="D1651" i="2"/>
  <c r="D1676" i="2"/>
  <c r="D1844" i="2"/>
  <c r="D1515" i="2"/>
  <c r="D1531" i="2"/>
  <c r="D1547" i="2"/>
  <c r="D1563" i="2"/>
  <c r="D1570" i="2"/>
  <c r="D1586" i="2"/>
  <c r="D1602" i="2"/>
  <c r="D1618" i="2"/>
  <c r="D1630" i="2"/>
  <c r="D1652" i="2"/>
  <c r="D1677" i="2"/>
  <c r="D1846" i="2"/>
  <c r="D1516" i="2"/>
  <c r="D1532" i="2"/>
  <c r="D1548" i="2"/>
  <c r="D1571" i="2"/>
  <c r="D1587" i="2"/>
  <c r="D1603" i="2"/>
  <c r="D1631" i="2"/>
  <c r="D1653" i="2"/>
  <c r="D1678" i="2"/>
  <c r="D1849" i="2"/>
  <c r="F1721" i="2"/>
  <c r="E1721" i="2"/>
  <c r="N1721" i="2"/>
  <c r="I1721" i="2"/>
  <c r="J1721" i="2"/>
  <c r="D1688" i="2"/>
  <c r="D1707" i="2"/>
  <c r="D1733" i="2"/>
  <c r="D1717" i="2"/>
  <c r="D1701" i="2"/>
  <c r="D1732" i="2"/>
  <c r="D1716" i="2"/>
  <c r="D1700" i="2"/>
  <c r="D1747" i="2"/>
  <c r="D1731" i="2"/>
  <c r="D1715" i="2"/>
  <c r="D1699" i="2"/>
  <c r="D1746" i="2"/>
  <c r="D1730" i="2"/>
  <c r="D1714" i="2"/>
  <c r="D1698" i="2"/>
  <c r="D1708" i="2"/>
  <c r="D1728" i="2"/>
  <c r="D1689" i="2"/>
  <c r="D1709" i="2"/>
  <c r="D1729" i="2"/>
  <c r="D1690" i="2"/>
  <c r="D1710" i="2"/>
  <c r="D1734" i="2"/>
  <c r="D1958" i="2"/>
  <c r="D1985" i="2"/>
  <c r="D1969" i="2"/>
  <c r="D1953" i="2"/>
  <c r="D1937" i="2"/>
  <c r="D1984" i="2"/>
  <c r="D1968" i="2"/>
  <c r="D1952" i="2"/>
  <c r="D1936" i="2"/>
  <c r="D1983" i="2"/>
  <c r="D1967" i="2"/>
  <c r="D1951" i="2"/>
  <c r="D1935" i="2"/>
  <c r="D1982" i="2"/>
  <c r="D1966" i="2"/>
  <c r="D1950" i="2"/>
  <c r="D1934" i="2"/>
  <c r="D1971" i="2"/>
  <c r="D1947" i="2"/>
  <c r="D1928" i="2"/>
  <c r="D1970" i="2"/>
  <c r="D1946" i="2"/>
  <c r="D1965" i="2"/>
  <c r="D1945" i="2"/>
  <c r="D1964" i="2"/>
  <c r="D1944" i="2"/>
  <c r="D1979" i="2"/>
  <c r="D1959" i="2"/>
  <c r="D1939" i="2"/>
  <c r="D1963" i="2"/>
  <c r="D1933" i="2"/>
  <c r="D1962" i="2"/>
  <c r="D1932" i="2"/>
  <c r="D1961" i="2"/>
  <c r="D1931" i="2"/>
  <c r="D1960" i="2"/>
  <c r="D1930" i="2"/>
  <c r="D1980" i="2"/>
  <c r="D1954" i="2"/>
  <c r="D1978" i="2"/>
  <c r="D1949" i="2"/>
  <c r="D1975" i="2"/>
  <c r="D1942" i="2"/>
  <c r="D1973" i="2"/>
  <c r="D1940" i="2"/>
  <c r="D1987" i="2"/>
  <c r="N1805" i="2"/>
  <c r="D1948" i="2"/>
  <c r="H1908" i="2"/>
  <c r="F1908" i="2"/>
  <c r="E1908" i="2"/>
  <c r="N1908" i="2"/>
  <c r="J1908" i="2"/>
  <c r="D1955" i="2"/>
  <c r="D1956" i="2"/>
  <c r="D1957" i="2"/>
  <c r="N2013" i="2"/>
  <c r="J2013" i="2"/>
  <c r="F2013" i="2"/>
  <c r="E2013" i="2"/>
  <c r="H2013" i="2"/>
  <c r="I2013" i="2"/>
  <c r="D2035" i="2"/>
  <c r="D2019" i="2"/>
  <c r="D2003" i="2"/>
  <c r="D1988" i="2"/>
  <c r="D2034" i="2"/>
  <c r="D2018" i="2"/>
  <c r="D2002" i="2"/>
  <c r="D2033" i="2"/>
  <c r="D2017" i="2"/>
  <c r="D2001" i="2"/>
  <c r="D2032" i="2"/>
  <c r="D2016" i="2"/>
  <c r="D2000" i="2"/>
  <c r="D2041" i="2"/>
  <c r="D2021" i="2"/>
  <c r="D1997" i="2"/>
  <c r="D2040" i="2"/>
  <c r="D2020" i="2"/>
  <c r="D1996" i="2"/>
  <c r="D2039" i="2"/>
  <c r="D2015" i="2"/>
  <c r="D1995" i="2"/>
  <c r="D2038" i="2"/>
  <c r="D2014" i="2"/>
  <c r="D1994" i="2"/>
  <c r="D2029" i="2"/>
  <c r="D2009" i="2"/>
  <c r="D1989" i="2"/>
  <c r="D2047" i="2"/>
  <c r="D2027" i="2"/>
  <c r="D2007" i="2"/>
  <c r="D2046" i="2"/>
  <c r="D2026" i="2"/>
  <c r="D2006" i="2"/>
  <c r="D2043" i="2"/>
  <c r="D2023" i="2"/>
  <c r="D1999" i="2"/>
  <c r="D2042" i="2"/>
  <c r="D1998" i="2"/>
  <c r="D2037" i="2"/>
  <c r="D1993" i="2"/>
  <c r="D2036" i="2"/>
  <c r="D1992" i="2"/>
  <c r="D2031" i="2"/>
  <c r="D1991" i="2"/>
  <c r="D2022" i="2"/>
  <c r="J2067" i="2"/>
  <c r="I2067" i="2"/>
  <c r="H2067" i="2"/>
  <c r="F2067" i="2"/>
  <c r="N2067" i="2"/>
  <c r="D1921" i="2"/>
  <c r="D1905" i="2"/>
  <c r="D1889" i="2"/>
  <c r="D1920" i="2"/>
  <c r="D1904" i="2"/>
  <c r="D1888" i="2"/>
  <c r="D1872" i="2"/>
  <c r="D1919" i="2"/>
  <c r="D1903" i="2"/>
  <c r="D1887" i="2"/>
  <c r="D1871" i="2"/>
  <c r="D1918" i="2"/>
  <c r="D1902" i="2"/>
  <c r="D1886" i="2"/>
  <c r="D1870" i="2"/>
  <c r="D1891" i="2"/>
  <c r="D1911" i="2"/>
  <c r="D2004" i="2"/>
  <c r="D1874" i="2"/>
  <c r="D1894" i="2"/>
  <c r="D1914" i="2"/>
  <c r="D2010" i="2"/>
  <c r="D1774" i="2"/>
  <c r="D1790" i="2"/>
  <c r="D1806" i="2"/>
  <c r="D1875" i="2"/>
  <c r="D1895" i="2"/>
  <c r="D1915" i="2"/>
  <c r="D2011" i="2"/>
  <c r="D1748" i="2"/>
  <c r="D1763" i="2"/>
  <c r="D1779" i="2"/>
  <c r="D1795" i="2"/>
  <c r="D1880" i="2"/>
  <c r="D1900" i="2"/>
  <c r="D1924" i="2"/>
  <c r="D2028" i="2"/>
  <c r="D1764" i="2"/>
  <c r="D1780" i="2"/>
  <c r="D1796" i="2"/>
  <c r="D1881" i="2"/>
  <c r="D1901" i="2"/>
  <c r="D1925" i="2"/>
  <c r="D2030" i="2"/>
  <c r="N2217" i="2"/>
  <c r="E2217" i="2"/>
  <c r="F2217" i="2"/>
  <c r="J2217" i="2"/>
  <c r="H2217" i="2"/>
  <c r="D1749" i="2"/>
  <c r="D1765" i="2"/>
  <c r="D1781" i="2"/>
  <c r="D1797" i="2"/>
  <c r="D1882" i="2"/>
  <c r="D1906" i="2"/>
  <c r="D1926" i="2"/>
  <c r="D2044" i="2"/>
  <c r="H2288" i="2"/>
  <c r="F2288" i="2"/>
  <c r="N2288" i="2"/>
  <c r="J2288" i="2"/>
  <c r="I2288" i="2"/>
  <c r="D1750" i="2"/>
  <c r="D1766" i="2"/>
  <c r="D1782" i="2"/>
  <c r="D1883" i="2"/>
  <c r="D1907" i="2"/>
  <c r="D1927" i="2"/>
  <c r="D2045" i="2"/>
  <c r="E2067" i="2"/>
  <c r="D2062" i="2"/>
  <c r="D2082" i="2"/>
  <c r="D2102" i="2"/>
  <c r="D2065" i="2"/>
  <c r="D2085" i="2"/>
  <c r="D2066" i="2"/>
  <c r="D2106" i="2"/>
  <c r="D2090" i="2"/>
  <c r="D2074" i="2"/>
  <c r="D2058" i="2"/>
  <c r="D2105" i="2"/>
  <c r="D2089" i="2"/>
  <c r="D2073" i="2"/>
  <c r="D2057" i="2"/>
  <c r="D2104" i="2"/>
  <c r="D2088" i="2"/>
  <c r="D2072" i="2"/>
  <c r="D2056" i="2"/>
  <c r="D2103" i="2"/>
  <c r="D2087" i="2"/>
  <c r="D2071" i="2"/>
  <c r="D2055" i="2"/>
  <c r="D2068" i="2"/>
  <c r="D2092" i="2"/>
  <c r="D2053" i="2"/>
  <c r="D2077" i="2"/>
  <c r="D2097" i="2"/>
  <c r="D2054" i="2"/>
  <c r="D2078" i="2"/>
  <c r="D2098" i="2"/>
  <c r="D2223" i="2"/>
  <c r="D2207" i="2"/>
  <c r="D2191" i="2"/>
  <c r="D2175" i="2"/>
  <c r="D2221" i="2"/>
  <c r="D2205" i="2"/>
  <c r="D2189" i="2"/>
  <c r="D2173" i="2"/>
  <c r="D2215" i="2"/>
  <c r="D2199" i="2"/>
  <c r="D2183" i="2"/>
  <c r="D2168" i="2"/>
  <c r="D2213" i="2"/>
  <c r="D2194" i="2"/>
  <c r="D2174" i="2"/>
  <c r="D2212" i="2"/>
  <c r="D2193" i="2"/>
  <c r="D2172" i="2"/>
  <c r="D2211" i="2"/>
  <c r="D2192" i="2"/>
  <c r="D2171" i="2"/>
  <c r="D2210" i="2"/>
  <c r="D2190" i="2"/>
  <c r="D2170" i="2"/>
  <c r="D2224" i="2"/>
  <c r="D2203" i="2"/>
  <c r="D2184" i="2"/>
  <c r="D2220" i="2"/>
  <c r="D2201" i="2"/>
  <c r="D2181" i="2"/>
  <c r="D2208" i="2"/>
  <c r="D2178" i="2"/>
  <c r="D2206" i="2"/>
  <c r="D2177" i="2"/>
  <c r="D2204" i="2"/>
  <c r="D2176" i="2"/>
  <c r="D2202" i="2"/>
  <c r="D2169" i="2"/>
  <c r="D2225" i="2"/>
  <c r="D2195" i="2"/>
  <c r="D2219" i="2"/>
  <c r="D2187" i="2"/>
  <c r="D2218" i="2"/>
  <c r="D2186" i="2"/>
  <c r="D2216" i="2"/>
  <c r="D2182" i="2"/>
  <c r="J2286" i="2"/>
  <c r="I2286" i="2"/>
  <c r="N2286" i="2"/>
  <c r="H2286" i="2"/>
  <c r="F2286" i="2"/>
  <c r="E2286" i="2"/>
  <c r="D2059" i="2"/>
  <c r="D2079" i="2"/>
  <c r="D2099" i="2"/>
  <c r="D2179" i="2"/>
  <c r="D2060" i="2"/>
  <c r="D2080" i="2"/>
  <c r="D2100" i="2"/>
  <c r="D2180" i="2"/>
  <c r="D2341" i="2"/>
  <c r="D2343" i="2"/>
  <c r="D2326" i="2"/>
  <c r="D2310" i="2"/>
  <c r="D2294" i="2"/>
  <c r="D2340" i="2"/>
  <c r="D2324" i="2"/>
  <c r="D2308" i="2"/>
  <c r="D2292" i="2"/>
  <c r="D2338" i="2"/>
  <c r="D2320" i="2"/>
  <c r="D2302" i="2"/>
  <c r="D2330" i="2"/>
  <c r="D2311" i="2"/>
  <c r="D2290" i="2"/>
  <c r="D2329" i="2"/>
  <c r="D2309" i="2"/>
  <c r="D2289" i="2"/>
  <c r="D2342" i="2"/>
  <c r="D2321" i="2"/>
  <c r="D2301" i="2"/>
  <c r="D2333" i="2"/>
  <c r="D2307" i="2"/>
  <c r="D2332" i="2"/>
  <c r="D2306" i="2"/>
  <c r="D2328" i="2"/>
  <c r="D2304" i="2"/>
  <c r="D2327" i="2"/>
  <c r="D2303" i="2"/>
  <c r="D2323" i="2"/>
  <c r="D2295" i="2"/>
  <c r="D2319" i="2"/>
  <c r="D2291" i="2"/>
  <c r="D2346" i="2"/>
  <c r="D2315" i="2"/>
  <c r="D2345" i="2"/>
  <c r="D2314" i="2"/>
  <c r="D2344" i="2"/>
  <c r="D2313" i="2"/>
  <c r="D2322" i="2"/>
  <c r="D2318" i="2"/>
  <c r="D2317" i="2"/>
  <c r="D2316" i="2"/>
  <c r="D2347" i="2"/>
  <c r="D2298" i="2"/>
  <c r="D2339" i="2"/>
  <c r="D2297" i="2"/>
  <c r="D2337" i="2"/>
  <c r="D2296" i="2"/>
  <c r="D2305" i="2"/>
  <c r="D2300" i="2"/>
  <c r="D2299" i="2"/>
  <c r="D2293" i="2"/>
  <c r="D2336" i="2"/>
  <c r="D2335" i="2"/>
  <c r="D2331" i="2"/>
  <c r="F2115" i="2"/>
  <c r="H2115" i="2"/>
  <c r="I2115" i="2"/>
  <c r="J2115" i="2"/>
  <c r="D2124" i="2"/>
  <c r="D2142" i="2"/>
  <c r="D2160" i="2"/>
  <c r="D2108" i="2"/>
  <c r="D2125" i="2"/>
  <c r="D2143" i="2"/>
  <c r="D2152" i="2"/>
  <c r="D2136" i="2"/>
  <c r="D2120" i="2"/>
  <c r="D2166" i="2"/>
  <c r="D2150" i="2"/>
  <c r="D2134" i="2"/>
  <c r="D2118" i="2"/>
  <c r="D2126" i="2"/>
  <c r="D2144" i="2"/>
  <c r="D2162" i="2"/>
  <c r="D2109" i="2"/>
  <c r="D2127" i="2"/>
  <c r="D2145" i="2"/>
  <c r="D2163" i="2"/>
  <c r="I2384" i="2"/>
  <c r="N2384" i="2"/>
  <c r="J2384" i="2"/>
  <c r="D2228" i="2"/>
  <c r="D2244" i="2"/>
  <c r="D2261" i="2"/>
  <c r="D2287" i="2"/>
  <c r="D2271" i="2"/>
  <c r="D2255" i="2"/>
  <c r="D2239" i="2"/>
  <c r="D2245" i="2"/>
  <c r="D2262" i="2"/>
  <c r="D2279" i="2"/>
  <c r="K17" i="15"/>
  <c r="W17" i="15" s="1"/>
  <c r="H2" i="16"/>
  <c r="D2230" i="2"/>
  <c r="D2247" i="2"/>
  <c r="D2264" i="2"/>
  <c r="D2281" i="2"/>
  <c r="E28" i="17"/>
  <c r="H9" i="18"/>
  <c r="D32" i="3"/>
  <c r="D2407" i="2"/>
  <c r="D2391" i="2"/>
  <c r="D2375" i="2"/>
  <c r="D2359" i="2"/>
  <c r="D2405" i="2"/>
  <c r="D2389" i="2"/>
  <c r="D2373" i="2"/>
  <c r="D2357" i="2"/>
  <c r="D2406" i="2"/>
  <c r="D2387" i="2"/>
  <c r="D2369" i="2"/>
  <c r="D2351" i="2"/>
  <c r="D2396" i="2"/>
  <c r="D2377" i="2"/>
  <c r="D2356" i="2"/>
  <c r="D2394" i="2"/>
  <c r="D2374" i="2"/>
  <c r="D2354" i="2"/>
  <c r="D2392" i="2"/>
  <c r="D2371" i="2"/>
  <c r="D2352" i="2"/>
  <c r="D2388" i="2"/>
  <c r="D2365" i="2"/>
  <c r="D2376" i="2"/>
  <c r="D2400" i="2"/>
  <c r="K25" i="11"/>
  <c r="B40" i="12"/>
  <c r="E30" i="17"/>
  <c r="F373" i="2" l="1"/>
  <c r="E351" i="2"/>
  <c r="F351" i="2"/>
  <c r="F312" i="2"/>
  <c r="N312" i="2" s="1"/>
  <c r="K312" i="2" s="1"/>
  <c r="L312" i="2" s="1"/>
  <c r="M312" i="2" s="1"/>
  <c r="H330" i="2"/>
  <c r="I330" i="2" s="1"/>
  <c r="F330" i="2"/>
  <c r="F316" i="2"/>
  <c r="N316" i="2" s="1"/>
  <c r="K316" i="2" s="1"/>
  <c r="L316" i="2" s="1"/>
  <c r="M316" i="2" s="1"/>
  <c r="J411" i="2"/>
  <c r="F411" i="2"/>
  <c r="H336" i="2"/>
  <c r="F336" i="2"/>
  <c r="N405" i="2"/>
  <c r="K405" i="2" s="1"/>
  <c r="L405" i="2" s="1"/>
  <c r="M405" i="2" s="1"/>
  <c r="F405" i="2"/>
  <c r="I397" i="2"/>
  <c r="F397" i="2"/>
  <c r="J360" i="2"/>
  <c r="F360" i="2"/>
  <c r="I346" i="2"/>
  <c r="F346" i="2"/>
  <c r="N361" i="2"/>
  <c r="K361" i="2" s="1"/>
  <c r="L361" i="2" s="1"/>
  <c r="M361" i="2" s="1"/>
  <c r="F361" i="2"/>
  <c r="H381" i="2"/>
  <c r="F381" i="2"/>
  <c r="J413" i="2"/>
  <c r="F413" i="2"/>
  <c r="F314" i="2"/>
  <c r="N314" i="2" s="1"/>
  <c r="K314" i="2" s="1"/>
  <c r="I412" i="2"/>
  <c r="F412" i="2"/>
  <c r="E396" i="2"/>
  <c r="F396" i="2"/>
  <c r="H267" i="2"/>
  <c r="F267" i="2"/>
  <c r="F315" i="2"/>
  <c r="N315" i="2" s="1"/>
  <c r="K315" i="2" s="1"/>
  <c r="L315" i="2" s="1"/>
  <c r="M315" i="2" s="1"/>
  <c r="H339" i="2"/>
  <c r="F339" i="2"/>
  <c r="H395" i="2"/>
  <c r="F395" i="2"/>
  <c r="N321" i="2"/>
  <c r="K321" i="2" s="1"/>
  <c r="L321" i="2" s="1"/>
  <c r="M321" i="2" s="1"/>
  <c r="F321" i="2"/>
  <c r="I421" i="2"/>
  <c r="F421" i="2"/>
  <c r="N422" i="2"/>
  <c r="K422" i="2" s="1"/>
  <c r="L422" i="2" s="1"/>
  <c r="M422" i="2" s="1"/>
  <c r="F422" i="2"/>
  <c r="E387" i="2"/>
  <c r="F387" i="2"/>
  <c r="H337" i="2"/>
  <c r="F337" i="2"/>
  <c r="N392" i="2"/>
  <c r="K392" i="2" s="1"/>
  <c r="L392" i="2" s="1"/>
  <c r="M392" i="2" s="1"/>
  <c r="F392" i="2"/>
  <c r="I347" i="2"/>
  <c r="F347" i="2"/>
  <c r="H332" i="2"/>
  <c r="F332" i="2"/>
  <c r="H366" i="2"/>
  <c r="F366" i="2"/>
  <c r="H408" i="2"/>
  <c r="F408" i="2"/>
  <c r="N353" i="2"/>
  <c r="K353" i="2" s="1"/>
  <c r="L353" i="2" s="1"/>
  <c r="M353" i="2" s="1"/>
  <c r="F353" i="2"/>
  <c r="J362" i="2"/>
  <c r="F362" i="2"/>
  <c r="J390" i="2"/>
  <c r="F390" i="2"/>
  <c r="I364" i="2"/>
  <c r="F364" i="2"/>
  <c r="H482" i="2"/>
  <c r="F482" i="2"/>
  <c r="N320" i="2"/>
  <c r="K320" i="2" s="1"/>
  <c r="L320" i="2" s="1"/>
  <c r="M320" i="2" s="1"/>
  <c r="F320" i="2"/>
  <c r="H318" i="2"/>
  <c r="I318" i="2" s="1"/>
  <c r="F318" i="2"/>
  <c r="N406" i="2"/>
  <c r="K406" i="2" s="1"/>
  <c r="L406" i="2" s="1"/>
  <c r="M406" i="2" s="1"/>
  <c r="F406" i="2"/>
  <c r="I467" i="2"/>
  <c r="F467" i="2"/>
  <c r="N404" i="2"/>
  <c r="F404" i="2"/>
  <c r="N420" i="2"/>
  <c r="F420" i="2"/>
  <c r="J338" i="2"/>
  <c r="F338" i="2"/>
  <c r="H378" i="2"/>
  <c r="F378" i="2"/>
  <c r="H349" i="2"/>
  <c r="F349" i="2"/>
  <c r="N344" i="2"/>
  <c r="K344" i="2" s="1"/>
  <c r="L344" i="2" s="1"/>
  <c r="M344" i="2" s="1"/>
  <c r="F344" i="2"/>
  <c r="J459" i="2"/>
  <c r="F459" i="2"/>
  <c r="N296" i="2"/>
  <c r="K296" i="2" s="1"/>
  <c r="L296" i="2" s="1"/>
  <c r="M296" i="2" s="1"/>
  <c r="F296" i="2"/>
  <c r="E452" i="2"/>
  <c r="F452" i="2"/>
  <c r="N424" i="2"/>
  <c r="K424" i="2" s="1"/>
  <c r="L424" i="2" s="1"/>
  <c r="M424" i="2" s="1"/>
  <c r="F424" i="2"/>
  <c r="J483" i="2"/>
  <c r="F483" i="2"/>
  <c r="H329" i="2"/>
  <c r="I329" i="2" s="1"/>
  <c r="F329" i="2"/>
  <c r="N348" i="2"/>
  <c r="K348" i="2" s="1"/>
  <c r="L348" i="2" s="1"/>
  <c r="M348" i="2" s="1"/>
  <c r="F348" i="2"/>
  <c r="J363" i="2"/>
  <c r="F363" i="2"/>
  <c r="H328" i="2"/>
  <c r="I328" i="2" s="1"/>
  <c r="F328" i="2"/>
  <c r="H14" i="2"/>
  <c r="H17" i="2"/>
  <c r="F15" i="2"/>
  <c r="F10" i="2"/>
  <c r="F13" i="2"/>
  <c r="F9" i="2"/>
  <c r="F11" i="2"/>
  <c r="F16" i="2"/>
  <c r="N16" i="2" s="1"/>
  <c r="K16" i="2" s="1"/>
  <c r="L16" i="2" s="1"/>
  <c r="M16" i="2" s="1"/>
  <c r="F12" i="2"/>
  <c r="F14" i="2"/>
  <c r="B9" i="2"/>
  <c r="F1664" i="2"/>
  <c r="F1792" i="2"/>
  <c r="N1489" i="2"/>
  <c r="K1489" i="2" s="1"/>
  <c r="L1489" i="2" s="1"/>
  <c r="M1489" i="2" s="1"/>
  <c r="F1534" i="2"/>
  <c r="F728" i="2"/>
  <c r="N728" i="2" s="1"/>
  <c r="K728" i="2" s="1"/>
  <c r="L728" i="2" s="1"/>
  <c r="M728" i="2" s="1"/>
  <c r="F1768" i="2"/>
  <c r="N1783" i="2"/>
  <c r="K1783" i="2" s="1"/>
  <c r="L1783" i="2" s="1"/>
  <c r="M1783" i="2" s="1"/>
  <c r="H2280" i="2"/>
  <c r="H1664" i="2"/>
  <c r="F2280" i="2"/>
  <c r="I1489" i="2"/>
  <c r="I2280" i="2"/>
  <c r="H2243" i="2"/>
  <c r="I2243" i="2"/>
  <c r="F783" i="2"/>
  <c r="I1580" i="2"/>
  <c r="F98" i="2"/>
  <c r="H1580" i="2"/>
  <c r="I775" i="2"/>
  <c r="H952" i="2"/>
  <c r="E783" i="2"/>
  <c r="N1667" i="2"/>
  <c r="K1667" i="2" s="1"/>
  <c r="L1667" i="2" s="1"/>
  <c r="M1667" i="2" s="1"/>
  <c r="E2243" i="2"/>
  <c r="N2243" i="2"/>
  <c r="K2243" i="2" s="1"/>
  <c r="L2243" i="2" s="1"/>
  <c r="M2243" i="2" s="1"/>
  <c r="E1725" i="2"/>
  <c r="F2243" i="2"/>
  <c r="F1884" i="2"/>
  <c r="H1725" i="2"/>
  <c r="N1759" i="2"/>
  <c r="K1759" i="2" s="1"/>
  <c r="L1759" i="2" s="1"/>
  <c r="M1759" i="2" s="1"/>
  <c r="H1884" i="2"/>
  <c r="F1500" i="2"/>
  <c r="H1280" i="2"/>
  <c r="N1500" i="2"/>
  <c r="K1500" i="2" s="1"/>
  <c r="L1500" i="2" s="1"/>
  <c r="M1500" i="2" s="1"/>
  <c r="F1628" i="2"/>
  <c r="H703" i="2"/>
  <c r="I703" i="2" s="1"/>
  <c r="J1500" i="2"/>
  <c r="F1725" i="2"/>
  <c r="J1759" i="2"/>
  <c r="I1667" i="2"/>
  <c r="I1507" i="2"/>
  <c r="J2248" i="2"/>
  <c r="H2275" i="2"/>
  <c r="N2275" i="2"/>
  <c r="K2275" i="2" s="1"/>
  <c r="L2275" i="2" s="1"/>
  <c r="M2275" i="2" s="1"/>
  <c r="H2005" i="2"/>
  <c r="N992" i="2"/>
  <c r="K992" i="2" s="1"/>
  <c r="L992" i="2" s="1"/>
  <c r="M992" i="2" s="1"/>
  <c r="H1507" i="2"/>
  <c r="E2275" i="2"/>
  <c r="I2248" i="2"/>
  <c r="F1974" i="2"/>
  <c r="H1974" i="2"/>
  <c r="F1280" i="2"/>
  <c r="J1521" i="2"/>
  <c r="H1628" i="2"/>
  <c r="F1808" i="2"/>
  <c r="F1207" i="2"/>
  <c r="F1646" i="2"/>
  <c r="F1667" i="2"/>
  <c r="J2257" i="2"/>
  <c r="J585" i="2"/>
  <c r="H2276" i="2"/>
  <c r="N1695" i="2"/>
  <c r="K1695" i="2" s="1"/>
  <c r="L1695" i="2" s="1"/>
  <c r="M1695" i="2" s="1"/>
  <c r="H1646" i="2"/>
  <c r="F687" i="2"/>
  <c r="N687" i="2" s="1"/>
  <c r="K687" i="2" s="1"/>
  <c r="L687" i="2" s="1"/>
  <c r="M687" i="2" s="1"/>
  <c r="F689" i="2"/>
  <c r="N689" i="2" s="1"/>
  <c r="K689" i="2" s="1"/>
  <c r="E1646" i="2"/>
  <c r="H689" i="2"/>
  <c r="I689" i="2" s="1"/>
  <c r="J1646" i="2"/>
  <c r="H1189" i="2"/>
  <c r="I1646" i="2"/>
  <c r="F585" i="2"/>
  <c r="I585" i="2"/>
  <c r="E1884" i="2"/>
  <c r="N988" i="2"/>
  <c r="K988" i="2" s="1"/>
  <c r="L988" i="2" s="1"/>
  <c r="M988" i="2" s="1"/>
  <c r="I2275" i="2"/>
  <c r="N1626" i="2"/>
  <c r="K1626" i="2" s="1"/>
  <c r="L1626" i="2" s="1"/>
  <c r="M1626" i="2" s="1"/>
  <c r="J1720" i="2"/>
  <c r="E1207" i="2"/>
  <c r="E1757" i="2"/>
  <c r="I1720" i="2"/>
  <c r="N1974" i="2"/>
  <c r="K1974" i="2" s="1"/>
  <c r="L1974" i="2" s="1"/>
  <c r="M1974" i="2" s="1"/>
  <c r="F208" i="2"/>
  <c r="N208" i="2" s="1"/>
  <c r="K208" i="2" s="1"/>
  <c r="L208" i="2" s="1"/>
  <c r="M208" i="2" s="1"/>
  <c r="E1720" i="2"/>
  <c r="E1974" i="2"/>
  <c r="F1720" i="2"/>
  <c r="N1023" i="2"/>
  <c r="K1023" i="2" s="1"/>
  <c r="L1023" i="2" s="1"/>
  <c r="M1023" i="2" s="1"/>
  <c r="H1868" i="2"/>
  <c r="J2165" i="2"/>
  <c r="I1941" i="2"/>
  <c r="I1628" i="2"/>
  <c r="E952" i="2"/>
  <c r="H98" i="2"/>
  <c r="J1741" i="2"/>
  <c r="H585" i="2"/>
  <c r="N1554" i="2"/>
  <c r="K1554" i="2" s="1"/>
  <c r="L1554" i="2" s="1"/>
  <c r="M1554" i="2" s="1"/>
  <c r="I1741" i="2"/>
  <c r="E2129" i="2"/>
  <c r="J1941" i="2"/>
  <c r="N1628" i="2"/>
  <c r="K1628" i="2" s="1"/>
  <c r="L1628" i="2" s="1"/>
  <c r="M1628" i="2" s="1"/>
  <c r="N1280" i="2"/>
  <c r="K1280" i="2" s="1"/>
  <c r="L1280" i="2" s="1"/>
  <c r="M1280" i="2" s="1"/>
  <c r="F952" i="2"/>
  <c r="N585" i="2"/>
  <c r="K585" i="2" s="1"/>
  <c r="L585" i="2" s="1"/>
  <c r="M585" i="2" s="1"/>
  <c r="I2091" i="2"/>
  <c r="F1941" i="2"/>
  <c r="I1500" i="2"/>
  <c r="E1628" i="2"/>
  <c r="I1808" i="2"/>
  <c r="H775" i="2"/>
  <c r="E1868" i="2"/>
  <c r="E224" i="2"/>
  <c r="H1783" i="2"/>
  <c r="J1207" i="2"/>
  <c r="E154" i="2"/>
  <c r="F1868" i="2"/>
  <c r="F1783" i="2"/>
  <c r="H1207" i="2"/>
  <c r="J98" i="2"/>
  <c r="I1207" i="2"/>
  <c r="H1500" i="2"/>
  <c r="I1264" i="2"/>
  <c r="F1264" i="2"/>
  <c r="I1868" i="2"/>
  <c r="E1264" i="2"/>
  <c r="J2005" i="2"/>
  <c r="N1868" i="2"/>
  <c r="K1868" i="2" s="1"/>
  <c r="L1868" i="2" s="1"/>
  <c r="M1868" i="2" s="1"/>
  <c r="J1264" i="2"/>
  <c r="N952" i="2"/>
  <c r="K952" i="2" s="1"/>
  <c r="L952" i="2" s="1"/>
  <c r="M952" i="2" s="1"/>
  <c r="J224" i="2"/>
  <c r="J1189" i="2"/>
  <c r="J995" i="2"/>
  <c r="F2399" i="2"/>
  <c r="E2276" i="2"/>
  <c r="J1020" i="2"/>
  <c r="N328" i="2"/>
  <c r="K328" i="2" s="1"/>
  <c r="E2282" i="2"/>
  <c r="J1659" i="2"/>
  <c r="H1659" i="2"/>
  <c r="E1659" i="2"/>
  <c r="F1190" i="2"/>
  <c r="N995" i="2"/>
  <c r="K995" i="2" s="1"/>
  <c r="L995" i="2" s="1"/>
  <c r="M995" i="2" s="1"/>
  <c r="F1626" i="2"/>
  <c r="H1626" i="2"/>
  <c r="F1723" i="2"/>
  <c r="H2353" i="2"/>
  <c r="E2285" i="2"/>
  <c r="N2353" i="2"/>
  <c r="K2353" i="2" s="1"/>
  <c r="L2353" i="2" s="1"/>
  <c r="M2353" i="2" s="1"/>
  <c r="J2353" i="2"/>
  <c r="I1659" i="2"/>
  <c r="K1503" i="2"/>
  <c r="L1503" i="2" s="1"/>
  <c r="M1503" i="2" s="1"/>
  <c r="K1721" i="2"/>
  <c r="L1721" i="2" s="1"/>
  <c r="M1721" i="2" s="1"/>
  <c r="H1266" i="2"/>
  <c r="K1522" i="2"/>
  <c r="L1522" i="2" s="1"/>
  <c r="M1522" i="2" s="1"/>
  <c r="E1266" i="2"/>
  <c r="I2282" i="2"/>
  <c r="N2070" i="2"/>
  <c r="K2070" i="2" s="1"/>
  <c r="L2070" i="2" s="1"/>
  <c r="M2070" i="2" s="1"/>
  <c r="K1805" i="2"/>
  <c r="L1805" i="2" s="1"/>
  <c r="M1805" i="2" s="1"/>
  <c r="J1266" i="2"/>
  <c r="H1599" i="2"/>
  <c r="N1266" i="2"/>
  <c r="K1266" i="2" s="1"/>
  <c r="L1266" i="2" s="1"/>
  <c r="M1266" i="2" s="1"/>
  <c r="J296" i="2"/>
  <c r="I2353" i="2"/>
  <c r="F1266" i="2"/>
  <c r="E2353" i="2"/>
  <c r="N2282" i="2"/>
  <c r="K2282" i="2" s="1"/>
  <c r="L2282" i="2" s="1"/>
  <c r="M2282" i="2" s="1"/>
  <c r="H1535" i="2"/>
  <c r="H1929" i="2"/>
  <c r="J1599" i="2"/>
  <c r="I1599" i="2"/>
  <c r="I1929" i="2"/>
  <c r="I1469" i="2"/>
  <c r="N1599" i="2"/>
  <c r="K1599" i="2" s="1"/>
  <c r="L1599" i="2" s="1"/>
  <c r="M1599" i="2" s="1"/>
  <c r="H296" i="2"/>
  <c r="J1469" i="2"/>
  <c r="F1599" i="2"/>
  <c r="N1190" i="2"/>
  <c r="K1190" i="2" s="1"/>
  <c r="L1190" i="2" s="1"/>
  <c r="M1190" i="2" s="1"/>
  <c r="H1135" i="2"/>
  <c r="F1659" i="2"/>
  <c r="E1190" i="2"/>
  <c r="E1135" i="2"/>
  <c r="I1278" i="2"/>
  <c r="K2363" i="2"/>
  <c r="L2363" i="2" s="1"/>
  <c r="M2363" i="2" s="1"/>
  <c r="K1455" i="2"/>
  <c r="L1455" i="2" s="1"/>
  <c r="M1455" i="2" s="1"/>
  <c r="I1161" i="2"/>
  <c r="K1008" i="2"/>
  <c r="L1008" i="2" s="1"/>
  <c r="M1008" i="2" s="1"/>
  <c r="K1614" i="2"/>
  <c r="L1614" i="2" s="1"/>
  <c r="M1614" i="2" s="1"/>
  <c r="J1161" i="2"/>
  <c r="I1552" i="2"/>
  <c r="I1528" i="2"/>
  <c r="J1620" i="2"/>
  <c r="K1504" i="2"/>
  <c r="L1504" i="2" s="1"/>
  <c r="M1504" i="2" s="1"/>
  <c r="H697" i="2"/>
  <c r="I697" i="2" s="1"/>
  <c r="H1555" i="2"/>
  <c r="E1378" i="2"/>
  <c r="H1297" i="2"/>
  <c r="N1555" i="2"/>
  <c r="K1555" i="2" s="1"/>
  <c r="L1555" i="2" s="1"/>
  <c r="M1555" i="2" s="1"/>
  <c r="F151" i="2"/>
  <c r="N151" i="2" s="1"/>
  <c r="K151" i="2" s="1"/>
  <c r="F1722" i="2"/>
  <c r="E1555" i="2"/>
  <c r="K1869" i="2"/>
  <c r="L1869" i="2" s="1"/>
  <c r="M1869" i="2" s="1"/>
  <c r="F2266" i="2"/>
  <c r="J1555" i="2"/>
  <c r="N1297" i="2"/>
  <c r="K1297" i="2" s="1"/>
  <c r="L1297" i="2" s="1"/>
  <c r="M1297" i="2" s="1"/>
  <c r="J1023" i="2"/>
  <c r="F736" i="2"/>
  <c r="N736" i="2" s="1"/>
  <c r="K736" i="2" s="1"/>
  <c r="L736" i="2" s="1"/>
  <c r="M736" i="2" s="1"/>
  <c r="E350" i="2"/>
  <c r="K2197" i="2"/>
  <c r="L2197" i="2" s="1"/>
  <c r="M2197" i="2" s="1"/>
  <c r="I1187" i="2"/>
  <c r="J2380" i="2"/>
  <c r="N2380" i="2"/>
  <c r="K2380" i="2" s="1"/>
  <c r="L2380" i="2" s="1"/>
  <c r="M2380" i="2" s="1"/>
  <c r="I1610" i="2"/>
  <c r="H1187" i="2"/>
  <c r="J2122" i="2"/>
  <c r="F591" i="2"/>
  <c r="N1711" i="2"/>
  <c r="K1711" i="2" s="1"/>
  <c r="L1711" i="2" s="1"/>
  <c r="M1711" i="2" s="1"/>
  <c r="J2265" i="2"/>
  <c r="I821" i="2"/>
  <c r="K111" i="2"/>
  <c r="L111" i="2" s="1"/>
  <c r="M111" i="2" s="1"/>
  <c r="I687" i="2"/>
  <c r="N2265" i="2"/>
  <c r="K2265" i="2" s="1"/>
  <c r="L2265" i="2" s="1"/>
  <c r="M2265" i="2" s="1"/>
  <c r="I1695" i="2"/>
  <c r="J1415" i="2"/>
  <c r="K1313" i="2"/>
  <c r="L1313" i="2" s="1"/>
  <c r="M1313" i="2" s="1"/>
  <c r="N591" i="2"/>
  <c r="K591" i="2" s="1"/>
  <c r="L591" i="2" s="1"/>
  <c r="M591" i="2" s="1"/>
  <c r="F979" i="2"/>
  <c r="N979" i="2" s="1"/>
  <c r="K979" i="2" s="1"/>
  <c r="K1049" i="2"/>
  <c r="L1049" i="2" s="1"/>
  <c r="M1049" i="2" s="1"/>
  <c r="N1898" i="2"/>
  <c r="K1898" i="2" s="1"/>
  <c r="L1898" i="2" s="1"/>
  <c r="M1898" i="2" s="1"/>
  <c r="K1369" i="2"/>
  <c r="L1369" i="2" s="1"/>
  <c r="M1369" i="2" s="1"/>
  <c r="E1297" i="2"/>
  <c r="K1250" i="2"/>
  <c r="L1250" i="2" s="1"/>
  <c r="M1250" i="2" s="1"/>
  <c r="J1898" i="2"/>
  <c r="F2133" i="2"/>
  <c r="F1755" i="2"/>
  <c r="N1187" i="2"/>
  <c r="K1187" i="2" s="1"/>
  <c r="L1187" i="2" s="1"/>
  <c r="M1187" i="2" s="1"/>
  <c r="F673" i="2"/>
  <c r="N673" i="2" s="1"/>
  <c r="K673" i="2" s="1"/>
  <c r="H2350" i="2"/>
  <c r="J2133" i="2"/>
  <c r="E1663" i="2"/>
  <c r="E1187" i="2"/>
  <c r="J1024" i="2"/>
  <c r="E2133" i="2"/>
  <c r="J1663" i="2"/>
  <c r="F1187" i="2"/>
  <c r="F1024" i="2"/>
  <c r="F1178" i="2"/>
  <c r="N1076" i="2"/>
  <c r="K1076" i="2" s="1"/>
  <c r="L1076" i="2" s="1"/>
  <c r="M1076" i="2" s="1"/>
  <c r="H2094" i="2"/>
  <c r="F776" i="2"/>
  <c r="I2094" i="2"/>
  <c r="I350" i="2"/>
  <c r="J2094" i="2"/>
  <c r="N395" i="2"/>
  <c r="K395" i="2" s="1"/>
  <c r="L395" i="2" s="1"/>
  <c r="M395" i="2" s="1"/>
  <c r="J350" i="2"/>
  <c r="I395" i="2"/>
  <c r="F1157" i="2"/>
  <c r="N1157" i="2" s="1"/>
  <c r="K1157" i="2" s="1"/>
  <c r="F1007" i="2"/>
  <c r="F2111" i="2"/>
  <c r="J2256" i="2"/>
  <c r="H1007" i="2"/>
  <c r="E2130" i="2"/>
  <c r="H2249" i="2"/>
  <c r="F1188" i="2"/>
  <c r="E2241" i="2"/>
  <c r="J2258" i="2"/>
  <c r="H2119" i="2"/>
  <c r="I2130" i="2"/>
  <c r="N2111" i="2"/>
  <c r="K2111" i="2" s="1"/>
  <c r="L2111" i="2" s="1"/>
  <c r="M2111" i="2" s="1"/>
  <c r="E1233" i="2"/>
  <c r="E988" i="2"/>
  <c r="I2257" i="2"/>
  <c r="E2404" i="2"/>
  <c r="N1188" i="2"/>
  <c r="K1188" i="2" s="1"/>
  <c r="L1188" i="2" s="1"/>
  <c r="M1188" i="2" s="1"/>
  <c r="F1726" i="2"/>
  <c r="E2266" i="2"/>
  <c r="F2226" i="2"/>
  <c r="H2266" i="2"/>
  <c r="F2249" i="2"/>
  <c r="N2226" i="2"/>
  <c r="K2226" i="2" s="1"/>
  <c r="L2226" i="2" s="1"/>
  <c r="M2226" i="2" s="1"/>
  <c r="N1195" i="2"/>
  <c r="K1195" i="2" s="1"/>
  <c r="L1195" i="2" s="1"/>
  <c r="M1195" i="2" s="1"/>
  <c r="E1637" i="2"/>
  <c r="F2130" i="2"/>
  <c r="N2266" i="2"/>
  <c r="K2266" i="2" s="1"/>
  <c r="L2266" i="2" s="1"/>
  <c r="M2266" i="2" s="1"/>
  <c r="E2249" i="2"/>
  <c r="J2226" i="2"/>
  <c r="E1869" i="2"/>
  <c r="N1718" i="2"/>
  <c r="K1718" i="2" s="1"/>
  <c r="L1718" i="2" s="1"/>
  <c r="M1718" i="2" s="1"/>
  <c r="H1743" i="2"/>
  <c r="E1594" i="2"/>
  <c r="E1195" i="2"/>
  <c r="N1637" i="2"/>
  <c r="K1637" i="2" s="1"/>
  <c r="L1637" i="2" s="1"/>
  <c r="M1637" i="2" s="1"/>
  <c r="F761" i="2"/>
  <c r="N761" i="2" s="1"/>
  <c r="K761" i="2" s="1"/>
  <c r="F2241" i="2"/>
  <c r="N2256" i="2"/>
  <c r="K2256" i="2" s="1"/>
  <c r="L2256" i="2" s="1"/>
  <c r="M2256" i="2" s="1"/>
  <c r="H2130" i="2"/>
  <c r="J2266" i="2"/>
  <c r="J2249" i="2"/>
  <c r="I2226" i="2"/>
  <c r="F1869" i="2"/>
  <c r="E1718" i="2"/>
  <c r="F1594" i="2"/>
  <c r="E1174" i="2"/>
  <c r="E1352" i="2"/>
  <c r="N1403" i="2"/>
  <c r="K1403" i="2" s="1"/>
  <c r="L1403" i="2" s="1"/>
  <c r="M1403" i="2" s="1"/>
  <c r="F1637" i="2"/>
  <c r="J2378" i="2"/>
  <c r="F988" i="2"/>
  <c r="N2258" i="2"/>
  <c r="K2258" i="2" s="1"/>
  <c r="L2258" i="2" s="1"/>
  <c r="M2258" i="2" s="1"/>
  <c r="J2130" i="2"/>
  <c r="N2249" i="2"/>
  <c r="K2249" i="2" s="1"/>
  <c r="L2249" i="2" s="1"/>
  <c r="M2249" i="2" s="1"/>
  <c r="N2122" i="2"/>
  <c r="K2122" i="2" s="1"/>
  <c r="L2122" i="2" s="1"/>
  <c r="M2122" i="2" s="1"/>
  <c r="F1718" i="2"/>
  <c r="F1174" i="2"/>
  <c r="I1403" i="2"/>
  <c r="H1637" i="2"/>
  <c r="N1227" i="2"/>
  <c r="K1227" i="2" s="1"/>
  <c r="L1227" i="2" s="1"/>
  <c r="M1227" i="2" s="1"/>
  <c r="H2258" i="2"/>
  <c r="I2234" i="2"/>
  <c r="N2133" i="2"/>
  <c r="K2133" i="2" s="1"/>
  <c r="L2133" i="2" s="1"/>
  <c r="M2133" i="2" s="1"/>
  <c r="E2122" i="2"/>
  <c r="H1718" i="2"/>
  <c r="N1923" i="2"/>
  <c r="K1923" i="2" s="1"/>
  <c r="L1923" i="2" s="1"/>
  <c r="M1923" i="2" s="1"/>
  <c r="E1772" i="2"/>
  <c r="E1396" i="2"/>
  <c r="H1174" i="2"/>
  <c r="J1403" i="2"/>
  <c r="I1637" i="2"/>
  <c r="F1227" i="2"/>
  <c r="N1469" i="2"/>
  <c r="K1469" i="2" s="1"/>
  <c r="L1469" i="2" s="1"/>
  <c r="M1469" i="2" s="1"/>
  <c r="E1007" i="2"/>
  <c r="H2226" i="2"/>
  <c r="N1488" i="2"/>
  <c r="K1488" i="2" s="1"/>
  <c r="L1488" i="2" s="1"/>
  <c r="M1488" i="2" s="1"/>
  <c r="I2133" i="2"/>
  <c r="F2122" i="2"/>
  <c r="J1718" i="2"/>
  <c r="F1396" i="2"/>
  <c r="I1174" i="2"/>
  <c r="I2265" i="2"/>
  <c r="H2122" i="2"/>
  <c r="H1778" i="2"/>
  <c r="J1174" i="2"/>
  <c r="E2399" i="2"/>
  <c r="E2214" i="2"/>
  <c r="J1755" i="2"/>
  <c r="J1297" i="2"/>
  <c r="H1024" i="2"/>
  <c r="N1521" i="2"/>
  <c r="K1521" i="2" s="1"/>
  <c r="L1521" i="2" s="1"/>
  <c r="M1521" i="2" s="1"/>
  <c r="I1023" i="2"/>
  <c r="N1568" i="2"/>
  <c r="K1568" i="2" s="1"/>
  <c r="L1568" i="2" s="1"/>
  <c r="M1568" i="2" s="1"/>
  <c r="F2250" i="2"/>
  <c r="I1012" i="2"/>
  <c r="N589" i="2"/>
  <c r="K589" i="2" s="1"/>
  <c r="L589" i="2" s="1"/>
  <c r="M589" i="2" s="1"/>
  <c r="F737" i="2"/>
  <c r="N737" i="2" s="1"/>
  <c r="K737" i="2" s="1"/>
  <c r="L737" i="2" s="1"/>
  <c r="M737" i="2" s="1"/>
  <c r="H664" i="2"/>
  <c r="F1023" i="2"/>
  <c r="J1753" i="2"/>
  <c r="H1755" i="2"/>
  <c r="H2129" i="2"/>
  <c r="I1755" i="2"/>
  <c r="I1594" i="2"/>
  <c r="E2263" i="2"/>
  <c r="I2129" i="2"/>
  <c r="J2275" i="2"/>
  <c r="J2404" i="2"/>
  <c r="I2196" i="2"/>
  <c r="J1594" i="2"/>
  <c r="J1598" i="2"/>
  <c r="I1366" i="2"/>
  <c r="H993" i="2"/>
  <c r="N949" i="2"/>
  <c r="K949" i="2" s="1"/>
  <c r="L949" i="2" s="1"/>
  <c r="M949" i="2" s="1"/>
  <c r="N338" i="2"/>
  <c r="K338" i="2" s="1"/>
  <c r="L338" i="2" s="1"/>
  <c r="M338" i="2" s="1"/>
  <c r="H1023" i="2"/>
  <c r="J589" i="2"/>
  <c r="F2196" i="2"/>
  <c r="F2404" i="2"/>
  <c r="J1974" i="2"/>
  <c r="N1594" i="2"/>
  <c r="K1594" i="2" s="1"/>
  <c r="L1594" i="2" s="1"/>
  <c r="M1594" i="2" s="1"/>
  <c r="I1663" i="2"/>
  <c r="I995" i="2"/>
  <c r="J221" i="2"/>
  <c r="J2254" i="2"/>
  <c r="N1877" i="2"/>
  <c r="K1877" i="2" s="1"/>
  <c r="L1877" i="2" s="1"/>
  <c r="M1877" i="2" s="1"/>
  <c r="F727" i="2"/>
  <c r="F2254" i="2"/>
  <c r="E2005" i="2"/>
  <c r="F1877" i="2"/>
  <c r="E1737" i="2"/>
  <c r="N1929" i="2"/>
  <c r="K1929" i="2" s="1"/>
  <c r="L1929" i="2" s="1"/>
  <c r="M1929" i="2" s="1"/>
  <c r="E1519" i="2"/>
  <c r="F735" i="2"/>
  <c r="N735" i="2" s="1"/>
  <c r="K735" i="2" s="1"/>
  <c r="F154" i="2"/>
  <c r="I1002" i="2"/>
  <c r="E155" i="2"/>
  <c r="J121" i="2"/>
  <c r="N1663" i="2"/>
  <c r="K1663" i="2" s="1"/>
  <c r="L1663" i="2" s="1"/>
  <c r="M1663" i="2" s="1"/>
  <c r="N1494" i="2"/>
  <c r="K1494" i="2" s="1"/>
  <c r="L1494" i="2" s="1"/>
  <c r="M1494" i="2" s="1"/>
  <c r="F1568" i="2"/>
  <c r="I225" i="2"/>
  <c r="H2165" i="2"/>
  <c r="F2005" i="2"/>
  <c r="J1929" i="2"/>
  <c r="N1507" i="2"/>
  <c r="K1507" i="2" s="1"/>
  <c r="L1507" i="2" s="1"/>
  <c r="M1507" i="2" s="1"/>
  <c r="E1363" i="2"/>
  <c r="H1519" i="2"/>
  <c r="H756" i="2"/>
  <c r="I756" i="2" s="1"/>
  <c r="J1002" i="2"/>
  <c r="E219" i="2"/>
  <c r="K2222" i="2"/>
  <c r="L2222" i="2" s="1"/>
  <c r="M2222" i="2" s="1"/>
  <c r="N1535" i="2"/>
  <c r="K1535" i="2" s="1"/>
  <c r="L1535" i="2" s="1"/>
  <c r="M1535" i="2" s="1"/>
  <c r="I2165" i="2"/>
  <c r="I2012" i="2"/>
  <c r="I2005" i="2"/>
  <c r="E1929" i="2"/>
  <c r="I1626" i="2"/>
  <c r="E1507" i="2"/>
  <c r="F1625" i="2"/>
  <c r="E993" i="2"/>
  <c r="I660" i="2"/>
  <c r="I1535" i="2"/>
  <c r="F986" i="2"/>
  <c r="N1470" i="2"/>
  <c r="K1470" i="2" s="1"/>
  <c r="L1470" i="2" s="1"/>
  <c r="M1470" i="2" s="1"/>
  <c r="H1012" i="2"/>
  <c r="E1626" i="2"/>
  <c r="F1573" i="2"/>
  <c r="F1507" i="2"/>
  <c r="E1625" i="2"/>
  <c r="N993" i="2"/>
  <c r="K993" i="2" s="1"/>
  <c r="L993" i="2" s="1"/>
  <c r="M993" i="2" s="1"/>
  <c r="E995" i="2"/>
  <c r="H806" i="2"/>
  <c r="I806" i="2" s="1"/>
  <c r="N93" i="2"/>
  <c r="K93" i="2" s="1"/>
  <c r="L93" i="2" s="1"/>
  <c r="M93" i="2" s="1"/>
  <c r="K1413" i="2"/>
  <c r="L1413" i="2" s="1"/>
  <c r="M1413" i="2" s="1"/>
  <c r="N1704" i="2"/>
  <c r="K1704" i="2" s="1"/>
  <c r="L1704" i="2" s="1"/>
  <c r="M1704" i="2" s="1"/>
  <c r="E1502" i="2"/>
  <c r="E1589" i="2"/>
  <c r="E2393" i="2"/>
  <c r="H2393" i="2"/>
  <c r="I2393" i="2"/>
  <c r="K2050" i="2"/>
  <c r="L2050" i="2" s="1"/>
  <c r="M2050" i="2" s="1"/>
  <c r="K1364" i="2"/>
  <c r="L1364" i="2" s="1"/>
  <c r="M1364" i="2" s="1"/>
  <c r="K2123" i="2"/>
  <c r="L2123" i="2" s="1"/>
  <c r="M2123" i="2" s="1"/>
  <c r="K1635" i="2"/>
  <c r="L1635" i="2" s="1"/>
  <c r="M1635" i="2" s="1"/>
  <c r="J1317" i="2"/>
  <c r="E949" i="2"/>
  <c r="H1910" i="2"/>
  <c r="H1452" i="2"/>
  <c r="J1349" i="2"/>
  <c r="J31" i="2"/>
  <c r="H2131" i="2"/>
  <c r="J2024" i="2"/>
  <c r="E1452" i="2"/>
  <c r="F1195" i="2"/>
  <c r="F1018" i="2"/>
  <c r="J1589" i="2"/>
  <c r="H745" i="2"/>
  <c r="I745" i="2" s="1"/>
  <c r="F133" i="2"/>
  <c r="N133" i="2" s="1"/>
  <c r="K133" i="2" s="1"/>
  <c r="E2140" i="2"/>
  <c r="H1791" i="2"/>
  <c r="F1452" i="2"/>
  <c r="H1018" i="2"/>
  <c r="I812" i="2"/>
  <c r="F1123" i="2"/>
  <c r="I339" i="2"/>
  <c r="N660" i="2"/>
  <c r="K660" i="2" s="1"/>
  <c r="L660" i="2" s="1"/>
  <c r="M660" i="2" s="1"/>
  <c r="F513" i="2"/>
  <c r="E242" i="2"/>
  <c r="H219" i="2"/>
  <c r="J2383" i="2"/>
  <c r="J2069" i="2"/>
  <c r="N1864" i="2"/>
  <c r="K1864" i="2" s="1"/>
  <c r="L1864" i="2" s="1"/>
  <c r="M1864" i="2" s="1"/>
  <c r="N1452" i="2"/>
  <c r="K1452" i="2" s="1"/>
  <c r="L1452" i="2" s="1"/>
  <c r="M1452" i="2" s="1"/>
  <c r="H1625" i="2"/>
  <c r="J1324" i="2"/>
  <c r="N1414" i="2"/>
  <c r="K1414" i="2" s="1"/>
  <c r="L1414" i="2" s="1"/>
  <c r="M1414" i="2" s="1"/>
  <c r="E1123" i="2"/>
  <c r="H814" i="2"/>
  <c r="I814" i="2" s="1"/>
  <c r="I392" i="2"/>
  <c r="J219" i="2"/>
  <c r="I727" i="2"/>
  <c r="F560" i="2"/>
  <c r="N560" i="2" s="1"/>
  <c r="K560" i="2" s="1"/>
  <c r="L560" i="2" s="1"/>
  <c r="M560" i="2" s="1"/>
  <c r="E2395" i="2"/>
  <c r="I2285" i="2"/>
  <c r="F2050" i="2"/>
  <c r="I1864" i="2"/>
  <c r="H1488" i="2"/>
  <c r="I1598" i="2"/>
  <c r="I1625" i="2"/>
  <c r="N1123" i="2"/>
  <c r="K1123" i="2" s="1"/>
  <c r="L1123" i="2" s="1"/>
  <c r="M1123" i="2" s="1"/>
  <c r="E392" i="2"/>
  <c r="N219" i="2"/>
  <c r="K219" i="2" s="1"/>
  <c r="L219" i="2" s="1"/>
  <c r="M219" i="2" s="1"/>
  <c r="I1559" i="2"/>
  <c r="H2214" i="2"/>
  <c r="E986" i="2"/>
  <c r="J2349" i="2"/>
  <c r="N727" i="2"/>
  <c r="K727" i="2" s="1"/>
  <c r="L727" i="2" s="1"/>
  <c r="M727" i="2" s="1"/>
  <c r="F698" i="2"/>
  <c r="N698" i="2" s="1"/>
  <c r="K698" i="2" s="1"/>
  <c r="F1598" i="2"/>
  <c r="N1625" i="2"/>
  <c r="K1625" i="2" s="1"/>
  <c r="L1625" i="2" s="1"/>
  <c r="M1625" i="2" s="1"/>
  <c r="N989" i="2"/>
  <c r="K989" i="2" s="1"/>
  <c r="L989" i="2" s="1"/>
  <c r="M989" i="2" s="1"/>
  <c r="F805" i="2"/>
  <c r="N805" i="2" s="1"/>
  <c r="K805" i="2" s="1"/>
  <c r="E727" i="2"/>
  <c r="H698" i="2"/>
  <c r="I698" i="2" s="1"/>
  <c r="N365" i="2"/>
  <c r="K365" i="2" s="1"/>
  <c r="L365" i="2" s="1"/>
  <c r="M365" i="2" s="1"/>
  <c r="H363" i="2"/>
  <c r="F1412" i="2"/>
  <c r="J34" i="2"/>
  <c r="N2024" i="2"/>
  <c r="K2024" i="2" s="1"/>
  <c r="L2024" i="2" s="1"/>
  <c r="M2024" i="2" s="1"/>
  <c r="I2214" i="2"/>
  <c r="J1864" i="2"/>
  <c r="J2368" i="2"/>
  <c r="F2154" i="2"/>
  <c r="E2123" i="2"/>
  <c r="N1890" i="2"/>
  <c r="K1890" i="2" s="1"/>
  <c r="L1890" i="2" s="1"/>
  <c r="M1890" i="2" s="1"/>
  <c r="J1877" i="2"/>
  <c r="H1735" i="2"/>
  <c r="N1755" i="2"/>
  <c r="K1755" i="2" s="1"/>
  <c r="L1755" i="2" s="1"/>
  <c r="M1755" i="2" s="1"/>
  <c r="H1598" i="2"/>
  <c r="N1430" i="2"/>
  <c r="K1430" i="2" s="1"/>
  <c r="L1430" i="2" s="1"/>
  <c r="M1430" i="2" s="1"/>
  <c r="H1720" i="2"/>
  <c r="H1190" i="2"/>
  <c r="F1135" i="2"/>
  <c r="I365" i="2"/>
  <c r="F1084" i="2"/>
  <c r="N715" i="2"/>
  <c r="K715" i="2" s="1"/>
  <c r="L715" i="2" s="1"/>
  <c r="M715" i="2" s="1"/>
  <c r="I363" i="2"/>
  <c r="H785" i="2"/>
  <c r="H154" i="2"/>
  <c r="F497" i="2"/>
  <c r="N497" i="2" s="1"/>
  <c r="K497" i="2" s="1"/>
  <c r="H155" i="2"/>
  <c r="E296" i="2"/>
  <c r="I126" i="2"/>
  <c r="J1804" i="2"/>
  <c r="I2050" i="2"/>
  <c r="E2070" i="2"/>
  <c r="E2096" i="2"/>
  <c r="F2123" i="2"/>
  <c r="I2222" i="2"/>
  <c r="F1753" i="2"/>
  <c r="E1697" i="2"/>
  <c r="I1697" i="2"/>
  <c r="F1591" i="2"/>
  <c r="N1598" i="2"/>
  <c r="K1598" i="2" s="1"/>
  <c r="L1598" i="2" s="1"/>
  <c r="M1598" i="2" s="1"/>
  <c r="J1430" i="2"/>
  <c r="H1604" i="2"/>
  <c r="I1190" i="2"/>
  <c r="E1024" i="2"/>
  <c r="I1135" i="2"/>
  <c r="F922" i="2"/>
  <c r="N922" i="2" s="1"/>
  <c r="K922" i="2" s="1"/>
  <c r="L922" i="2" s="1"/>
  <c r="M922" i="2" s="1"/>
  <c r="F745" i="2"/>
  <c r="N745" i="2" s="1"/>
  <c r="K745" i="2" s="1"/>
  <c r="J397" i="2"/>
  <c r="I296" i="2"/>
  <c r="I155" i="2"/>
  <c r="N154" i="2"/>
  <c r="K154" i="2" s="1"/>
  <c r="L154" i="2" s="1"/>
  <c r="M154" i="2" s="1"/>
  <c r="E2349" i="2"/>
  <c r="H2050" i="2"/>
  <c r="F1864" i="2"/>
  <c r="E2139" i="2"/>
  <c r="H2254" i="2"/>
  <c r="I2070" i="2"/>
  <c r="I2096" i="2"/>
  <c r="J2123" i="2"/>
  <c r="H1753" i="2"/>
  <c r="N1865" i="2"/>
  <c r="K1865" i="2" s="1"/>
  <c r="L1865" i="2" s="1"/>
  <c r="M1865" i="2" s="1"/>
  <c r="J1471" i="2"/>
  <c r="F1520" i="2"/>
  <c r="N1386" i="2"/>
  <c r="K1386" i="2" s="1"/>
  <c r="L1386" i="2" s="1"/>
  <c r="M1386" i="2" s="1"/>
  <c r="I1604" i="2"/>
  <c r="E1161" i="2"/>
  <c r="F1340" i="2"/>
  <c r="N1024" i="2"/>
  <c r="K1024" i="2" s="1"/>
  <c r="L1024" i="2" s="1"/>
  <c r="M1024" i="2" s="1"/>
  <c r="J1135" i="2"/>
  <c r="E776" i="2"/>
  <c r="E121" i="2"/>
  <c r="F195" i="2"/>
  <c r="N195" i="2" s="1"/>
  <c r="K195" i="2" s="1"/>
  <c r="L195" i="2" s="1"/>
  <c r="M195" i="2" s="1"/>
  <c r="J155" i="2"/>
  <c r="J154" i="2"/>
  <c r="F2214" i="2"/>
  <c r="N2214" i="2"/>
  <c r="K2214" i="2" s="1"/>
  <c r="L2214" i="2" s="1"/>
  <c r="M2214" i="2" s="1"/>
  <c r="N2393" i="2"/>
  <c r="K2393" i="2" s="1"/>
  <c r="L2393" i="2" s="1"/>
  <c r="M2393" i="2" s="1"/>
  <c r="I2254" i="2"/>
  <c r="N2276" i="2"/>
  <c r="K2276" i="2" s="1"/>
  <c r="L2276" i="2" s="1"/>
  <c r="M2276" i="2" s="1"/>
  <c r="I1893" i="2"/>
  <c r="N1559" i="2"/>
  <c r="K1559" i="2" s="1"/>
  <c r="L1559" i="2" s="1"/>
  <c r="M1559" i="2" s="1"/>
  <c r="H1663" i="2"/>
  <c r="F973" i="2"/>
  <c r="N973" i="2" s="1"/>
  <c r="K973" i="2" s="1"/>
  <c r="L973" i="2" s="1"/>
  <c r="M973" i="2" s="1"/>
  <c r="H1161" i="2"/>
  <c r="F993" i="2"/>
  <c r="H995" i="2"/>
  <c r="N225" i="2"/>
  <c r="K225" i="2" s="1"/>
  <c r="L225" i="2" s="1"/>
  <c r="M225" i="2" s="1"/>
  <c r="H121" i="2"/>
  <c r="N155" i="2"/>
  <c r="K155" i="2" s="1"/>
  <c r="L155" i="2" s="1"/>
  <c r="M155" i="2" s="1"/>
  <c r="F1189" i="2"/>
  <c r="J2140" i="2"/>
  <c r="N1735" i="2"/>
  <c r="K1735" i="2" s="1"/>
  <c r="L1735" i="2" s="1"/>
  <c r="M1735" i="2" s="1"/>
  <c r="F1406" i="2"/>
  <c r="I1735" i="2"/>
  <c r="J1735" i="2"/>
  <c r="F1789" i="2"/>
  <c r="I1976" i="2"/>
  <c r="J1976" i="2"/>
  <c r="J1831" i="2"/>
  <c r="E1976" i="2"/>
  <c r="N991" i="2"/>
  <c r="K991" i="2" s="1"/>
  <c r="L991" i="2" s="1"/>
  <c r="M991" i="2" s="1"/>
  <c r="H1831" i="2"/>
  <c r="F1976" i="2"/>
  <c r="E991" i="2"/>
  <c r="N2277" i="2"/>
  <c r="K2277" i="2" s="1"/>
  <c r="L2277" i="2" s="1"/>
  <c r="M2277" i="2" s="1"/>
  <c r="I1789" i="2"/>
  <c r="I1831" i="2"/>
  <c r="H1976" i="2"/>
  <c r="F991" i="2"/>
  <c r="N1831" i="2"/>
  <c r="K1831" i="2" s="1"/>
  <c r="L1831" i="2" s="1"/>
  <c r="M1831" i="2" s="1"/>
  <c r="J717" i="2"/>
  <c r="H589" i="2"/>
  <c r="E1789" i="2"/>
  <c r="H1697" i="2"/>
  <c r="N1789" i="2"/>
  <c r="K1789" i="2" s="1"/>
  <c r="L1789" i="2" s="1"/>
  <c r="M1789" i="2" s="1"/>
  <c r="I1452" i="2"/>
  <c r="H1789" i="2"/>
  <c r="E1735" i="2"/>
  <c r="F1536" i="2"/>
  <c r="N1575" i="2"/>
  <c r="K1575" i="2" s="1"/>
  <c r="L1575" i="2" s="1"/>
  <c r="M1575" i="2" s="1"/>
  <c r="N2272" i="2"/>
  <c r="K2272" i="2" s="1"/>
  <c r="L2272" i="2" s="1"/>
  <c r="M2272" i="2" s="1"/>
  <c r="I2164" i="2"/>
  <c r="J2084" i="2"/>
  <c r="J1658" i="2"/>
  <c r="J1488" i="2"/>
  <c r="N1487" i="2"/>
  <c r="K1487" i="2" s="1"/>
  <c r="L1487" i="2" s="1"/>
  <c r="M1487" i="2" s="1"/>
  <c r="F1831" i="2"/>
  <c r="N1363" i="2"/>
  <c r="K1363" i="2" s="1"/>
  <c r="L1363" i="2" s="1"/>
  <c r="M1363" i="2" s="1"/>
  <c r="N1352" i="2"/>
  <c r="K1352" i="2" s="1"/>
  <c r="L1352" i="2" s="1"/>
  <c r="M1352" i="2" s="1"/>
  <c r="I994" i="2"/>
  <c r="E1008" i="2"/>
  <c r="F1521" i="2"/>
  <c r="N386" i="2"/>
  <c r="K386" i="2" s="1"/>
  <c r="L386" i="2" s="1"/>
  <c r="M386" i="2" s="1"/>
  <c r="H591" i="2"/>
  <c r="J514" i="2"/>
  <c r="I221" i="2"/>
  <c r="H1025" i="2"/>
  <c r="J1366" i="2"/>
  <c r="J1604" i="2"/>
  <c r="J2110" i="2"/>
  <c r="N2254" i="2"/>
  <c r="K2254" i="2" s="1"/>
  <c r="L2254" i="2" s="1"/>
  <c r="M2254" i="2" s="1"/>
  <c r="I2111" i="2"/>
  <c r="H1799" i="2"/>
  <c r="H1607" i="2"/>
  <c r="F1468" i="2"/>
  <c r="H1454" i="2"/>
  <c r="E1604" i="2"/>
  <c r="I1977" i="2"/>
  <c r="H588" i="2"/>
  <c r="N823" i="2"/>
  <c r="K823" i="2" s="1"/>
  <c r="L823" i="2" s="1"/>
  <c r="M823" i="2" s="1"/>
  <c r="I839" i="2"/>
  <c r="N1661" i="2"/>
  <c r="K1661" i="2" s="1"/>
  <c r="L1661" i="2" s="1"/>
  <c r="M1661" i="2" s="1"/>
  <c r="I2260" i="2"/>
  <c r="E2269" i="2"/>
  <c r="E2008" i="2"/>
  <c r="J1778" i="2"/>
  <c r="I1607" i="2"/>
  <c r="E1568" i="2"/>
  <c r="I1357" i="2"/>
  <c r="F1454" i="2"/>
  <c r="F1604" i="2"/>
  <c r="N1977" i="2"/>
  <c r="K1977" i="2" s="1"/>
  <c r="L1977" i="2" s="1"/>
  <c r="M1977" i="2" s="1"/>
  <c r="J2260" i="2"/>
  <c r="I2156" i="2"/>
  <c r="N2156" i="2"/>
  <c r="K2156" i="2" s="1"/>
  <c r="L2156" i="2" s="1"/>
  <c r="M2156" i="2" s="1"/>
  <c r="E1682" i="2"/>
  <c r="N1778" i="2"/>
  <c r="K1778" i="2" s="1"/>
  <c r="L1778" i="2" s="1"/>
  <c r="M1778" i="2" s="1"/>
  <c r="J1575" i="2"/>
  <c r="N1498" i="2"/>
  <c r="K1498" i="2" s="1"/>
  <c r="L1498" i="2" s="1"/>
  <c r="M1498" i="2" s="1"/>
  <c r="I1454" i="2"/>
  <c r="J1012" i="2"/>
  <c r="J1351" i="2"/>
  <c r="H1977" i="2"/>
  <c r="N556" i="2"/>
  <c r="K556" i="2" s="1"/>
  <c r="L556" i="2" s="1"/>
  <c r="M556" i="2" s="1"/>
  <c r="E405" i="2"/>
  <c r="H1110" i="2"/>
  <c r="E40" i="2"/>
  <c r="E2156" i="2"/>
  <c r="I1773" i="2"/>
  <c r="H1560" i="2"/>
  <c r="F1498" i="2"/>
  <c r="E1405" i="2"/>
  <c r="F1351" i="2"/>
  <c r="F1110" i="2"/>
  <c r="N1102" i="2"/>
  <c r="K1102" i="2" s="1"/>
  <c r="L1102" i="2" s="1"/>
  <c r="M1102" i="2" s="1"/>
  <c r="N388" i="2"/>
  <c r="K388" i="2" s="1"/>
  <c r="F690" i="2"/>
  <c r="N690" i="2" s="1"/>
  <c r="K690" i="2" s="1"/>
  <c r="L690" i="2" s="1"/>
  <c r="M690" i="2" s="1"/>
  <c r="J56" i="2"/>
  <c r="I2277" i="2"/>
  <c r="H1363" i="2"/>
  <c r="F2156" i="2"/>
  <c r="J405" i="2"/>
  <c r="N41" i="2"/>
  <c r="K41" i="2" s="1"/>
  <c r="L41" i="2" s="1"/>
  <c r="M41" i="2" s="1"/>
  <c r="E2385" i="2"/>
  <c r="N2084" i="2"/>
  <c r="K2084" i="2" s="1"/>
  <c r="L2084" i="2" s="1"/>
  <c r="M2084" i="2" s="1"/>
  <c r="J1798" i="2"/>
  <c r="F1658" i="2"/>
  <c r="H1498" i="2"/>
  <c r="F1405" i="2"/>
  <c r="N1351" i="2"/>
  <c r="K1351" i="2" s="1"/>
  <c r="L1351" i="2" s="1"/>
  <c r="M1351" i="2" s="1"/>
  <c r="F808" i="2"/>
  <c r="N808" i="2" s="1"/>
  <c r="K808" i="2" s="1"/>
  <c r="L808" i="2" s="1"/>
  <c r="M808" i="2" s="1"/>
  <c r="N243" i="2"/>
  <c r="K243" i="2" s="1"/>
  <c r="L243" i="2" s="1"/>
  <c r="M243" i="2" s="1"/>
  <c r="N242" i="2"/>
  <c r="K242" i="2" s="1"/>
  <c r="L242" i="2" s="1"/>
  <c r="M242" i="2" s="1"/>
  <c r="J1777" i="2"/>
  <c r="N2383" i="2"/>
  <c r="K2383" i="2" s="1"/>
  <c r="L2383" i="2" s="1"/>
  <c r="M2383" i="2" s="1"/>
  <c r="J2008" i="2"/>
  <c r="N1773" i="2"/>
  <c r="K1773" i="2" s="1"/>
  <c r="L1773" i="2" s="1"/>
  <c r="M1773" i="2" s="1"/>
  <c r="N1454" i="2"/>
  <c r="K1454" i="2" s="1"/>
  <c r="L1454" i="2" s="1"/>
  <c r="M1454" i="2" s="1"/>
  <c r="H1371" i="2"/>
  <c r="J2385" i="2"/>
  <c r="I2110" i="2"/>
  <c r="N2164" i="2"/>
  <c r="K2164" i="2" s="1"/>
  <c r="L2164" i="2" s="1"/>
  <c r="M2164" i="2" s="1"/>
  <c r="H2076" i="2"/>
  <c r="E2084" i="2"/>
  <c r="E1798" i="2"/>
  <c r="I1568" i="2"/>
  <c r="H1568" i="2"/>
  <c r="E1658" i="2"/>
  <c r="I1498" i="2"/>
  <c r="N1592" i="2"/>
  <c r="K1592" i="2" s="1"/>
  <c r="L1592" i="2" s="1"/>
  <c r="M1592" i="2" s="1"/>
  <c r="J1567" i="2"/>
  <c r="F1352" i="2"/>
  <c r="F722" i="2"/>
  <c r="I513" i="2"/>
  <c r="F242" i="2"/>
  <c r="I452" i="2"/>
  <c r="I1777" i="2"/>
  <c r="F2110" i="2"/>
  <c r="H2114" i="2"/>
  <c r="F2076" i="2"/>
  <c r="I2084" i="2"/>
  <c r="H1798" i="2"/>
  <c r="I1738" i="2"/>
  <c r="I1609" i="2"/>
  <c r="E1526" i="2"/>
  <c r="N1658" i="2"/>
  <c r="K1658" i="2" s="1"/>
  <c r="L1658" i="2" s="1"/>
  <c r="M1658" i="2" s="1"/>
  <c r="J1498" i="2"/>
  <c r="I1592" i="2"/>
  <c r="H1487" i="2"/>
  <c r="N1567" i="2"/>
  <c r="K1567" i="2" s="1"/>
  <c r="L1567" i="2" s="1"/>
  <c r="M1567" i="2" s="1"/>
  <c r="H1352" i="2"/>
  <c r="H722" i="2"/>
  <c r="F514" i="2"/>
  <c r="H242" i="2"/>
  <c r="H907" i="2"/>
  <c r="J452" i="2"/>
  <c r="I280" i="2"/>
  <c r="H424" i="2"/>
  <c r="H627" i="2"/>
  <c r="I627" i="2" s="1"/>
  <c r="E1469" i="2"/>
  <c r="F672" i="2"/>
  <c r="N672" i="2" s="1"/>
  <c r="K672" i="2" s="1"/>
  <c r="E1977" i="2"/>
  <c r="E2272" i="2"/>
  <c r="H2361" i="2"/>
  <c r="F2084" i="2"/>
  <c r="E1560" i="2"/>
  <c r="H1658" i="2"/>
  <c r="E1487" i="2"/>
  <c r="I1352" i="2"/>
  <c r="F1158" i="2"/>
  <c r="N1158" i="2" s="1"/>
  <c r="K1158" i="2" s="1"/>
  <c r="I1121" i="2"/>
  <c r="H514" i="2"/>
  <c r="I242" i="2"/>
  <c r="I56" i="2"/>
  <c r="N234" i="2"/>
  <c r="K234" i="2" s="1"/>
  <c r="L234" i="2" s="1"/>
  <c r="M234" i="2" s="1"/>
  <c r="F1469" i="2"/>
  <c r="F697" i="2"/>
  <c r="N697" i="2" s="1"/>
  <c r="K697" i="2" s="1"/>
  <c r="J720" i="2"/>
  <c r="E1596" i="2"/>
  <c r="F2361" i="2"/>
  <c r="I2153" i="2"/>
  <c r="J1473" i="2"/>
  <c r="H994" i="2"/>
  <c r="H805" i="2"/>
  <c r="I805" i="2" s="1"/>
  <c r="J1008" i="2"/>
  <c r="E1521" i="2"/>
  <c r="I586" i="2"/>
  <c r="I514" i="2"/>
  <c r="N221" i="2"/>
  <c r="K221" i="2" s="1"/>
  <c r="L221" i="2" s="1"/>
  <c r="M221" i="2" s="1"/>
  <c r="H40" i="2"/>
  <c r="F1661" i="2"/>
  <c r="F1192" i="2"/>
  <c r="J994" i="2"/>
  <c r="H2282" i="2"/>
  <c r="N2113" i="2"/>
  <c r="K2113" i="2" s="1"/>
  <c r="L2113" i="2" s="1"/>
  <c r="M2113" i="2" s="1"/>
  <c r="E1767" i="2"/>
  <c r="E1661" i="2"/>
  <c r="F1632" i="2"/>
  <c r="F1555" i="2"/>
  <c r="I1332" i="2"/>
  <c r="F1608" i="2"/>
  <c r="F1719" i="2"/>
  <c r="E1527" i="2"/>
  <c r="E1608" i="2"/>
  <c r="F2282" i="2"/>
  <c r="H2113" i="2"/>
  <c r="F1892" i="2"/>
  <c r="F1791" i="2"/>
  <c r="J1661" i="2"/>
  <c r="N1632" i="2"/>
  <c r="K1632" i="2" s="1"/>
  <c r="L1632" i="2" s="1"/>
  <c r="M1632" i="2" s="1"/>
  <c r="F1923" i="2"/>
  <c r="J1332" i="2"/>
  <c r="N1192" i="2"/>
  <c r="K1192" i="2" s="1"/>
  <c r="L1192" i="2" s="1"/>
  <c r="M1192" i="2" s="1"/>
  <c r="F706" i="2"/>
  <c r="N706" i="2" s="1"/>
  <c r="K706" i="2" s="1"/>
  <c r="F181" i="2"/>
  <c r="J1025" i="2"/>
  <c r="F848" i="2"/>
  <c r="N848" i="2" s="1"/>
  <c r="K848" i="2" s="1"/>
  <c r="H1608" i="2"/>
  <c r="I1527" i="2"/>
  <c r="H1022" i="2"/>
  <c r="N2240" i="2"/>
  <c r="K2240" i="2" s="1"/>
  <c r="L2240" i="2" s="1"/>
  <c r="M2240" i="2" s="1"/>
  <c r="N2403" i="2"/>
  <c r="K2403" i="2" s="1"/>
  <c r="L2403" i="2" s="1"/>
  <c r="M2403" i="2" s="1"/>
  <c r="J2113" i="2"/>
  <c r="F2113" i="2"/>
  <c r="E1791" i="2"/>
  <c r="H1722" i="2"/>
  <c r="J1557" i="2"/>
  <c r="E1923" i="2"/>
  <c r="E1332" i="2"/>
  <c r="J1192" i="2"/>
  <c r="N1020" i="2"/>
  <c r="K1020" i="2" s="1"/>
  <c r="L1020" i="2" s="1"/>
  <c r="M1020" i="2" s="1"/>
  <c r="I1025" i="2"/>
  <c r="H136" i="2"/>
  <c r="I136" i="2" s="1"/>
  <c r="I50" i="2"/>
  <c r="E1645" i="2"/>
  <c r="H1632" i="2"/>
  <c r="F2403" i="2"/>
  <c r="J1990" i="2"/>
  <c r="E1557" i="2"/>
  <c r="H1923" i="2"/>
  <c r="F1332" i="2"/>
  <c r="E1192" i="2"/>
  <c r="E1025" i="2"/>
  <c r="N1490" i="2"/>
  <c r="K1490" i="2" s="1"/>
  <c r="L1490" i="2" s="1"/>
  <c r="M1490" i="2" s="1"/>
  <c r="F1645" i="2"/>
  <c r="I1557" i="2"/>
  <c r="E2403" i="2"/>
  <c r="I2403" i="2"/>
  <c r="E2138" i="2"/>
  <c r="E2235" i="2"/>
  <c r="N1990" i="2"/>
  <c r="K1990" i="2" s="1"/>
  <c r="L1990" i="2" s="1"/>
  <c r="M1990" i="2" s="1"/>
  <c r="H1557" i="2"/>
  <c r="J1828" i="2"/>
  <c r="I1923" i="2"/>
  <c r="H1332" i="2"/>
  <c r="E830" i="2"/>
  <c r="F682" i="2"/>
  <c r="N682" i="2" s="1"/>
  <c r="K682" i="2" s="1"/>
  <c r="L682" i="2" s="1"/>
  <c r="M682" i="2" s="1"/>
  <c r="F1063" i="2"/>
  <c r="F1025" i="2"/>
  <c r="E422" i="2"/>
  <c r="E366" i="2"/>
  <c r="I1192" i="2"/>
  <c r="E2284" i="2"/>
  <c r="J2235" i="2"/>
  <c r="I1990" i="2"/>
  <c r="F1527" i="2"/>
  <c r="N1645" i="2"/>
  <c r="K1645" i="2" s="1"/>
  <c r="L1645" i="2" s="1"/>
  <c r="M1645" i="2" s="1"/>
  <c r="E1558" i="2"/>
  <c r="I1510" i="2"/>
  <c r="H1828" i="2"/>
  <c r="E1318" i="2"/>
  <c r="H132" i="2"/>
  <c r="I132" i="2" s="1"/>
  <c r="H682" i="2"/>
  <c r="I682" i="2" s="1"/>
  <c r="E1063" i="2"/>
  <c r="H422" i="2"/>
  <c r="H82" i="2"/>
  <c r="I82" i="2" s="1"/>
  <c r="I2366" i="2"/>
  <c r="H2284" i="2"/>
  <c r="N1608" i="2"/>
  <c r="K1608" i="2" s="1"/>
  <c r="L1608" i="2" s="1"/>
  <c r="M1608" i="2" s="1"/>
  <c r="J1645" i="2"/>
  <c r="N1558" i="2"/>
  <c r="K1558" i="2" s="1"/>
  <c r="L1558" i="2" s="1"/>
  <c r="M1558" i="2" s="1"/>
  <c r="J1510" i="2"/>
  <c r="I1828" i="2"/>
  <c r="F1300" i="2"/>
  <c r="H680" i="2"/>
  <c r="I680" i="2" s="1"/>
  <c r="H153" i="2"/>
  <c r="N366" i="2"/>
  <c r="K366" i="2" s="1"/>
  <c r="L366" i="2" s="1"/>
  <c r="M366" i="2" s="1"/>
  <c r="E599" i="2"/>
  <c r="I422" i="2"/>
  <c r="E2381" i="2"/>
  <c r="H1752" i="2"/>
  <c r="N2284" i="2"/>
  <c r="K2284" i="2" s="1"/>
  <c r="L2284" i="2" s="1"/>
  <c r="M2284" i="2" s="1"/>
  <c r="N2083" i="2"/>
  <c r="K2083" i="2" s="1"/>
  <c r="L2083" i="2" s="1"/>
  <c r="M2083" i="2" s="1"/>
  <c r="H1786" i="2"/>
  <c r="E1922" i="2"/>
  <c r="I1938" i="2"/>
  <c r="I1608" i="2"/>
  <c r="H1494" i="2"/>
  <c r="E1510" i="2"/>
  <c r="E1828" i="2"/>
  <c r="N1492" i="2"/>
  <c r="K1492" i="2" s="1"/>
  <c r="L1492" i="2" s="1"/>
  <c r="M1492" i="2" s="1"/>
  <c r="F1215" i="2"/>
  <c r="N1215" i="2" s="1"/>
  <c r="K1215" i="2" s="1"/>
  <c r="L1215" i="2" s="1"/>
  <c r="M1215" i="2" s="1"/>
  <c r="N1506" i="2"/>
  <c r="K1506" i="2" s="1"/>
  <c r="L1506" i="2" s="1"/>
  <c r="M1506" i="2" s="1"/>
  <c r="J587" i="2"/>
  <c r="I153" i="2"/>
  <c r="J422" i="2"/>
  <c r="H2366" i="2"/>
  <c r="I1752" i="2"/>
  <c r="I2381" i="2"/>
  <c r="J2284" i="2"/>
  <c r="F1761" i="2"/>
  <c r="F1922" i="2"/>
  <c r="E1938" i="2"/>
  <c r="I1494" i="2"/>
  <c r="E1565" i="2"/>
  <c r="F1828" i="2"/>
  <c r="I1472" i="2"/>
  <c r="F1752" i="2"/>
  <c r="I1486" i="2"/>
  <c r="E965" i="2"/>
  <c r="F587" i="2"/>
  <c r="J153" i="2"/>
  <c r="I366" i="2"/>
  <c r="I2113" i="2"/>
  <c r="H706" i="2"/>
  <c r="F2284" i="2"/>
  <c r="E40" i="17"/>
  <c r="E2095" i="2"/>
  <c r="H1761" i="2"/>
  <c r="H1922" i="2"/>
  <c r="F1938" i="2"/>
  <c r="H1527" i="2"/>
  <c r="J1494" i="2"/>
  <c r="F1565" i="2"/>
  <c r="J1472" i="2"/>
  <c r="E1752" i="2"/>
  <c r="I1386" i="2"/>
  <c r="H1191" i="2"/>
  <c r="H713" i="2"/>
  <c r="J965" i="2"/>
  <c r="H587" i="2"/>
  <c r="E1121" i="2"/>
  <c r="J954" i="2"/>
  <c r="F626" i="2"/>
  <c r="N626" i="2" s="1"/>
  <c r="K626" i="2" s="1"/>
  <c r="F845" i="2"/>
  <c r="N153" i="2"/>
  <c r="K153" i="2" s="1"/>
  <c r="L153" i="2" s="1"/>
  <c r="M153" i="2" s="1"/>
  <c r="J366" i="2"/>
  <c r="I690" i="2"/>
  <c r="H727" i="2"/>
  <c r="N308" i="2"/>
  <c r="K308" i="2" s="1"/>
  <c r="L308" i="2" s="1"/>
  <c r="M308" i="2" s="1"/>
  <c r="J2403" i="2"/>
  <c r="N2095" i="2"/>
  <c r="K2095" i="2" s="1"/>
  <c r="L2095" i="2" s="1"/>
  <c r="M2095" i="2" s="1"/>
  <c r="I1761" i="2"/>
  <c r="H1606" i="2"/>
  <c r="J1938" i="2"/>
  <c r="H1473" i="2"/>
  <c r="F1473" i="2"/>
  <c r="E1473" i="2"/>
  <c r="I1473" i="2"/>
  <c r="F1472" i="2"/>
  <c r="J1752" i="2"/>
  <c r="J1405" i="2"/>
  <c r="J1386" i="2"/>
  <c r="E994" i="2"/>
  <c r="N722" i="2"/>
  <c r="K722" i="2" s="1"/>
  <c r="L722" i="2" s="1"/>
  <c r="M722" i="2" s="1"/>
  <c r="F1121" i="2"/>
  <c r="E845" i="2"/>
  <c r="F221" i="2"/>
  <c r="J1468" i="2"/>
  <c r="I2399" i="2"/>
  <c r="H2095" i="2"/>
  <c r="N1938" i="2"/>
  <c r="K1938" i="2" s="1"/>
  <c r="L1938" i="2" s="1"/>
  <c r="M1938" i="2" s="1"/>
  <c r="H1353" i="2"/>
  <c r="H1384" i="2"/>
  <c r="F994" i="2"/>
  <c r="E722" i="2"/>
  <c r="H1121" i="2"/>
  <c r="H221" i="2"/>
  <c r="H506" i="2"/>
  <c r="I506" i="2" s="1"/>
  <c r="N1468" i="2"/>
  <c r="K1468" i="2" s="1"/>
  <c r="L1468" i="2" s="1"/>
  <c r="M1468" i="2" s="1"/>
  <c r="F1558" i="2"/>
  <c r="E1489" i="2"/>
  <c r="F815" i="2"/>
  <c r="N815" i="2" s="1"/>
  <c r="K815" i="2" s="1"/>
  <c r="L815" i="2" s="1"/>
  <c r="M815" i="2" s="1"/>
  <c r="H783" i="2"/>
  <c r="F207" i="2"/>
  <c r="N207" i="2" s="1"/>
  <c r="K207" i="2" s="1"/>
  <c r="L207" i="2" s="1"/>
  <c r="M207" i="2" s="1"/>
  <c r="F101" i="2"/>
  <c r="I98" i="2"/>
  <c r="F2393" i="2"/>
  <c r="F2358" i="2"/>
  <c r="N2257" i="2"/>
  <c r="K2257" i="2" s="1"/>
  <c r="L2257" i="2" s="1"/>
  <c r="M2257" i="2" s="1"/>
  <c r="N2404" i="2"/>
  <c r="K2404" i="2" s="1"/>
  <c r="L2404" i="2" s="1"/>
  <c r="M2404" i="2" s="1"/>
  <c r="I2276" i="2"/>
  <c r="N1786" i="2"/>
  <c r="K1786" i="2" s="1"/>
  <c r="L1786" i="2" s="1"/>
  <c r="M1786" i="2" s="1"/>
  <c r="E1768" i="2"/>
  <c r="I1664" i="2"/>
  <c r="I1606" i="2"/>
  <c r="N1606" i="2"/>
  <c r="K1606" i="2" s="1"/>
  <c r="L1606" i="2" s="1"/>
  <c r="M1606" i="2" s="1"/>
  <c r="N1582" i="2"/>
  <c r="K1582" i="2" s="1"/>
  <c r="L1582" i="2" s="1"/>
  <c r="M1582" i="2" s="1"/>
  <c r="F1560" i="2"/>
  <c r="J1740" i="2"/>
  <c r="J1593" i="2"/>
  <c r="F1489" i="2"/>
  <c r="F1557" i="2"/>
  <c r="H1436" i="2"/>
  <c r="N1474" i="2"/>
  <c r="K1474" i="2" s="1"/>
  <c r="L1474" i="2" s="1"/>
  <c r="M1474" i="2" s="1"/>
  <c r="E1188" i="2"/>
  <c r="F1155" i="2"/>
  <c r="N1155" i="2" s="1"/>
  <c r="K1155" i="2" s="1"/>
  <c r="L1155" i="2" s="1"/>
  <c r="M1155" i="2" s="1"/>
  <c r="F1977" i="2"/>
  <c r="H815" i="2"/>
  <c r="I815" i="2" s="1"/>
  <c r="F680" i="2"/>
  <c r="N680" i="2" s="1"/>
  <c r="K680" i="2" s="1"/>
  <c r="J1610" i="2"/>
  <c r="H688" i="2"/>
  <c r="I688" i="2" s="1"/>
  <c r="I783" i="2"/>
  <c r="N1063" i="2"/>
  <c r="K1063" i="2" s="1"/>
  <c r="L1063" i="2" s="1"/>
  <c r="M1063" i="2" s="1"/>
  <c r="N167" i="2"/>
  <c r="K167" i="2" s="1"/>
  <c r="L167" i="2" s="1"/>
  <c r="M167" i="2" s="1"/>
  <c r="H101" i="2"/>
  <c r="E1740" i="2"/>
  <c r="N1021" i="2"/>
  <c r="K1021" i="2" s="1"/>
  <c r="L1021" i="2" s="1"/>
  <c r="M1021" i="2" s="1"/>
  <c r="H167" i="2"/>
  <c r="H2358" i="2"/>
  <c r="J2259" i="2"/>
  <c r="I2273" i="2"/>
  <c r="I2236" i="2"/>
  <c r="H2378" i="2"/>
  <c r="N2069" i="2"/>
  <c r="K2069" i="2" s="1"/>
  <c r="L2069" i="2" s="1"/>
  <c r="M2069" i="2" s="1"/>
  <c r="F2256" i="2"/>
  <c r="I2159" i="2"/>
  <c r="I2107" i="2"/>
  <c r="E2091" i="2"/>
  <c r="E1917" i="2"/>
  <c r="N1768" i="2"/>
  <c r="K1768" i="2" s="1"/>
  <c r="L1768" i="2" s="1"/>
  <c r="M1768" i="2" s="1"/>
  <c r="J1897" i="2"/>
  <c r="F1581" i="2"/>
  <c r="I1560" i="2"/>
  <c r="F1740" i="2"/>
  <c r="I1593" i="2"/>
  <c r="J1489" i="2"/>
  <c r="E1365" i="2"/>
  <c r="I1474" i="2"/>
  <c r="J1226" i="2"/>
  <c r="F1297" i="2"/>
  <c r="H760" i="2"/>
  <c r="I760" i="2" s="1"/>
  <c r="F954" i="2"/>
  <c r="F915" i="2"/>
  <c r="N915" i="2" s="1"/>
  <c r="K915" i="2" s="1"/>
  <c r="L915" i="2" s="1"/>
  <c r="M915" i="2" s="1"/>
  <c r="H1063" i="2"/>
  <c r="N267" i="2"/>
  <c r="K267" i="2" s="1"/>
  <c r="J101" i="2"/>
  <c r="J2358" i="2"/>
  <c r="N2259" i="2"/>
  <c r="K2259" i="2" s="1"/>
  <c r="L2259" i="2" s="1"/>
  <c r="M2259" i="2" s="1"/>
  <c r="N2273" i="2"/>
  <c r="K2273" i="2" s="1"/>
  <c r="L2273" i="2" s="1"/>
  <c r="M2273" i="2" s="1"/>
  <c r="F2277" i="2"/>
  <c r="E2114" i="2"/>
  <c r="N2378" i="2"/>
  <c r="K2378" i="2" s="1"/>
  <c r="L2378" i="2" s="1"/>
  <c r="M2378" i="2" s="1"/>
  <c r="H2256" i="2"/>
  <c r="J2159" i="2"/>
  <c r="N2107" i="2"/>
  <c r="K2107" i="2" s="1"/>
  <c r="L2107" i="2" s="1"/>
  <c r="M2107" i="2" s="1"/>
  <c r="N1873" i="2"/>
  <c r="K1873" i="2" s="1"/>
  <c r="L1873" i="2" s="1"/>
  <c r="M1873" i="2" s="1"/>
  <c r="H2091" i="2"/>
  <c r="I1912" i="2"/>
  <c r="F1917" i="2"/>
  <c r="F1741" i="2"/>
  <c r="H1897" i="2"/>
  <c r="H1726" i="2"/>
  <c r="N1580" i="2"/>
  <c r="K1580" i="2" s="1"/>
  <c r="L1580" i="2" s="1"/>
  <c r="M1580" i="2" s="1"/>
  <c r="F1724" i="2"/>
  <c r="J1560" i="2"/>
  <c r="H1740" i="2"/>
  <c r="E1593" i="2"/>
  <c r="N1355" i="2"/>
  <c r="K1355" i="2" s="1"/>
  <c r="L1355" i="2" s="1"/>
  <c r="M1355" i="2" s="1"/>
  <c r="E1474" i="2"/>
  <c r="J776" i="2"/>
  <c r="N954" i="2"/>
  <c r="K954" i="2" s="1"/>
  <c r="L954" i="2" s="1"/>
  <c r="M954" i="2" s="1"/>
  <c r="I1063" i="2"/>
  <c r="F137" i="2"/>
  <c r="N137" i="2" s="1"/>
  <c r="K137" i="2" s="1"/>
  <c r="E354" i="2"/>
  <c r="E52" i="2"/>
  <c r="N98" i="2"/>
  <c r="K98" i="2" s="1"/>
  <c r="L98" i="2" s="1"/>
  <c r="M98" i="2" s="1"/>
  <c r="F1451" i="2"/>
  <c r="H1593" i="2"/>
  <c r="H1474" i="2"/>
  <c r="E2366" i="2"/>
  <c r="N2263" i="2"/>
  <c r="K2263" i="2" s="1"/>
  <c r="L2263" i="2" s="1"/>
  <c r="M2263" i="2" s="1"/>
  <c r="H2273" i="2"/>
  <c r="N2114" i="2"/>
  <c r="K2114" i="2" s="1"/>
  <c r="L2114" i="2" s="1"/>
  <c r="M2114" i="2" s="1"/>
  <c r="E2378" i="2"/>
  <c r="I2256" i="2"/>
  <c r="N2159" i="2"/>
  <c r="K2159" i="2" s="1"/>
  <c r="L2159" i="2" s="1"/>
  <c r="M2159" i="2" s="1"/>
  <c r="E2107" i="2"/>
  <c r="F2091" i="2"/>
  <c r="H1917" i="2"/>
  <c r="N1741" i="2"/>
  <c r="K1741" i="2" s="1"/>
  <c r="L1741" i="2" s="1"/>
  <c r="M1741" i="2" s="1"/>
  <c r="N1897" i="2"/>
  <c r="K1897" i="2" s="1"/>
  <c r="L1897" i="2" s="1"/>
  <c r="M1897" i="2" s="1"/>
  <c r="I1726" i="2"/>
  <c r="J1724" i="2"/>
  <c r="I1740" i="2"/>
  <c r="F1684" i="2"/>
  <c r="N1593" i="2"/>
  <c r="K1593" i="2" s="1"/>
  <c r="L1593" i="2" s="1"/>
  <c r="M1593" i="2" s="1"/>
  <c r="F1474" i="2"/>
  <c r="J1188" i="2"/>
  <c r="H1021" i="2"/>
  <c r="J1004" i="2"/>
  <c r="I1505" i="2"/>
  <c r="H776" i="2"/>
  <c r="H607" i="2"/>
  <c r="N703" i="2"/>
  <c r="K703" i="2" s="1"/>
  <c r="L703" i="2" s="1"/>
  <c r="M703" i="2" s="1"/>
  <c r="E954" i="2"/>
  <c r="H521" i="2"/>
  <c r="F52" i="2"/>
  <c r="E100" i="2"/>
  <c r="F99" i="2"/>
  <c r="H1768" i="2"/>
  <c r="J1578" i="2"/>
  <c r="J339" i="2"/>
  <c r="J1693" i="2"/>
  <c r="H2159" i="2"/>
  <c r="F2061" i="2"/>
  <c r="N1917" i="2"/>
  <c r="K1917" i="2" s="1"/>
  <c r="L1917" i="2" s="1"/>
  <c r="M1917" i="2" s="1"/>
  <c r="E1897" i="2"/>
  <c r="E1724" i="2"/>
  <c r="N1684" i="2"/>
  <c r="K1684" i="2" s="1"/>
  <c r="L1684" i="2" s="1"/>
  <c r="M1684" i="2" s="1"/>
  <c r="N1505" i="2"/>
  <c r="K1505" i="2" s="1"/>
  <c r="L1505" i="2" s="1"/>
  <c r="M1505" i="2" s="1"/>
  <c r="F1009" i="2"/>
  <c r="F1148" i="2"/>
  <c r="N1148" i="2" s="1"/>
  <c r="K1148" i="2" s="1"/>
  <c r="L1148" i="2" s="1"/>
  <c r="M1148" i="2" s="1"/>
  <c r="J1768" i="2"/>
  <c r="F2366" i="2"/>
  <c r="F2378" i="2"/>
  <c r="F2063" i="2"/>
  <c r="H2061" i="2"/>
  <c r="F1873" i="2"/>
  <c r="J2091" i="2"/>
  <c r="I1771" i="2"/>
  <c r="F1879" i="2"/>
  <c r="N1722" i="2"/>
  <c r="K1722" i="2" s="1"/>
  <c r="L1722" i="2" s="1"/>
  <c r="M1722" i="2" s="1"/>
  <c r="N1693" i="2"/>
  <c r="K1693" i="2" s="1"/>
  <c r="L1693" i="2" s="1"/>
  <c r="M1693" i="2" s="1"/>
  <c r="H1803" i="2"/>
  <c r="H1581" i="2"/>
  <c r="N1743" i="2"/>
  <c r="K1743" i="2" s="1"/>
  <c r="L1743" i="2" s="1"/>
  <c r="M1743" i="2" s="1"/>
  <c r="E1712" i="2"/>
  <c r="H1684" i="2"/>
  <c r="N1573" i="2"/>
  <c r="K1573" i="2" s="1"/>
  <c r="L1573" i="2" s="1"/>
  <c r="M1573" i="2" s="1"/>
  <c r="E1488" i="2"/>
  <c r="N1662" i="2"/>
  <c r="K1662" i="2" s="1"/>
  <c r="L1662" i="2" s="1"/>
  <c r="M1662" i="2" s="1"/>
  <c r="J1669" i="2"/>
  <c r="I1234" i="2"/>
  <c r="F1310" i="2"/>
  <c r="I1521" i="2"/>
  <c r="J1178" i="2"/>
  <c r="J713" i="2"/>
  <c r="N776" i="2"/>
  <c r="K776" i="2" s="1"/>
  <c r="L776" i="2" s="1"/>
  <c r="M776" i="2" s="1"/>
  <c r="E587" i="2"/>
  <c r="F976" i="2"/>
  <c r="N976" i="2" s="1"/>
  <c r="K976" i="2" s="1"/>
  <c r="H405" i="2"/>
  <c r="N760" i="2"/>
  <c r="K760" i="2" s="1"/>
  <c r="L760" i="2" s="1"/>
  <c r="M760" i="2" s="1"/>
  <c r="H954" i="2"/>
  <c r="H421" i="2"/>
  <c r="F521" i="2"/>
  <c r="E225" i="2"/>
  <c r="F546" i="2"/>
  <c r="N360" i="2"/>
  <c r="K360" i="2" s="1"/>
  <c r="L360" i="2" s="1"/>
  <c r="M360" i="2" s="1"/>
  <c r="E226" i="2"/>
  <c r="N445" i="2"/>
  <c r="K445" i="2" s="1"/>
  <c r="H100" i="2"/>
  <c r="I459" i="2"/>
  <c r="F1494" i="2"/>
  <c r="H980" i="2"/>
  <c r="H704" i="2"/>
  <c r="I704" i="2" s="1"/>
  <c r="H1645" i="2"/>
  <c r="J722" i="2"/>
  <c r="N2358" i="2"/>
  <c r="K2358" i="2" s="1"/>
  <c r="L2358" i="2" s="1"/>
  <c r="M2358" i="2" s="1"/>
  <c r="F1554" i="2"/>
  <c r="E2358" i="2"/>
  <c r="E2063" i="2"/>
  <c r="H1771" i="2"/>
  <c r="J1726" i="2"/>
  <c r="N1581" i="2"/>
  <c r="K1581" i="2" s="1"/>
  <c r="L1581" i="2" s="1"/>
  <c r="M1581" i="2" s="1"/>
  <c r="J1712" i="2"/>
  <c r="H1194" i="2"/>
  <c r="F688" i="2"/>
  <c r="N688" i="2" s="1"/>
  <c r="K688" i="2" s="1"/>
  <c r="L688" i="2" s="1"/>
  <c r="M688" i="2" s="1"/>
  <c r="E521" i="2"/>
  <c r="F100" i="2"/>
  <c r="H99" i="2"/>
  <c r="N796" i="2"/>
  <c r="K796" i="2" s="1"/>
  <c r="L796" i="2" s="1"/>
  <c r="M796" i="2" s="1"/>
  <c r="E390" i="2"/>
  <c r="F2273" i="2"/>
  <c r="E2250" i="2"/>
  <c r="D66" i="3"/>
  <c r="C7" i="17" s="1"/>
  <c r="N2063" i="2"/>
  <c r="K2063" i="2" s="1"/>
  <c r="L2063" i="2" s="1"/>
  <c r="M2063" i="2" s="1"/>
  <c r="J2061" i="2"/>
  <c r="J1873" i="2"/>
  <c r="E1899" i="2"/>
  <c r="J1771" i="2"/>
  <c r="J1879" i="2"/>
  <c r="E1722" i="2"/>
  <c r="F1803" i="2"/>
  <c r="F1552" i="2"/>
  <c r="I1581" i="2"/>
  <c r="E1674" i="2"/>
  <c r="E1743" i="2"/>
  <c r="F1712" i="2"/>
  <c r="I1684" i="2"/>
  <c r="J1535" i="2"/>
  <c r="I1573" i="2"/>
  <c r="F1488" i="2"/>
  <c r="I1457" i="2"/>
  <c r="I1567" i="2"/>
  <c r="J1662" i="2"/>
  <c r="H1475" i="2"/>
  <c r="J1234" i="2"/>
  <c r="E1484" i="2"/>
  <c r="E1299" i="2"/>
  <c r="I1008" i="2"/>
  <c r="E1178" i="2"/>
  <c r="I405" i="2"/>
  <c r="I344" i="2"/>
  <c r="H390" i="2"/>
  <c r="F225" i="2"/>
  <c r="I360" i="2"/>
  <c r="H452" i="2"/>
  <c r="N226" i="2"/>
  <c r="K226" i="2" s="1"/>
  <c r="L226" i="2" s="1"/>
  <c r="M226" i="2" s="1"/>
  <c r="H695" i="2"/>
  <c r="I695" i="2" s="1"/>
  <c r="H445" i="2"/>
  <c r="I100" i="2"/>
  <c r="E980" i="2"/>
  <c r="N704" i="2"/>
  <c r="K704" i="2" s="1"/>
  <c r="L704" i="2" s="1"/>
  <c r="M704" i="2" s="1"/>
  <c r="N1607" i="2"/>
  <c r="K1607" i="2" s="1"/>
  <c r="L1607" i="2" s="1"/>
  <c r="M1607" i="2" s="1"/>
  <c r="I1917" i="2"/>
  <c r="E2258" i="2"/>
  <c r="H2135" i="2"/>
  <c r="N1771" i="2"/>
  <c r="K1771" i="2" s="1"/>
  <c r="L1771" i="2" s="1"/>
  <c r="M1771" i="2" s="1"/>
  <c r="J1684" i="2"/>
  <c r="J1457" i="2"/>
  <c r="E1662" i="2"/>
  <c r="H364" i="2"/>
  <c r="S23" i="9"/>
  <c r="H1873" i="2"/>
  <c r="I1899" i="2"/>
  <c r="I1693" i="2"/>
  <c r="F2209" i="2"/>
  <c r="E1803" i="2"/>
  <c r="F1478" i="2"/>
  <c r="H1674" i="2"/>
  <c r="I1743" i="2"/>
  <c r="I1712" i="2"/>
  <c r="E1468" i="2"/>
  <c r="F1662" i="2"/>
  <c r="H1406" i="2"/>
  <c r="H1455" i="2"/>
  <c r="F1021" i="2"/>
  <c r="H1484" i="2"/>
  <c r="I1021" i="2"/>
  <c r="F1299" i="2"/>
  <c r="F1004" i="2"/>
  <c r="H1178" i="2"/>
  <c r="E606" i="2"/>
  <c r="N775" i="2"/>
  <c r="K775" i="2" s="1"/>
  <c r="L775" i="2" s="1"/>
  <c r="M775" i="2" s="1"/>
  <c r="H344" i="2"/>
  <c r="N390" i="2"/>
  <c r="K390" i="2" s="1"/>
  <c r="L390" i="2" s="1"/>
  <c r="M390" i="2" s="1"/>
  <c r="I777" i="2"/>
  <c r="N452" i="2"/>
  <c r="K452" i="2" s="1"/>
  <c r="L452" i="2" s="1"/>
  <c r="M452" i="2" s="1"/>
  <c r="H226" i="2"/>
  <c r="N100" i="2"/>
  <c r="K100" i="2" s="1"/>
  <c r="L100" i="2" s="1"/>
  <c r="M100" i="2" s="1"/>
  <c r="N980" i="2"/>
  <c r="K980" i="2" s="1"/>
  <c r="L980" i="2" s="1"/>
  <c r="M980" i="2" s="1"/>
  <c r="F987" i="2"/>
  <c r="N587" i="2"/>
  <c r="K587" i="2" s="1"/>
  <c r="L587" i="2" s="1"/>
  <c r="M587" i="2" s="1"/>
  <c r="I1909" i="2"/>
  <c r="I1897" i="2"/>
  <c r="E1873" i="2"/>
  <c r="J1899" i="2"/>
  <c r="N1803" i="2"/>
  <c r="K1803" i="2" s="1"/>
  <c r="L1803" i="2" s="1"/>
  <c r="M1803" i="2" s="1"/>
  <c r="J1581" i="2"/>
  <c r="F1455" i="2"/>
  <c r="N1299" i="2"/>
  <c r="K1299" i="2" s="1"/>
  <c r="L1299" i="2" s="1"/>
  <c r="M1299" i="2" s="1"/>
  <c r="E344" i="2"/>
  <c r="F226" i="2"/>
  <c r="J2234" i="2"/>
  <c r="E1771" i="2"/>
  <c r="J2246" i="2"/>
  <c r="J2273" i="2"/>
  <c r="H2250" i="2"/>
  <c r="E2277" i="2"/>
  <c r="N2234" i="2"/>
  <c r="K2234" i="2" s="1"/>
  <c r="L2234" i="2" s="1"/>
  <c r="M2234" i="2" s="1"/>
  <c r="H2334" i="2"/>
  <c r="H1899" i="2"/>
  <c r="J1722" i="2"/>
  <c r="H1737" i="2"/>
  <c r="E1778" i="2"/>
  <c r="F1549" i="2"/>
  <c r="I1674" i="2"/>
  <c r="J1743" i="2"/>
  <c r="N1712" i="2"/>
  <c r="K1712" i="2" s="1"/>
  <c r="L1712" i="2" s="1"/>
  <c r="M1712" i="2" s="1"/>
  <c r="N1512" i="2"/>
  <c r="K1512" i="2" s="1"/>
  <c r="L1512" i="2" s="1"/>
  <c r="M1512" i="2" s="1"/>
  <c r="H1576" i="2"/>
  <c r="H1662" i="2"/>
  <c r="I1406" i="2"/>
  <c r="H1396" i="2"/>
  <c r="J1455" i="2"/>
  <c r="I1566" i="2"/>
  <c r="F1012" i="2"/>
  <c r="I1484" i="2"/>
  <c r="J1021" i="2"/>
  <c r="H1299" i="2"/>
  <c r="H1004" i="2"/>
  <c r="N1027" i="2"/>
  <c r="K1027" i="2" s="1"/>
  <c r="L1027" i="2" s="1"/>
  <c r="M1027" i="2" s="1"/>
  <c r="I1178" i="2"/>
  <c r="H606" i="2"/>
  <c r="J775" i="2"/>
  <c r="H808" i="2"/>
  <c r="I808" i="2" s="1"/>
  <c r="H320" i="2"/>
  <c r="I320" i="2" s="1"/>
  <c r="H417" i="2"/>
  <c r="H513" i="2"/>
  <c r="H243" i="2"/>
  <c r="J777" i="2"/>
  <c r="J347" i="2"/>
  <c r="F753" i="2"/>
  <c r="N753" i="2" s="1"/>
  <c r="K753" i="2" s="1"/>
  <c r="F173" i="2"/>
  <c r="I226" i="2"/>
  <c r="N56" i="2"/>
  <c r="K56" i="2" s="1"/>
  <c r="L56" i="2" s="1"/>
  <c r="M56" i="2" s="1"/>
  <c r="H69" i="2"/>
  <c r="I69" i="2" s="1"/>
  <c r="K965" i="2"/>
  <c r="L965" i="2" s="1"/>
  <c r="M965" i="2" s="1"/>
  <c r="K1537" i="2"/>
  <c r="L1537" i="2" s="1"/>
  <c r="M1537" i="2" s="1"/>
  <c r="N2366" i="2"/>
  <c r="K2366" i="2" s="1"/>
  <c r="L2366" i="2" s="1"/>
  <c r="M2366" i="2" s="1"/>
  <c r="H1909" i="2"/>
  <c r="E1554" i="2"/>
  <c r="F1899" i="2"/>
  <c r="F1674" i="2"/>
  <c r="E339" i="2"/>
  <c r="N370" i="2"/>
  <c r="K370" i="2" s="1"/>
  <c r="H777" i="2"/>
  <c r="H2246" i="2"/>
  <c r="I2258" i="2"/>
  <c r="I2250" i="2"/>
  <c r="H2277" i="2"/>
  <c r="F2234" i="2"/>
  <c r="J2276" i="2"/>
  <c r="J2312" i="2"/>
  <c r="I1737" i="2"/>
  <c r="E1704" i="2"/>
  <c r="N1723" i="2"/>
  <c r="K1723" i="2" s="1"/>
  <c r="L1723" i="2" s="1"/>
  <c r="M1723" i="2" s="1"/>
  <c r="F1778" i="2"/>
  <c r="H1549" i="2"/>
  <c r="N1674" i="2"/>
  <c r="K1674" i="2" s="1"/>
  <c r="L1674" i="2" s="1"/>
  <c r="M1674" i="2" s="1"/>
  <c r="E1621" i="2"/>
  <c r="I1512" i="2"/>
  <c r="H1542" i="2"/>
  <c r="N1406" i="2"/>
  <c r="K1406" i="2" s="1"/>
  <c r="L1406" i="2" s="1"/>
  <c r="M1406" i="2" s="1"/>
  <c r="N1396" i="2"/>
  <c r="K1396" i="2" s="1"/>
  <c r="L1396" i="2" s="1"/>
  <c r="M1396" i="2" s="1"/>
  <c r="F1430" i="2"/>
  <c r="E1566" i="2"/>
  <c r="N1012" i="2"/>
  <c r="K1012" i="2" s="1"/>
  <c r="L1012" i="2" s="1"/>
  <c r="M1012" i="2" s="1"/>
  <c r="J1484" i="2"/>
  <c r="I1299" i="2"/>
  <c r="N1004" i="2"/>
  <c r="K1004" i="2" s="1"/>
  <c r="L1004" i="2" s="1"/>
  <c r="M1004" i="2" s="1"/>
  <c r="I1177" i="2"/>
  <c r="H813" i="2"/>
  <c r="I813" i="2" s="1"/>
  <c r="I988" i="2"/>
  <c r="J1007" i="2"/>
  <c r="J606" i="2"/>
  <c r="N339" i="2"/>
  <c r="K339" i="2" s="1"/>
  <c r="L339" i="2" s="1"/>
  <c r="M339" i="2" s="1"/>
  <c r="E775" i="2"/>
  <c r="N1121" i="2"/>
  <c r="K1121" i="2" s="1"/>
  <c r="L1121" i="2" s="1"/>
  <c r="M1121" i="2" s="1"/>
  <c r="J715" i="2"/>
  <c r="I602" i="2"/>
  <c r="N513" i="2"/>
  <c r="K513" i="2" s="1"/>
  <c r="L513" i="2" s="1"/>
  <c r="M513" i="2" s="1"/>
  <c r="E777" i="2"/>
  <c r="F243" i="2"/>
  <c r="I208" i="2"/>
  <c r="I173" i="2"/>
  <c r="F249" i="2"/>
  <c r="N249" i="2" s="1"/>
  <c r="K249" i="2" s="1"/>
  <c r="L249" i="2" s="1"/>
  <c r="M249" i="2" s="1"/>
  <c r="N329" i="2"/>
  <c r="K329" i="2" s="1"/>
  <c r="L329" i="2" s="1"/>
  <c r="M329" i="2" s="1"/>
  <c r="H25" i="2"/>
  <c r="F1580" i="2"/>
  <c r="K1354" i="2"/>
  <c r="L1354" i="2" s="1"/>
  <c r="M1354" i="2" s="1"/>
  <c r="H1554" i="2"/>
  <c r="K1893" i="2"/>
  <c r="L1893" i="2" s="1"/>
  <c r="M1893" i="2" s="1"/>
  <c r="E1339" i="2"/>
  <c r="F1484" i="2"/>
  <c r="H335" i="2"/>
  <c r="N2360" i="2"/>
  <c r="K2360" i="2" s="1"/>
  <c r="L2360" i="2" s="1"/>
  <c r="M2360" i="2" s="1"/>
  <c r="J2250" i="2"/>
  <c r="E2112" i="2"/>
  <c r="E2363" i="2"/>
  <c r="J2268" i="2"/>
  <c r="H2234" i="2"/>
  <c r="I2404" i="2"/>
  <c r="N1737" i="2"/>
  <c r="K1737" i="2" s="1"/>
  <c r="L1737" i="2" s="1"/>
  <c r="M1737" i="2" s="1"/>
  <c r="H1621" i="2"/>
  <c r="F1535" i="2"/>
  <c r="I1339" i="2"/>
  <c r="J1406" i="2"/>
  <c r="I1385" i="2"/>
  <c r="H1430" i="2"/>
  <c r="E1004" i="2"/>
  <c r="J1177" i="2"/>
  <c r="J988" i="2"/>
  <c r="N1007" i="2"/>
  <c r="K1007" i="2" s="1"/>
  <c r="L1007" i="2" s="1"/>
  <c r="M1007" i="2" s="1"/>
  <c r="I713" i="2"/>
  <c r="N1186" i="2"/>
  <c r="K1186" i="2" s="1"/>
  <c r="L1186" i="2" s="1"/>
  <c r="M1186" i="2" s="1"/>
  <c r="F715" i="2"/>
  <c r="F806" i="2"/>
  <c r="N806" i="2" s="1"/>
  <c r="K806" i="2" s="1"/>
  <c r="J602" i="2"/>
  <c r="E513" i="2"/>
  <c r="J783" i="2"/>
  <c r="F153" i="2"/>
  <c r="H753" i="2"/>
  <c r="I753" i="2" s="1"/>
  <c r="F219" i="2"/>
  <c r="I195" i="2"/>
  <c r="H280" i="2"/>
  <c r="H227" i="2"/>
  <c r="E1762" i="2"/>
  <c r="E1580" i="2"/>
  <c r="I1468" i="2"/>
  <c r="H1741" i="2"/>
  <c r="H2360" i="2"/>
  <c r="H2285" i="2"/>
  <c r="F2268" i="2"/>
  <c r="J2164" i="2"/>
  <c r="J2052" i="2"/>
  <c r="H2222" i="2"/>
  <c r="N1762" i="2"/>
  <c r="K1762" i="2" s="1"/>
  <c r="L1762" i="2" s="1"/>
  <c r="M1762" i="2" s="1"/>
  <c r="H1804" i="2"/>
  <c r="N2209" i="2"/>
  <c r="K2209" i="2" s="1"/>
  <c r="L2209" i="2" s="1"/>
  <c r="M2209" i="2" s="1"/>
  <c r="F1644" i="2"/>
  <c r="J1591" i="2"/>
  <c r="N1520" i="2"/>
  <c r="K1520" i="2" s="1"/>
  <c r="L1520" i="2" s="1"/>
  <c r="M1520" i="2" s="1"/>
  <c r="J1534" i="2"/>
  <c r="H1528" i="2"/>
  <c r="E1384" i="2"/>
  <c r="H843" i="2"/>
  <c r="I1071" i="2"/>
  <c r="H126" i="2"/>
  <c r="J1762" i="2"/>
  <c r="E1448" i="2"/>
  <c r="F2360" i="2"/>
  <c r="I2139" i="2"/>
  <c r="E2164" i="2"/>
  <c r="N2312" i="2"/>
  <c r="K2312" i="2" s="1"/>
  <c r="L2312" i="2" s="1"/>
  <c r="M2312" i="2" s="1"/>
  <c r="F2222" i="2"/>
  <c r="J2012" i="2"/>
  <c r="E1799" i="2"/>
  <c r="J1713" i="2"/>
  <c r="I2209" i="2"/>
  <c r="E1605" i="2"/>
  <c r="H1591" i="2"/>
  <c r="H1534" i="2"/>
  <c r="J1528" i="2"/>
  <c r="N1317" i="2"/>
  <c r="K1317" i="2" s="1"/>
  <c r="L1317" i="2" s="1"/>
  <c r="M1317" i="2" s="1"/>
  <c r="N790" i="2"/>
  <c r="K790" i="2" s="1"/>
  <c r="L790" i="2" s="1"/>
  <c r="M790" i="2" s="1"/>
  <c r="E365" i="2"/>
  <c r="H224" i="2"/>
  <c r="H599" i="2"/>
  <c r="E335" i="2"/>
  <c r="H719" i="2"/>
  <c r="J99" i="2"/>
  <c r="N69" i="2"/>
  <c r="K69" i="2" s="1"/>
  <c r="L69" i="2" s="1"/>
  <c r="M69" i="2" s="1"/>
  <c r="J126" i="2"/>
  <c r="K1879" i="2"/>
  <c r="L1879" i="2" s="1"/>
  <c r="M1879" i="2" s="1"/>
  <c r="K2235" i="2"/>
  <c r="L2235" i="2" s="1"/>
  <c r="M2235" i="2" s="1"/>
  <c r="I2360" i="2"/>
  <c r="F2312" i="2"/>
  <c r="E2222" i="2"/>
  <c r="N2012" i="2"/>
  <c r="K2012" i="2" s="1"/>
  <c r="L2012" i="2" s="1"/>
  <c r="M2012" i="2" s="1"/>
  <c r="N1799" i="2"/>
  <c r="K1799" i="2" s="1"/>
  <c r="L1799" i="2" s="1"/>
  <c r="M1799" i="2" s="1"/>
  <c r="H1739" i="2"/>
  <c r="E2209" i="2"/>
  <c r="F1605" i="2"/>
  <c r="N1591" i="2"/>
  <c r="K1591" i="2" s="1"/>
  <c r="L1591" i="2" s="1"/>
  <c r="M1591" i="2" s="1"/>
  <c r="E1534" i="2"/>
  <c r="N1017" i="2"/>
  <c r="K1017" i="2" s="1"/>
  <c r="L1017" i="2" s="1"/>
  <c r="M1017" i="2" s="1"/>
  <c r="F1263" i="2"/>
  <c r="E1027" i="2"/>
  <c r="N330" i="2"/>
  <c r="K330" i="2" s="1"/>
  <c r="L330" i="2" s="1"/>
  <c r="M330" i="2" s="1"/>
  <c r="J335" i="2"/>
  <c r="J719" i="2"/>
  <c r="N126" i="2"/>
  <c r="K126" i="2" s="1"/>
  <c r="L126" i="2" s="1"/>
  <c r="M126" i="2" s="1"/>
  <c r="F248" i="2"/>
  <c r="N248" i="2" s="1"/>
  <c r="K248" i="2" s="1"/>
  <c r="L248" i="2" s="1"/>
  <c r="M248" i="2" s="1"/>
  <c r="E101" i="2"/>
  <c r="E99" i="2"/>
  <c r="I390" i="2"/>
  <c r="I2312" i="2"/>
  <c r="J2222" i="2"/>
  <c r="E2012" i="2"/>
  <c r="I1892" i="2"/>
  <c r="N1739" i="2"/>
  <c r="K1739" i="2" s="1"/>
  <c r="L1739" i="2" s="1"/>
  <c r="M1739" i="2" s="1"/>
  <c r="H2209" i="2"/>
  <c r="H1682" i="2"/>
  <c r="H1605" i="2"/>
  <c r="E1591" i="2"/>
  <c r="N1534" i="2"/>
  <c r="K1534" i="2" s="1"/>
  <c r="L1534" i="2" s="1"/>
  <c r="M1534" i="2" s="1"/>
  <c r="I1263" i="2"/>
  <c r="F1027" i="2"/>
  <c r="E607" i="2"/>
  <c r="F970" i="2"/>
  <c r="N970" i="2" s="1"/>
  <c r="K970" i="2" s="1"/>
  <c r="L970" i="2" s="1"/>
  <c r="M970" i="2" s="1"/>
  <c r="F719" i="2"/>
  <c r="H228" i="2"/>
  <c r="H1471" i="2"/>
  <c r="F1470" i="2"/>
  <c r="I1605" i="2"/>
  <c r="J1509" i="2"/>
  <c r="J1541" i="2"/>
  <c r="I1027" i="2"/>
  <c r="F607" i="2"/>
  <c r="N719" i="2"/>
  <c r="K719" i="2" s="1"/>
  <c r="L719" i="2" s="1"/>
  <c r="M719" i="2" s="1"/>
  <c r="E1471" i="2"/>
  <c r="E2312" i="2"/>
  <c r="J1910" i="2"/>
  <c r="F2012" i="2"/>
  <c r="N1892" i="2"/>
  <c r="K1892" i="2" s="1"/>
  <c r="L1892" i="2" s="1"/>
  <c r="M1892" i="2" s="1"/>
  <c r="I1739" i="2"/>
  <c r="F1910" i="2"/>
  <c r="E1892" i="2"/>
  <c r="I1723" i="2"/>
  <c r="J1605" i="2"/>
  <c r="E1520" i="2"/>
  <c r="F1384" i="2"/>
  <c r="F972" i="2"/>
  <c r="N972" i="2" s="1"/>
  <c r="K972" i="2" s="1"/>
  <c r="L972" i="2" s="1"/>
  <c r="M972" i="2" s="1"/>
  <c r="H1027" i="2"/>
  <c r="I607" i="2"/>
  <c r="F814" i="2"/>
  <c r="N814" i="2" s="1"/>
  <c r="K814" i="2" s="1"/>
  <c r="H365" i="2"/>
  <c r="N101" i="2"/>
  <c r="K101" i="2" s="1"/>
  <c r="L101" i="2" s="1"/>
  <c r="M101" i="2" s="1"/>
  <c r="I99" i="2"/>
  <c r="H1693" i="2"/>
  <c r="I589" i="2"/>
  <c r="F2164" i="2"/>
  <c r="E1910" i="2"/>
  <c r="H1892" i="2"/>
  <c r="E2024" i="2"/>
  <c r="F1865" i="2"/>
  <c r="I1544" i="2"/>
  <c r="E1575" i="2"/>
  <c r="H1520" i="2"/>
  <c r="I1436" i="2"/>
  <c r="H1808" i="2"/>
  <c r="H1354" i="2"/>
  <c r="E1486" i="2"/>
  <c r="N1310" i="2"/>
  <c r="K1310" i="2" s="1"/>
  <c r="L1310" i="2" s="1"/>
  <c r="M1310" i="2" s="1"/>
  <c r="N607" i="2"/>
  <c r="K607" i="2" s="1"/>
  <c r="L607" i="2" s="1"/>
  <c r="M607" i="2" s="1"/>
  <c r="N1589" i="2"/>
  <c r="K1589" i="2" s="1"/>
  <c r="L1589" i="2" s="1"/>
  <c r="M1589" i="2" s="1"/>
  <c r="I1110" i="2"/>
  <c r="N364" i="2"/>
  <c r="K364" i="2" s="1"/>
  <c r="L364" i="2" s="1"/>
  <c r="M364" i="2" s="1"/>
  <c r="N375" i="2"/>
  <c r="K375" i="2" s="1"/>
  <c r="L375" i="2" s="1"/>
  <c r="M375" i="2" s="1"/>
  <c r="F1693" i="2"/>
  <c r="K149" i="2"/>
  <c r="L149" i="2" s="1"/>
  <c r="M149" i="2" s="1"/>
  <c r="I1644" i="2"/>
  <c r="I1554" i="2"/>
  <c r="F2132" i="2"/>
  <c r="N1910" i="2"/>
  <c r="K1910" i="2" s="1"/>
  <c r="L1910" i="2" s="1"/>
  <c r="M1910" i="2" s="1"/>
  <c r="E1775" i="2"/>
  <c r="F2024" i="2"/>
  <c r="F1804" i="2"/>
  <c r="F1893" i="2"/>
  <c r="H1865" i="2"/>
  <c r="H1470" i="2"/>
  <c r="I1520" i="2"/>
  <c r="J1436" i="2"/>
  <c r="N1808" i="2"/>
  <c r="K1808" i="2" s="1"/>
  <c r="L1808" i="2" s="1"/>
  <c r="M1808" i="2" s="1"/>
  <c r="N1475" i="2"/>
  <c r="K1475" i="2" s="1"/>
  <c r="L1475" i="2" s="1"/>
  <c r="M1475" i="2" s="1"/>
  <c r="I1354" i="2"/>
  <c r="F1486" i="2"/>
  <c r="H1310" i="2"/>
  <c r="F721" i="2"/>
  <c r="E588" i="2"/>
  <c r="F1589" i="2"/>
  <c r="E586" i="2"/>
  <c r="J1110" i="2"/>
  <c r="F594" i="2"/>
  <c r="E240" i="2"/>
  <c r="E459" i="2"/>
  <c r="K1615" i="2"/>
  <c r="L1615" i="2" s="1"/>
  <c r="M1615" i="2" s="1"/>
  <c r="N1758" i="2"/>
  <c r="K1758" i="2" s="1"/>
  <c r="L1758" i="2" s="1"/>
  <c r="M1758" i="2" s="1"/>
  <c r="K1348" i="2"/>
  <c r="L1348" i="2" s="1"/>
  <c r="M1348" i="2" s="1"/>
  <c r="H2402" i="2"/>
  <c r="N2132" i="2"/>
  <c r="K2132" i="2" s="1"/>
  <c r="L2132" i="2" s="1"/>
  <c r="M2132" i="2" s="1"/>
  <c r="F2121" i="2"/>
  <c r="H2024" i="2"/>
  <c r="E1804" i="2"/>
  <c r="H1893" i="2"/>
  <c r="J1865" i="2"/>
  <c r="I1470" i="2"/>
  <c r="J1559" i="2"/>
  <c r="N1436" i="2"/>
  <c r="K1436" i="2" s="1"/>
  <c r="L1436" i="2" s="1"/>
  <c r="M1436" i="2" s="1"/>
  <c r="J1808" i="2"/>
  <c r="E1475" i="2"/>
  <c r="N1486" i="2"/>
  <c r="K1486" i="2" s="1"/>
  <c r="L1486" i="2" s="1"/>
  <c r="M1486" i="2" s="1"/>
  <c r="I1310" i="2"/>
  <c r="E987" i="2"/>
  <c r="H721" i="2"/>
  <c r="N588" i="2"/>
  <c r="K588" i="2" s="1"/>
  <c r="L588" i="2" s="1"/>
  <c r="M588" i="2" s="1"/>
  <c r="H1589" i="2"/>
  <c r="F586" i="2"/>
  <c r="N1110" i="2"/>
  <c r="K1110" i="2" s="1"/>
  <c r="L1110" i="2" s="1"/>
  <c r="M1110" i="2" s="1"/>
  <c r="H1017" i="2"/>
  <c r="I843" i="2"/>
  <c r="E1559" i="2"/>
  <c r="N2268" i="2"/>
  <c r="K2268" i="2" s="1"/>
  <c r="L2268" i="2" s="1"/>
  <c r="M2268" i="2" s="1"/>
  <c r="J2121" i="2"/>
  <c r="I1804" i="2"/>
  <c r="E1893" i="2"/>
  <c r="E1865" i="2"/>
  <c r="I1471" i="2"/>
  <c r="J1470" i="2"/>
  <c r="N1493" i="2"/>
  <c r="K1493" i="2" s="1"/>
  <c r="L1493" i="2" s="1"/>
  <c r="M1493" i="2" s="1"/>
  <c r="F1475" i="2"/>
  <c r="H1486" i="2"/>
  <c r="J1310" i="2"/>
  <c r="F843" i="2"/>
  <c r="J721" i="2"/>
  <c r="H839" i="2"/>
  <c r="H586" i="2"/>
  <c r="F633" i="2"/>
  <c r="N633" i="2" s="1"/>
  <c r="K633" i="2" s="1"/>
  <c r="H705" i="2"/>
  <c r="J907" i="2"/>
  <c r="E234" i="2"/>
  <c r="K1324" i="2"/>
  <c r="L1324" i="2" s="1"/>
  <c r="M1324" i="2" s="1"/>
  <c r="I1451" i="2"/>
  <c r="E843" i="2"/>
  <c r="H1559" i="2"/>
  <c r="K2101" i="2"/>
  <c r="L2101" i="2" s="1"/>
  <c r="M2101" i="2" s="1"/>
  <c r="N2154" i="2"/>
  <c r="K2154" i="2" s="1"/>
  <c r="L2154" i="2" s="1"/>
  <c r="M2154" i="2" s="1"/>
  <c r="H2268" i="2"/>
  <c r="F2112" i="2"/>
  <c r="I1799" i="2"/>
  <c r="F1799" i="2"/>
  <c r="J1644" i="2"/>
  <c r="J1893" i="2"/>
  <c r="E1756" i="2"/>
  <c r="J1448" i="2"/>
  <c r="N1471" i="2"/>
  <c r="K1471" i="2" s="1"/>
  <c r="L1471" i="2" s="1"/>
  <c r="M1471" i="2" s="1"/>
  <c r="H1772" i="2"/>
  <c r="I1475" i="2"/>
  <c r="I1384" i="2"/>
  <c r="I987" i="2"/>
  <c r="H933" i="2"/>
  <c r="I933" i="2" s="1"/>
  <c r="J839" i="2"/>
  <c r="J586" i="2"/>
  <c r="H388" i="2"/>
  <c r="I388" i="2" s="1"/>
  <c r="H234" i="2"/>
  <c r="K1542" i="2"/>
  <c r="L1542" i="2" s="1"/>
  <c r="M1542" i="2" s="1"/>
  <c r="K1564" i="2"/>
  <c r="L1564" i="2" s="1"/>
  <c r="M1564" i="2" s="1"/>
  <c r="F705" i="2"/>
  <c r="N705" i="2" s="1"/>
  <c r="K705" i="2" s="1"/>
  <c r="F974" i="2"/>
  <c r="N974" i="2" s="1"/>
  <c r="K974" i="2" s="1"/>
  <c r="I993" i="2"/>
  <c r="F2402" i="2"/>
  <c r="F2386" i="2"/>
  <c r="E2360" i="2"/>
  <c r="H2154" i="2"/>
  <c r="I2268" i="2"/>
  <c r="J2112" i="2"/>
  <c r="F1762" i="2"/>
  <c r="E1713" i="2"/>
  <c r="N1644" i="2"/>
  <c r="K1644" i="2" s="1"/>
  <c r="L1644" i="2" s="1"/>
  <c r="M1644" i="2" s="1"/>
  <c r="F1756" i="2"/>
  <c r="N1451" i="2"/>
  <c r="K1451" i="2" s="1"/>
  <c r="L1451" i="2" s="1"/>
  <c r="M1451" i="2" s="1"/>
  <c r="H1614" i="2"/>
  <c r="N1528" i="2"/>
  <c r="K1528" i="2" s="1"/>
  <c r="L1528" i="2" s="1"/>
  <c r="M1528" i="2" s="1"/>
  <c r="J1384" i="2"/>
  <c r="J987" i="2"/>
  <c r="N933" i="2"/>
  <c r="K933" i="2" s="1"/>
  <c r="L933" i="2" s="1"/>
  <c r="M933" i="2" s="1"/>
  <c r="F674" i="2"/>
  <c r="N674" i="2" s="1"/>
  <c r="K674" i="2" s="1"/>
  <c r="J467" i="2"/>
  <c r="E126" i="2"/>
  <c r="I1448" i="2"/>
  <c r="K1340" i="2"/>
  <c r="L1340" i="2" s="1"/>
  <c r="M1340" i="2" s="1"/>
  <c r="I2402" i="2"/>
  <c r="I2386" i="2"/>
  <c r="J2401" i="2"/>
  <c r="E2121" i="2"/>
  <c r="N2052" i="2"/>
  <c r="K2052" i="2" s="1"/>
  <c r="L2052" i="2" s="1"/>
  <c r="M2052" i="2" s="1"/>
  <c r="H1762" i="2"/>
  <c r="F1713" i="2"/>
  <c r="E1644" i="2"/>
  <c r="J1756" i="2"/>
  <c r="N1432" i="2"/>
  <c r="K1432" i="2" s="1"/>
  <c r="L1432" i="2" s="1"/>
  <c r="M1432" i="2" s="1"/>
  <c r="F1528" i="2"/>
  <c r="N987" i="2"/>
  <c r="K987" i="2" s="1"/>
  <c r="L987" i="2" s="1"/>
  <c r="M987" i="2" s="1"/>
  <c r="J365" i="2"/>
  <c r="N1448" i="2"/>
  <c r="K1448" i="2" s="1"/>
  <c r="L1448" i="2" s="1"/>
  <c r="M1448" i="2" s="1"/>
  <c r="J1786" i="2"/>
  <c r="K1279" i="2"/>
  <c r="L1279" i="2" s="1"/>
  <c r="M1279" i="2" s="1"/>
  <c r="K1909" i="2"/>
  <c r="L1909" i="2" s="1"/>
  <c r="M1909" i="2" s="1"/>
  <c r="J2381" i="2"/>
  <c r="I2383" i="2"/>
  <c r="J2263" i="2"/>
  <c r="I2370" i="2"/>
  <c r="I2140" i="2"/>
  <c r="F2248" i="2"/>
  <c r="J2198" i="2"/>
  <c r="I2188" i="2"/>
  <c r="F2380" i="2"/>
  <c r="I2081" i="2"/>
  <c r="H2063" i="2"/>
  <c r="J2196" i="2"/>
  <c r="E1785" i="2"/>
  <c r="F1990" i="2"/>
  <c r="I1798" i="2"/>
  <c r="H1941" i="2"/>
  <c r="E1777" i="2"/>
  <c r="H1544" i="2"/>
  <c r="J1719" i="2"/>
  <c r="E1573" i="2"/>
  <c r="J1614" i="2"/>
  <c r="J1493" i="2"/>
  <c r="J1176" i="2"/>
  <c r="J1566" i="2"/>
  <c r="F1506" i="2"/>
  <c r="H1366" i="2"/>
  <c r="H1006" i="2"/>
  <c r="I1186" i="2"/>
  <c r="I1020" i="2"/>
  <c r="I715" i="2"/>
  <c r="J391" i="2"/>
  <c r="H602" i="2"/>
  <c r="N964" i="2"/>
  <c r="K964" i="2" s="1"/>
  <c r="L964" i="2" s="1"/>
  <c r="M964" i="2" s="1"/>
  <c r="H845" i="2"/>
  <c r="H1002" i="2"/>
  <c r="N1278" i="2"/>
  <c r="K1278" i="2" s="1"/>
  <c r="L1278" i="2" s="1"/>
  <c r="M1278" i="2" s="1"/>
  <c r="N52" i="2"/>
  <c r="K52" i="2" s="1"/>
  <c r="L52" i="2" s="1"/>
  <c r="M52" i="2" s="1"/>
  <c r="I92" i="2"/>
  <c r="I31" i="2"/>
  <c r="J1006" i="2"/>
  <c r="F2368" i="2"/>
  <c r="J1278" i="2"/>
  <c r="F2383" i="2"/>
  <c r="J2241" i="2"/>
  <c r="E2368" i="2"/>
  <c r="J2116" i="2"/>
  <c r="J2128" i="2"/>
  <c r="J2131" i="2"/>
  <c r="I2128" i="2"/>
  <c r="H2121" i="2"/>
  <c r="E2380" i="2"/>
  <c r="I2112" i="2"/>
  <c r="E2052" i="2"/>
  <c r="I2063" i="2"/>
  <c r="J2083" i="2"/>
  <c r="J1788" i="2"/>
  <c r="H1990" i="2"/>
  <c r="F1798" i="2"/>
  <c r="E1941" i="2"/>
  <c r="H1552" i="2"/>
  <c r="E1801" i="2"/>
  <c r="H1573" i="2"/>
  <c r="F1592" i="2"/>
  <c r="I1577" i="2"/>
  <c r="E1430" i="2"/>
  <c r="N1566" i="2"/>
  <c r="K1566" i="2" s="1"/>
  <c r="L1566" i="2" s="1"/>
  <c r="M1566" i="2" s="1"/>
  <c r="I1005" i="2"/>
  <c r="E1263" i="2"/>
  <c r="J1218" i="2"/>
  <c r="E1020" i="2"/>
  <c r="E715" i="2"/>
  <c r="J344" i="2"/>
  <c r="F602" i="2"/>
  <c r="F224" i="2"/>
  <c r="N845" i="2"/>
  <c r="K845" i="2" s="1"/>
  <c r="L845" i="2" s="1"/>
  <c r="M845" i="2" s="1"/>
  <c r="H52" i="2"/>
  <c r="J280" i="2"/>
  <c r="F717" i="2"/>
  <c r="N2241" i="2"/>
  <c r="K2241" i="2" s="1"/>
  <c r="L2241" i="2" s="1"/>
  <c r="M2241" i="2" s="1"/>
  <c r="H2381" i="2"/>
  <c r="F829" i="2"/>
  <c r="E1577" i="2"/>
  <c r="J1506" i="2"/>
  <c r="J1005" i="2"/>
  <c r="H681" i="2"/>
  <c r="I681" i="2" s="1"/>
  <c r="I52" i="2"/>
  <c r="N280" i="2"/>
  <c r="K280" i="2" s="1"/>
  <c r="L280" i="2" s="1"/>
  <c r="M280" i="2" s="1"/>
  <c r="J22" i="2"/>
  <c r="N1022" i="2"/>
  <c r="K1022" i="2" s="1"/>
  <c r="L1022" i="2" s="1"/>
  <c r="M1022" i="2" s="1"/>
  <c r="E2361" i="2"/>
  <c r="H2241" i="2"/>
  <c r="F2349" i="2"/>
  <c r="N2121" i="2"/>
  <c r="K2121" i="2" s="1"/>
  <c r="L2121" i="2" s="1"/>
  <c r="M2121" i="2" s="1"/>
  <c r="I2269" i="2"/>
  <c r="N2112" i="2"/>
  <c r="K2112" i="2" s="1"/>
  <c r="L2112" i="2" s="1"/>
  <c r="M2112" i="2" s="1"/>
  <c r="H2235" i="2"/>
  <c r="E2083" i="2"/>
  <c r="N1767" i="2"/>
  <c r="K1767" i="2" s="1"/>
  <c r="L1767" i="2" s="1"/>
  <c r="M1767" i="2" s="1"/>
  <c r="F1737" i="2"/>
  <c r="N1757" i="2"/>
  <c r="K1757" i="2" s="1"/>
  <c r="L1757" i="2" s="1"/>
  <c r="M1757" i="2" s="1"/>
  <c r="F1801" i="2"/>
  <c r="J1592" i="2"/>
  <c r="N1353" i="2"/>
  <c r="K1353" i="2" s="1"/>
  <c r="L1353" i="2" s="1"/>
  <c r="M1353" i="2" s="1"/>
  <c r="H1744" i="2"/>
  <c r="I1279" i="2"/>
  <c r="E1340" i="2"/>
  <c r="H1263" i="2"/>
  <c r="F606" i="2"/>
  <c r="J183" i="2"/>
  <c r="N224" i="2"/>
  <c r="K224" i="2" s="1"/>
  <c r="L224" i="2" s="1"/>
  <c r="M224" i="2" s="1"/>
  <c r="J482" i="2"/>
  <c r="F127" i="2"/>
  <c r="E127" i="2"/>
  <c r="I719" i="2"/>
  <c r="F506" i="2"/>
  <c r="N506" i="2" s="1"/>
  <c r="K506" i="2" s="1"/>
  <c r="H629" i="2"/>
  <c r="I629" i="2" s="1"/>
  <c r="F106" i="2"/>
  <c r="J1022" i="2"/>
  <c r="H1577" i="2"/>
  <c r="N2381" i="2"/>
  <c r="K2381" i="2" s="1"/>
  <c r="L2381" i="2" s="1"/>
  <c r="M2381" i="2" s="1"/>
  <c r="E1436" i="2"/>
  <c r="E1909" i="2"/>
  <c r="I1767" i="2"/>
  <c r="F2138" i="2"/>
  <c r="F2269" i="2"/>
  <c r="J2227" i="2"/>
  <c r="E2157" i="2"/>
  <c r="F2235" i="2"/>
  <c r="H2083" i="2"/>
  <c r="H1757" i="2"/>
  <c r="I1801" i="2"/>
  <c r="H1478" i="2"/>
  <c r="H1336" i="2"/>
  <c r="N1176" i="2"/>
  <c r="K1176" i="2" s="1"/>
  <c r="L1176" i="2" s="1"/>
  <c r="M1176" i="2" s="1"/>
  <c r="E1353" i="2"/>
  <c r="F1744" i="2"/>
  <c r="H1340" i="2"/>
  <c r="J1263" i="2"/>
  <c r="E1367" i="2"/>
  <c r="I606" i="2"/>
  <c r="F916" i="2"/>
  <c r="N916" i="2" s="1"/>
  <c r="K916" i="2" s="1"/>
  <c r="N1206" i="2"/>
  <c r="K1206" i="2" s="1"/>
  <c r="L1206" i="2" s="1"/>
  <c r="M1206" i="2" s="1"/>
  <c r="H545" i="2"/>
  <c r="J33" i="2"/>
  <c r="E33" i="2"/>
  <c r="N1577" i="2"/>
  <c r="K1577" i="2" s="1"/>
  <c r="L1577" i="2" s="1"/>
  <c r="M1577" i="2" s="1"/>
  <c r="H404" i="2"/>
  <c r="E1719" i="2"/>
  <c r="F1909" i="2"/>
  <c r="N545" i="2"/>
  <c r="K545" i="2" s="1"/>
  <c r="L545" i="2" s="1"/>
  <c r="M545" i="2" s="1"/>
  <c r="H2157" i="2"/>
  <c r="I2235" i="2"/>
  <c r="J1909" i="2"/>
  <c r="I1916" i="2"/>
  <c r="I1757" i="2"/>
  <c r="J1801" i="2"/>
  <c r="F1623" i="2"/>
  <c r="N1336" i="2"/>
  <c r="K1336" i="2" s="1"/>
  <c r="L1336" i="2" s="1"/>
  <c r="M1336" i="2" s="1"/>
  <c r="I1336" i="2"/>
  <c r="F1353" i="2"/>
  <c r="I1744" i="2"/>
  <c r="F1367" i="2"/>
  <c r="E1206" i="2"/>
  <c r="F701" i="2"/>
  <c r="N701" i="2" s="1"/>
  <c r="K701" i="2" s="1"/>
  <c r="L701" i="2" s="1"/>
  <c r="M701" i="2" s="1"/>
  <c r="I545" i="2"/>
  <c r="H346" i="2"/>
  <c r="N658" i="2"/>
  <c r="K658" i="2" s="1"/>
  <c r="L658" i="2" s="1"/>
  <c r="M658" i="2" s="1"/>
  <c r="F33" i="2"/>
  <c r="F629" i="2"/>
  <c r="N629" i="2" s="1"/>
  <c r="K629" i="2" s="1"/>
  <c r="L629" i="2" s="1"/>
  <c r="M629" i="2" s="1"/>
  <c r="H127" i="2"/>
  <c r="F2263" i="2"/>
  <c r="E2128" i="2"/>
  <c r="N1801" i="2"/>
  <c r="K1801" i="2" s="1"/>
  <c r="L1801" i="2" s="1"/>
  <c r="M1801" i="2" s="1"/>
  <c r="J2269" i="2"/>
  <c r="I2349" i="2"/>
  <c r="N2267" i="2"/>
  <c r="K2267" i="2" s="1"/>
  <c r="L2267" i="2" s="1"/>
  <c r="M2267" i="2" s="1"/>
  <c r="I2368" i="2"/>
  <c r="I2141" i="2"/>
  <c r="I2138" i="2"/>
  <c r="H2200" i="2"/>
  <c r="N2269" i="2"/>
  <c r="K2269" i="2" s="1"/>
  <c r="L2269" i="2" s="1"/>
  <c r="M2269" i="2" s="1"/>
  <c r="E2227" i="2"/>
  <c r="E1981" i="2"/>
  <c r="I1736" i="2"/>
  <c r="J1757" i="2"/>
  <c r="N1776" i="2"/>
  <c r="K1776" i="2" s="1"/>
  <c r="L1776" i="2" s="1"/>
  <c r="M1776" i="2" s="1"/>
  <c r="H1623" i="2"/>
  <c r="N1382" i="2"/>
  <c r="K1382" i="2" s="1"/>
  <c r="L1382" i="2" s="1"/>
  <c r="M1382" i="2" s="1"/>
  <c r="J1336" i="2"/>
  <c r="N1330" i="2"/>
  <c r="K1330" i="2" s="1"/>
  <c r="L1330" i="2" s="1"/>
  <c r="M1330" i="2" s="1"/>
  <c r="I1353" i="2"/>
  <c r="E1348" i="2"/>
  <c r="N1744" i="2"/>
  <c r="K1744" i="2" s="1"/>
  <c r="L1744" i="2" s="1"/>
  <c r="M1744" i="2" s="1"/>
  <c r="E1279" i="2"/>
  <c r="I588" i="2"/>
  <c r="F1206" i="2"/>
  <c r="H701" i="2"/>
  <c r="I701" i="2" s="1"/>
  <c r="J829" i="2"/>
  <c r="E545" i="2"/>
  <c r="E544" i="2"/>
  <c r="J1003" i="2"/>
  <c r="E483" i="2"/>
  <c r="J156" i="2"/>
  <c r="I127" i="2"/>
  <c r="I1719" i="2"/>
  <c r="I93" i="2"/>
  <c r="H1787" i="2"/>
  <c r="J2350" i="2"/>
  <c r="E1506" i="2"/>
  <c r="F2083" i="2"/>
  <c r="E1744" i="2"/>
  <c r="J2361" i="2"/>
  <c r="N2138" i="2"/>
  <c r="K2138" i="2" s="1"/>
  <c r="L2138" i="2" s="1"/>
  <c r="M2138" i="2" s="1"/>
  <c r="I2227" i="2"/>
  <c r="I2267" i="2"/>
  <c r="N2229" i="2"/>
  <c r="K2229" i="2" s="1"/>
  <c r="L2229" i="2" s="1"/>
  <c r="M2229" i="2" s="1"/>
  <c r="J2141" i="2"/>
  <c r="H2128" i="2"/>
  <c r="H2138" i="2"/>
  <c r="J2200" i="2"/>
  <c r="N2157" i="2"/>
  <c r="K2157" i="2" s="1"/>
  <c r="L2157" i="2" s="1"/>
  <c r="M2157" i="2" s="1"/>
  <c r="F2227" i="2"/>
  <c r="I2148" i="2"/>
  <c r="F1981" i="2"/>
  <c r="I1776" i="2"/>
  <c r="H1537" i="2"/>
  <c r="H1619" i="2"/>
  <c r="H1745" i="2"/>
  <c r="J1623" i="2"/>
  <c r="F1382" i="2"/>
  <c r="N1350" i="2"/>
  <c r="K1350" i="2" s="1"/>
  <c r="L1350" i="2" s="1"/>
  <c r="M1350" i="2" s="1"/>
  <c r="F1193" i="2"/>
  <c r="I1348" i="2"/>
  <c r="H1279" i="2"/>
  <c r="E1668" i="2"/>
  <c r="E831" i="2"/>
  <c r="H1206" i="2"/>
  <c r="N602" i="2"/>
  <c r="K602" i="2" s="1"/>
  <c r="L602" i="2" s="1"/>
  <c r="M602" i="2" s="1"/>
  <c r="J361" i="2"/>
  <c r="F545" i="2"/>
  <c r="F544" i="2"/>
  <c r="J956" i="2"/>
  <c r="I1003" i="2"/>
  <c r="H483" i="2"/>
  <c r="N40" i="2"/>
  <c r="K40" i="2" s="1"/>
  <c r="L40" i="2" s="1"/>
  <c r="M40" i="2" s="1"/>
  <c r="H106" i="2"/>
  <c r="F695" i="2"/>
  <c r="N695" i="2" s="1"/>
  <c r="K695" i="2" s="1"/>
  <c r="L695" i="2" s="1"/>
  <c r="M695" i="2" s="1"/>
  <c r="E105" i="2"/>
  <c r="H92" i="2"/>
  <c r="J127" i="2"/>
  <c r="I1713" i="2"/>
  <c r="I1786" i="2"/>
  <c r="I1787" i="2"/>
  <c r="F2229" i="2"/>
  <c r="N1517" i="2"/>
  <c r="K1517" i="2" s="1"/>
  <c r="L1517" i="2" s="1"/>
  <c r="M1517" i="2" s="1"/>
  <c r="J92" i="2"/>
  <c r="N2368" i="2"/>
  <c r="K2368" i="2" s="1"/>
  <c r="L2368" i="2" s="1"/>
  <c r="M2368" i="2" s="1"/>
  <c r="I2157" i="2"/>
  <c r="H2227" i="2"/>
  <c r="N1751" i="2"/>
  <c r="K1751" i="2" s="1"/>
  <c r="L1751" i="2" s="1"/>
  <c r="M1751" i="2" s="1"/>
  <c r="H1981" i="2"/>
  <c r="E1776" i="2"/>
  <c r="N1745" i="2"/>
  <c r="K1745" i="2" s="1"/>
  <c r="L1745" i="2" s="1"/>
  <c r="M1745" i="2" s="1"/>
  <c r="F1539" i="2"/>
  <c r="F1619" i="2"/>
  <c r="I1745" i="2"/>
  <c r="N1623" i="2"/>
  <c r="K1623" i="2" s="1"/>
  <c r="L1623" i="2" s="1"/>
  <c r="M1623" i="2" s="1"/>
  <c r="I1396" i="2"/>
  <c r="H1382" i="2"/>
  <c r="F1350" i="2"/>
  <c r="J1348" i="2"/>
  <c r="I1006" i="2"/>
  <c r="J1279" i="2"/>
  <c r="F1668" i="2"/>
  <c r="F831" i="2"/>
  <c r="I1206" i="2"/>
  <c r="E361" i="2"/>
  <c r="I544" i="2"/>
  <c r="E956" i="2"/>
  <c r="E1003" i="2"/>
  <c r="N483" i="2"/>
  <c r="K483" i="2" s="1"/>
  <c r="L483" i="2" s="1"/>
  <c r="M483" i="2" s="1"/>
  <c r="H592" i="2"/>
  <c r="F56" i="2"/>
  <c r="F105" i="2"/>
  <c r="H56" i="2"/>
  <c r="F1006" i="2"/>
  <c r="F1787" i="2"/>
  <c r="N2128" i="2"/>
  <c r="K2128" i="2" s="1"/>
  <c r="L2128" i="2" s="1"/>
  <c r="M2128" i="2" s="1"/>
  <c r="E2370" i="2"/>
  <c r="J2157" i="2"/>
  <c r="N2081" i="2"/>
  <c r="K2081" i="2" s="1"/>
  <c r="L2081" i="2" s="1"/>
  <c r="M2081" i="2" s="1"/>
  <c r="N1787" i="2"/>
  <c r="K1787" i="2" s="1"/>
  <c r="L1787" i="2" s="1"/>
  <c r="M1787" i="2" s="1"/>
  <c r="N1981" i="2"/>
  <c r="K1981" i="2" s="1"/>
  <c r="L1981" i="2" s="1"/>
  <c r="M1981" i="2" s="1"/>
  <c r="F1776" i="2"/>
  <c r="I1539" i="2"/>
  <c r="F1615" i="2"/>
  <c r="J1745" i="2"/>
  <c r="E1623" i="2"/>
  <c r="I1382" i="2"/>
  <c r="H1350" i="2"/>
  <c r="J1193" i="2"/>
  <c r="F1279" i="2"/>
  <c r="N699" i="2"/>
  <c r="K699" i="2" s="1"/>
  <c r="L699" i="2" s="1"/>
  <c r="M699" i="2" s="1"/>
  <c r="H831" i="2"/>
  <c r="H1204" i="2"/>
  <c r="H809" i="2"/>
  <c r="I809" i="2" s="1"/>
  <c r="E964" i="2"/>
  <c r="F956" i="2"/>
  <c r="F1003" i="2"/>
  <c r="E280" i="2"/>
  <c r="I592" i="2"/>
  <c r="N449" i="2"/>
  <c r="K449" i="2" s="1"/>
  <c r="I105" i="2"/>
  <c r="F498" i="2"/>
  <c r="N498" i="2" s="1"/>
  <c r="K498" i="2" s="1"/>
  <c r="L498" i="2" s="1"/>
  <c r="M498" i="2" s="1"/>
  <c r="F40" i="2"/>
  <c r="N105" i="2"/>
  <c r="K105" i="2" s="1"/>
  <c r="L105" i="2" s="1"/>
  <c r="M105" i="2" s="1"/>
  <c r="F969" i="2"/>
  <c r="N969" i="2" s="1"/>
  <c r="K969" i="2" s="1"/>
  <c r="H2238" i="2"/>
  <c r="E1592" i="2"/>
  <c r="N1161" i="2"/>
  <c r="K1161" i="2" s="1"/>
  <c r="L1161" i="2" s="1"/>
  <c r="M1161" i="2" s="1"/>
  <c r="J1787" i="2"/>
  <c r="J2370" i="2"/>
  <c r="N2141" i="2"/>
  <c r="K2141" i="2" s="1"/>
  <c r="L2141" i="2" s="1"/>
  <c r="M2141" i="2" s="1"/>
  <c r="H2248" i="2"/>
  <c r="F2198" i="2"/>
  <c r="H2188" i="2"/>
  <c r="E2081" i="2"/>
  <c r="E1758" i="2"/>
  <c r="N2196" i="2"/>
  <c r="K2196" i="2" s="1"/>
  <c r="L2196" i="2" s="1"/>
  <c r="M2196" i="2" s="1"/>
  <c r="I1981" i="2"/>
  <c r="H1776" i="2"/>
  <c r="E1517" i="2"/>
  <c r="F1493" i="2"/>
  <c r="E1614" i="2"/>
  <c r="E1745" i="2"/>
  <c r="J1382" i="2"/>
  <c r="E1366" i="2"/>
  <c r="N1216" i="2"/>
  <c r="K1216" i="2" s="1"/>
  <c r="L1216" i="2" s="1"/>
  <c r="M1216" i="2" s="1"/>
  <c r="E1022" i="2"/>
  <c r="F1156" i="2"/>
  <c r="N1156" i="2" s="1"/>
  <c r="K1156" i="2" s="1"/>
  <c r="J588" i="2"/>
  <c r="I831" i="2"/>
  <c r="E1204" i="2"/>
  <c r="F679" i="2"/>
  <c r="N679" i="2" s="1"/>
  <c r="K679" i="2" s="1"/>
  <c r="L679" i="2" s="1"/>
  <c r="M679" i="2" s="1"/>
  <c r="N809" i="2"/>
  <c r="K809" i="2" s="1"/>
  <c r="L809" i="2" s="1"/>
  <c r="M809" i="2" s="1"/>
  <c r="N391" i="2"/>
  <c r="K391" i="2" s="1"/>
  <c r="L391" i="2" s="1"/>
  <c r="M391" i="2" s="1"/>
  <c r="N336" i="2"/>
  <c r="K336" i="2" s="1"/>
  <c r="L336" i="2" s="1"/>
  <c r="M336" i="2" s="1"/>
  <c r="H964" i="2"/>
  <c r="H956" i="2"/>
  <c r="E1050" i="2"/>
  <c r="N516" i="2"/>
  <c r="K516" i="2" s="1"/>
  <c r="L516" i="2" s="1"/>
  <c r="M516" i="2" s="1"/>
  <c r="H1003" i="2"/>
  <c r="E1002" i="2"/>
  <c r="E1278" i="2"/>
  <c r="N592" i="2"/>
  <c r="K592" i="2" s="1"/>
  <c r="L592" i="2" s="1"/>
  <c r="M592" i="2" s="1"/>
  <c r="H449" i="2"/>
  <c r="I449" i="2" s="1"/>
  <c r="I106" i="2"/>
  <c r="J105" i="2"/>
  <c r="H498" i="2"/>
  <c r="I498" i="2" s="1"/>
  <c r="F1269" i="2"/>
  <c r="N1269" i="2" s="1"/>
  <c r="K1269" i="2" s="1"/>
  <c r="H22" i="2"/>
  <c r="I2238" i="2"/>
  <c r="J1527" i="2"/>
  <c r="F92" i="2"/>
  <c r="J1194" i="2"/>
  <c r="J1767" i="2"/>
  <c r="N2349" i="2"/>
  <c r="K2349" i="2" s="1"/>
  <c r="L2349" i="2" s="1"/>
  <c r="M2349" i="2" s="1"/>
  <c r="N2361" i="2"/>
  <c r="K2361" i="2" s="1"/>
  <c r="L2361" i="2" s="1"/>
  <c r="M2361" i="2" s="1"/>
  <c r="H2383" i="2"/>
  <c r="H2370" i="2"/>
  <c r="N2248" i="2"/>
  <c r="K2248" i="2" s="1"/>
  <c r="L2248" i="2" s="1"/>
  <c r="M2248" i="2" s="1"/>
  <c r="H2198" i="2"/>
  <c r="N2188" i="2"/>
  <c r="K2188" i="2" s="1"/>
  <c r="L2188" i="2" s="1"/>
  <c r="M2188" i="2" s="1"/>
  <c r="I2380" i="2"/>
  <c r="F2158" i="2"/>
  <c r="F2081" i="2"/>
  <c r="E2196" i="2"/>
  <c r="F1727" i="2"/>
  <c r="F1647" i="2"/>
  <c r="N1696" i="2"/>
  <c r="K1696" i="2" s="1"/>
  <c r="L1696" i="2" s="1"/>
  <c r="M1696" i="2" s="1"/>
  <c r="N1719" i="2"/>
  <c r="K1719" i="2" s="1"/>
  <c r="L1719" i="2" s="1"/>
  <c r="M1719" i="2" s="1"/>
  <c r="F1517" i="2"/>
  <c r="H1493" i="2"/>
  <c r="F1614" i="2"/>
  <c r="F1794" i="2"/>
  <c r="N1366" i="2"/>
  <c r="K1366" i="2" s="1"/>
  <c r="L1366" i="2" s="1"/>
  <c r="M1366" i="2" s="1"/>
  <c r="J831" i="2"/>
  <c r="J1204" i="2"/>
  <c r="F1020" i="2"/>
  <c r="N373" i="2"/>
  <c r="K373" i="2" s="1"/>
  <c r="L373" i="2" s="1"/>
  <c r="M373" i="2" s="1"/>
  <c r="H391" i="2"/>
  <c r="F964" i="2"/>
  <c r="I845" i="2"/>
  <c r="H347" i="2"/>
  <c r="I956" i="2"/>
  <c r="N1002" i="2"/>
  <c r="K1002" i="2" s="1"/>
  <c r="L1002" i="2" s="1"/>
  <c r="M1002" i="2" s="1"/>
  <c r="F1278" i="2"/>
  <c r="E592" i="2"/>
  <c r="N106" i="2"/>
  <c r="K106" i="2" s="1"/>
  <c r="L106" i="2" s="1"/>
  <c r="M106" i="2" s="1"/>
  <c r="F1022" i="2"/>
  <c r="J2238" i="2"/>
  <c r="E713" i="2"/>
  <c r="H1661" i="2"/>
  <c r="E92" i="2"/>
  <c r="E589" i="2"/>
  <c r="H1767" i="2"/>
  <c r="F1336" i="2"/>
  <c r="J1577" i="2"/>
  <c r="I2263" i="2"/>
  <c r="F2370" i="2"/>
  <c r="H2081" i="2"/>
  <c r="F1758" i="2"/>
  <c r="E1696" i="2"/>
  <c r="F1544" i="2"/>
  <c r="E1493" i="2"/>
  <c r="I1614" i="2"/>
  <c r="H1566" i="2"/>
  <c r="H1186" i="2"/>
  <c r="I391" i="2"/>
  <c r="I964" i="2"/>
  <c r="N169" i="2"/>
  <c r="K169" i="2" s="1"/>
  <c r="L169" i="2" s="1"/>
  <c r="M169" i="2" s="1"/>
  <c r="E106" i="2"/>
  <c r="H1773" i="2"/>
  <c r="E1006" i="2"/>
  <c r="H1448" i="2"/>
  <c r="F713" i="2"/>
  <c r="F1773" i="2"/>
  <c r="K2398" i="2"/>
  <c r="L2398" i="2" s="1"/>
  <c r="M2398" i="2" s="1"/>
  <c r="J307" i="2"/>
  <c r="I307" i="2"/>
  <c r="H307" i="2"/>
  <c r="N307" i="2"/>
  <c r="K307" i="2" s="1"/>
  <c r="L307" i="2" s="1"/>
  <c r="M307" i="2" s="1"/>
  <c r="F744" i="2"/>
  <c r="N744" i="2" s="1"/>
  <c r="K744" i="2" s="1"/>
  <c r="L744" i="2" s="1"/>
  <c r="M744" i="2" s="1"/>
  <c r="H744" i="2"/>
  <c r="I744" i="2" s="1"/>
  <c r="E1387" i="2"/>
  <c r="J1387" i="2"/>
  <c r="I1387" i="2"/>
  <c r="N1387" i="2"/>
  <c r="K1387" i="2" s="1"/>
  <c r="L1387" i="2" s="1"/>
  <c r="M1387" i="2" s="1"/>
  <c r="H1378" i="2"/>
  <c r="N1378" i="2"/>
  <c r="K1378" i="2" s="1"/>
  <c r="L1378" i="2" s="1"/>
  <c r="M1378" i="2" s="1"/>
  <c r="J1378" i="2"/>
  <c r="I1378" i="2"/>
  <c r="I67" i="2"/>
  <c r="H67" i="2"/>
  <c r="F67" i="2"/>
  <c r="E67" i="2"/>
  <c r="J67" i="2"/>
  <c r="N67" i="2"/>
  <c r="K67" i="2" s="1"/>
  <c r="L67" i="2" s="1"/>
  <c r="M67" i="2" s="1"/>
  <c r="F188" i="2"/>
  <c r="N188" i="2" s="1"/>
  <c r="K188" i="2" s="1"/>
  <c r="L188" i="2" s="1"/>
  <c r="M188" i="2" s="1"/>
  <c r="H188" i="2"/>
  <c r="I188" i="2" s="1"/>
  <c r="I171" i="2"/>
  <c r="E171" i="2"/>
  <c r="N171" i="2"/>
  <c r="K171" i="2" s="1"/>
  <c r="L171" i="2" s="1"/>
  <c r="M171" i="2" s="1"/>
  <c r="F171" i="2"/>
  <c r="J171" i="2"/>
  <c r="N1019" i="2"/>
  <c r="K1019" i="2" s="1"/>
  <c r="L1019" i="2" s="1"/>
  <c r="M1019" i="2" s="1"/>
  <c r="H1019" i="2"/>
  <c r="J1019" i="2"/>
  <c r="I1019" i="2"/>
  <c r="F1019" i="2"/>
  <c r="E1019" i="2"/>
  <c r="H2379" i="2"/>
  <c r="I2379" i="2"/>
  <c r="E2379" i="2"/>
  <c r="F2379" i="2"/>
  <c r="J2379" i="2"/>
  <c r="N2379" i="2"/>
  <c r="K2379" i="2" s="1"/>
  <c r="L2379" i="2" s="1"/>
  <c r="M2379" i="2" s="1"/>
  <c r="I1711" i="2"/>
  <c r="F1711" i="2"/>
  <c r="J1711" i="2"/>
  <c r="E1711" i="2"/>
  <c r="I2364" i="2"/>
  <c r="E2364" i="2"/>
  <c r="J2364" i="2"/>
  <c r="N2364" i="2"/>
  <c r="K2364" i="2" s="1"/>
  <c r="L2364" i="2" s="1"/>
  <c r="M2364" i="2" s="1"/>
  <c r="H2364" i="2"/>
  <c r="J1770" i="2"/>
  <c r="N1770" i="2"/>
  <c r="K1770" i="2" s="1"/>
  <c r="L1770" i="2" s="1"/>
  <c r="M1770" i="2" s="1"/>
  <c r="H1770" i="2"/>
  <c r="I1770" i="2"/>
  <c r="F1770" i="2"/>
  <c r="E1770" i="2"/>
  <c r="H1437" i="2"/>
  <c r="J1437" i="2"/>
  <c r="N1437" i="2"/>
  <c r="K1437" i="2" s="1"/>
  <c r="L1437" i="2" s="1"/>
  <c r="M1437" i="2" s="1"/>
  <c r="F1437" i="2"/>
  <c r="E1437" i="2"/>
  <c r="I1437" i="2"/>
  <c r="N389" i="2"/>
  <c r="K389" i="2" s="1"/>
  <c r="L389" i="2" s="1"/>
  <c r="M389" i="2" s="1"/>
  <c r="I389" i="2"/>
  <c r="H389" i="2"/>
  <c r="E389" i="2"/>
  <c r="J389" i="2"/>
  <c r="E367" i="2"/>
  <c r="N367" i="2"/>
  <c r="K367" i="2" s="1"/>
  <c r="L367" i="2" s="1"/>
  <c r="M367" i="2" s="1"/>
  <c r="J367" i="2"/>
  <c r="F816" i="2"/>
  <c r="N816" i="2" s="1"/>
  <c r="K816" i="2" s="1"/>
  <c r="F1579" i="2"/>
  <c r="N1579" i="2"/>
  <c r="K1579" i="2" s="1"/>
  <c r="L1579" i="2" s="1"/>
  <c r="M1579" i="2" s="1"/>
  <c r="E1579" i="2"/>
  <c r="J1579" i="2"/>
  <c r="I1579" i="2"/>
  <c r="J1435" i="2"/>
  <c r="I1435" i="2"/>
  <c r="H1435" i="2"/>
  <c r="F1435" i="2"/>
  <c r="E1435" i="2"/>
  <c r="N1435" i="2"/>
  <c r="K1435" i="2" s="1"/>
  <c r="L1435" i="2" s="1"/>
  <c r="M1435" i="2" s="1"/>
  <c r="I107" i="2"/>
  <c r="H107" i="2"/>
  <c r="F107" i="2"/>
  <c r="E107" i="2"/>
  <c r="F1508" i="2"/>
  <c r="N1508" i="2"/>
  <c r="K1508" i="2" s="1"/>
  <c r="L1508" i="2" s="1"/>
  <c r="M1508" i="2" s="1"/>
  <c r="I847" i="2"/>
  <c r="H847" i="2"/>
  <c r="F847" i="2"/>
  <c r="E847" i="2"/>
  <c r="N847" i="2"/>
  <c r="K847" i="2" s="1"/>
  <c r="L847" i="2" s="1"/>
  <c r="M847" i="2" s="1"/>
  <c r="J836" i="2"/>
  <c r="I836" i="2"/>
  <c r="E836" i="2"/>
  <c r="N836" i="2"/>
  <c r="K836" i="2" s="1"/>
  <c r="L836" i="2" s="1"/>
  <c r="M836" i="2" s="1"/>
  <c r="J1049" i="2"/>
  <c r="F1049" i="2"/>
  <c r="E1049" i="2"/>
  <c r="I1049" i="2"/>
  <c r="H1049" i="2"/>
  <c r="E1227" i="2"/>
  <c r="I1227" i="2"/>
  <c r="H1227" i="2"/>
  <c r="H568" i="2"/>
  <c r="I568" i="2" s="1"/>
  <c r="F568" i="2"/>
  <c r="N568" i="2" s="1"/>
  <c r="K568" i="2" s="1"/>
  <c r="N575" i="2"/>
  <c r="K575" i="2" s="1"/>
  <c r="L575" i="2" s="1"/>
  <c r="M575" i="2" s="1"/>
  <c r="H575" i="2"/>
  <c r="J575" i="2"/>
  <c r="I575" i="2"/>
  <c r="F575" i="2"/>
  <c r="E575" i="2"/>
  <c r="J516" i="2"/>
  <c r="I516" i="2"/>
  <c r="H516" i="2"/>
  <c r="F516" i="2"/>
  <c r="H1341" i="2"/>
  <c r="F1341" i="2"/>
  <c r="H1333" i="2"/>
  <c r="F1333" i="2"/>
  <c r="E1333" i="2"/>
  <c r="J1333" i="2"/>
  <c r="F66" i="2"/>
  <c r="I66" i="2"/>
  <c r="E2151" i="2"/>
  <c r="J2151" i="2"/>
  <c r="I2151" i="2"/>
  <c r="F2151" i="2"/>
  <c r="N2151" i="2"/>
  <c r="K2151" i="2" s="1"/>
  <c r="L2151" i="2" s="1"/>
  <c r="M2151" i="2" s="1"/>
  <c r="I2123" i="2"/>
  <c r="H2123" i="2"/>
  <c r="H41" i="2"/>
  <c r="J41" i="2"/>
  <c r="I41" i="2"/>
  <c r="I2397" i="2"/>
  <c r="N1333" i="2"/>
  <c r="K1333" i="2" s="1"/>
  <c r="L1333" i="2" s="1"/>
  <c r="M1333" i="2" s="1"/>
  <c r="I1412" i="2"/>
  <c r="N1536" i="2"/>
  <c r="K1536" i="2" s="1"/>
  <c r="L1536" i="2" s="1"/>
  <c r="M1536" i="2" s="1"/>
  <c r="J1536" i="2"/>
  <c r="I1536" i="2"/>
  <c r="E1536" i="2"/>
  <c r="F1550" i="2"/>
  <c r="N1550" i="2"/>
  <c r="K1550" i="2" s="1"/>
  <c r="L1550" i="2" s="1"/>
  <c r="M1550" i="2" s="1"/>
  <c r="E1550" i="2"/>
  <c r="H1550" i="2"/>
  <c r="I1550" i="2"/>
  <c r="I1232" i="2"/>
  <c r="H1232" i="2"/>
  <c r="F1232" i="2"/>
  <c r="E1232" i="2"/>
  <c r="I2093" i="2"/>
  <c r="N2093" i="2"/>
  <c r="K2093" i="2" s="1"/>
  <c r="L2093" i="2" s="1"/>
  <c r="M2093" i="2" s="1"/>
  <c r="F627" i="2"/>
  <c r="N627" i="2" s="1"/>
  <c r="K627" i="2" s="1"/>
  <c r="L627" i="2" s="1"/>
  <c r="M627" i="2" s="1"/>
  <c r="N594" i="2"/>
  <c r="K594" i="2" s="1"/>
  <c r="L594" i="2" s="1"/>
  <c r="M594" i="2" s="1"/>
  <c r="E594" i="2"/>
  <c r="I594" i="2"/>
  <c r="J594" i="2"/>
  <c r="J599" i="2"/>
  <c r="F599" i="2"/>
  <c r="I599" i="2"/>
  <c r="F518" i="2"/>
  <c r="N518" i="2"/>
  <c r="K518" i="2" s="1"/>
  <c r="L518" i="2" s="1"/>
  <c r="M518" i="2" s="1"/>
  <c r="J2155" i="2"/>
  <c r="F2155" i="2"/>
  <c r="J2236" i="2"/>
  <c r="E2236" i="2"/>
  <c r="N2236" i="2"/>
  <c r="K2236" i="2" s="1"/>
  <c r="L2236" i="2" s="1"/>
  <c r="M2236" i="2" s="1"/>
  <c r="F2236" i="2"/>
  <c r="J1725" i="2"/>
  <c r="I1725" i="2"/>
  <c r="E1433" i="2"/>
  <c r="J1433" i="2"/>
  <c r="F1175" i="2"/>
  <c r="N1175" i="2"/>
  <c r="K1175" i="2" s="1"/>
  <c r="L1175" i="2" s="1"/>
  <c r="M1175" i="2" s="1"/>
  <c r="E1175" i="2"/>
  <c r="F1258" i="2"/>
  <c r="N1258" i="2"/>
  <c r="K1258" i="2" s="1"/>
  <c r="L1258" i="2" s="1"/>
  <c r="M1258" i="2" s="1"/>
  <c r="E1258" i="2"/>
  <c r="H1258" i="2"/>
  <c r="J1258" i="2"/>
  <c r="I1258" i="2"/>
  <c r="N1159" i="2"/>
  <c r="K1159" i="2" s="1"/>
  <c r="L1159" i="2" s="1"/>
  <c r="M1159" i="2" s="1"/>
  <c r="J1159" i="2"/>
  <c r="I1159" i="2"/>
  <c r="H1159" i="2"/>
  <c r="N1660" i="2"/>
  <c r="K1660" i="2" s="1"/>
  <c r="L1660" i="2" s="1"/>
  <c r="M1660" i="2" s="1"/>
  <c r="J1660" i="2"/>
  <c r="I1660" i="2"/>
  <c r="H1660" i="2"/>
  <c r="F1660" i="2"/>
  <c r="E1660" i="2"/>
  <c r="I992" i="2"/>
  <c r="F992" i="2"/>
  <c r="J992" i="2"/>
  <c r="H992" i="2"/>
  <c r="E1643" i="2"/>
  <c r="N1643" i="2"/>
  <c r="K1643" i="2" s="1"/>
  <c r="L1643" i="2" s="1"/>
  <c r="M1643" i="2" s="1"/>
  <c r="F1643" i="2"/>
  <c r="I1643" i="2"/>
  <c r="H1643" i="2"/>
  <c r="J1643" i="2"/>
  <c r="F977" i="2"/>
  <c r="N977" i="2" s="1"/>
  <c r="K977" i="2" s="1"/>
  <c r="H91" i="2"/>
  <c r="I91" i="2" s="1"/>
  <c r="F91" i="2"/>
  <c r="N91" i="2" s="1"/>
  <c r="K91" i="2" s="1"/>
  <c r="L91" i="2" s="1"/>
  <c r="M91" i="2" s="1"/>
  <c r="N975" i="2"/>
  <c r="K975" i="2" s="1"/>
  <c r="L975" i="2" s="1"/>
  <c r="M975" i="2" s="1"/>
  <c r="E996" i="2"/>
  <c r="N996" i="2"/>
  <c r="K996" i="2" s="1"/>
  <c r="L996" i="2" s="1"/>
  <c r="M996" i="2" s="1"/>
  <c r="F996" i="2"/>
  <c r="H996" i="2"/>
  <c r="I996" i="2"/>
  <c r="J996" i="2"/>
  <c r="H1001" i="2"/>
  <c r="F1001" i="2"/>
  <c r="N1001" i="2" s="1"/>
  <c r="K1001" i="2" s="1"/>
  <c r="H846" i="2"/>
  <c r="N846" i="2"/>
  <c r="K846" i="2" s="1"/>
  <c r="L846" i="2" s="1"/>
  <c r="M846" i="2" s="1"/>
  <c r="J846" i="2"/>
  <c r="I846" i="2"/>
  <c r="F846" i="2"/>
  <c r="E846" i="2"/>
  <c r="E2101" i="2"/>
  <c r="F130" i="2"/>
  <c r="N130" i="2" s="1"/>
  <c r="K130" i="2" s="1"/>
  <c r="J1736" i="2"/>
  <c r="E1736" i="2"/>
  <c r="H1736" i="2"/>
  <c r="F1736" i="2"/>
  <c r="J1666" i="2"/>
  <c r="I1666" i="2"/>
  <c r="J1876" i="2"/>
  <c r="I1876" i="2"/>
  <c r="N1876" i="2"/>
  <c r="K1876" i="2" s="1"/>
  <c r="L1876" i="2" s="1"/>
  <c r="M1876" i="2" s="1"/>
  <c r="H1876" i="2"/>
  <c r="F1876" i="2"/>
  <c r="E1876" i="2"/>
  <c r="N1477" i="2"/>
  <c r="K1477" i="2" s="1"/>
  <c r="L1477" i="2" s="1"/>
  <c r="M1477" i="2" s="1"/>
  <c r="I1477" i="2"/>
  <c r="F1477" i="2"/>
  <c r="E1583" i="2"/>
  <c r="J1583" i="2"/>
  <c r="I1583" i="2"/>
  <c r="H1583" i="2"/>
  <c r="J1622" i="2"/>
  <c r="N1622" i="2"/>
  <c r="K1622" i="2" s="1"/>
  <c r="L1622" i="2" s="1"/>
  <c r="M1622" i="2" s="1"/>
  <c r="H1622" i="2"/>
  <c r="I2197" i="2"/>
  <c r="F2197" i="2"/>
  <c r="J2197" i="2"/>
  <c r="E2197" i="2"/>
  <c r="H2197" i="2"/>
  <c r="E1512" i="2"/>
  <c r="H1512" i="2"/>
  <c r="F1512" i="2"/>
  <c r="N313" i="2"/>
  <c r="K313" i="2" s="1"/>
  <c r="L313" i="2" s="1"/>
  <c r="M313" i="2" s="1"/>
  <c r="H2051" i="2"/>
  <c r="E2051" i="2"/>
  <c r="N2051" i="2"/>
  <c r="K2051" i="2" s="1"/>
  <c r="L2051" i="2" s="1"/>
  <c r="M2051" i="2" s="1"/>
  <c r="J2051" i="2"/>
  <c r="I2051" i="2"/>
  <c r="N181" i="2"/>
  <c r="K181" i="2" s="1"/>
  <c r="L181" i="2" s="1"/>
  <c r="M181" i="2" s="1"/>
  <c r="E181" i="2"/>
  <c r="J181" i="2"/>
  <c r="I181" i="2"/>
  <c r="F157" i="2"/>
  <c r="E157" i="2"/>
  <c r="N157" i="2"/>
  <c r="K157" i="2" s="1"/>
  <c r="L157" i="2" s="1"/>
  <c r="M157" i="2" s="1"/>
  <c r="J157" i="2"/>
  <c r="H1759" i="2"/>
  <c r="F1759" i="2"/>
  <c r="I1759" i="2"/>
  <c r="F840" i="2"/>
  <c r="E840" i="2"/>
  <c r="J840" i="2"/>
  <c r="N840" i="2"/>
  <c r="K840" i="2" s="1"/>
  <c r="L840" i="2" s="1"/>
  <c r="M840" i="2" s="1"/>
  <c r="F1490" i="2"/>
  <c r="H1490" i="2"/>
  <c r="I1490" i="2"/>
  <c r="E1490" i="2"/>
  <c r="F2048" i="2"/>
  <c r="N2048" i="2"/>
  <c r="K2048" i="2" s="1"/>
  <c r="L2048" i="2" s="1"/>
  <c r="M2048" i="2" s="1"/>
  <c r="I2048" i="2"/>
  <c r="E307" i="2"/>
  <c r="E1705" i="2"/>
  <c r="N1705" i="2"/>
  <c r="K1705" i="2" s="1"/>
  <c r="L1705" i="2" s="1"/>
  <c r="M1705" i="2" s="1"/>
  <c r="J1705" i="2"/>
  <c r="I1705" i="2"/>
  <c r="H1705" i="2"/>
  <c r="F1705" i="2"/>
  <c r="N1912" i="2"/>
  <c r="K1912" i="2" s="1"/>
  <c r="L1912" i="2" s="1"/>
  <c r="M1912" i="2" s="1"/>
  <c r="E1912" i="2"/>
  <c r="J1912" i="2"/>
  <c r="F1912" i="2"/>
  <c r="E1501" i="2"/>
  <c r="J1501" i="2"/>
  <c r="F1501" i="2"/>
  <c r="I1501" i="2"/>
  <c r="E590" i="2"/>
  <c r="N590" i="2"/>
  <c r="K590" i="2" s="1"/>
  <c r="L590" i="2" s="1"/>
  <c r="M590" i="2" s="1"/>
  <c r="J590" i="2"/>
  <c r="I590" i="2"/>
  <c r="H590" i="2"/>
  <c r="E26" i="17"/>
  <c r="Y17" i="15"/>
  <c r="F24" i="15" s="1"/>
  <c r="H1403" i="2"/>
  <c r="F1403" i="2"/>
  <c r="N1453" i="2"/>
  <c r="K1453" i="2" s="1"/>
  <c r="L1453" i="2" s="1"/>
  <c r="M1453" i="2" s="1"/>
  <c r="F1453" i="2"/>
  <c r="E1453" i="2"/>
  <c r="H1453" i="2"/>
  <c r="J1453" i="2"/>
  <c r="I1171" i="2"/>
  <c r="J1171" i="2"/>
  <c r="H1171" i="2"/>
  <c r="F1171" i="2"/>
  <c r="F978" i="2"/>
  <c r="N978" i="2" s="1"/>
  <c r="K978" i="2" s="1"/>
  <c r="L978" i="2" s="1"/>
  <c r="M978" i="2" s="1"/>
  <c r="J220" i="2"/>
  <c r="F220" i="2"/>
  <c r="E220" i="2"/>
  <c r="E1017" i="2"/>
  <c r="F1017" i="2"/>
  <c r="H826" i="2"/>
  <c r="I826" i="2" s="1"/>
  <c r="F826" i="2"/>
  <c r="N826" i="2" s="1"/>
  <c r="K826" i="2" s="1"/>
  <c r="F547" i="2"/>
  <c r="I547" i="2"/>
  <c r="J547" i="2"/>
  <c r="H547" i="2"/>
  <c r="N1491" i="2"/>
  <c r="K1491" i="2" s="1"/>
  <c r="L1491" i="2" s="1"/>
  <c r="M1491" i="2" s="1"/>
  <c r="H1491" i="2"/>
  <c r="I1491" i="2"/>
  <c r="F1491" i="2"/>
  <c r="E1491" i="2"/>
  <c r="J1491" i="2"/>
  <c r="I2372" i="2"/>
  <c r="F2372" i="2"/>
  <c r="J2372" i="2"/>
  <c r="H2372" i="2"/>
  <c r="E2372" i="2"/>
  <c r="F134" i="2"/>
  <c r="N134" i="2" s="1"/>
  <c r="K134" i="2" s="1"/>
  <c r="L134" i="2" s="1"/>
  <c r="M134" i="2" s="1"/>
  <c r="I2008" i="2"/>
  <c r="H2008" i="2"/>
  <c r="H1777" i="2"/>
  <c r="F1777" i="2"/>
  <c r="E2355" i="2"/>
  <c r="J2355" i="2"/>
  <c r="F2355" i="2"/>
  <c r="N2355" i="2"/>
  <c r="K2355" i="2" s="1"/>
  <c r="L2355" i="2" s="1"/>
  <c r="M2355" i="2" s="1"/>
  <c r="H2355" i="2"/>
  <c r="N2270" i="2"/>
  <c r="K2270" i="2" s="1"/>
  <c r="L2270" i="2" s="1"/>
  <c r="M2270" i="2" s="1"/>
  <c r="F2270" i="2"/>
  <c r="E2270" i="2"/>
  <c r="H2270" i="2"/>
  <c r="J2270" i="2"/>
  <c r="I1615" i="2"/>
  <c r="H1615" i="2"/>
  <c r="J1615" i="2"/>
  <c r="E1615" i="2"/>
  <c r="J1318" i="2"/>
  <c r="I1318" i="2"/>
  <c r="N1318" i="2"/>
  <c r="K1318" i="2" s="1"/>
  <c r="L1318" i="2" s="1"/>
  <c r="M1318" i="2" s="1"/>
  <c r="F1318" i="2"/>
  <c r="N378" i="2"/>
  <c r="K378" i="2" s="1"/>
  <c r="L378" i="2" s="1"/>
  <c r="M378" i="2" s="1"/>
  <c r="E421" i="2"/>
  <c r="E1793" i="2"/>
  <c r="J1793" i="2"/>
  <c r="I1793" i="2"/>
  <c r="H1793" i="2"/>
  <c r="N1793" i="2"/>
  <c r="K1793" i="2" s="1"/>
  <c r="L1793" i="2" s="1"/>
  <c r="M1793" i="2" s="1"/>
  <c r="H828" i="2"/>
  <c r="I828" i="2"/>
  <c r="J403" i="2"/>
  <c r="H403" i="2"/>
  <c r="E403" i="2"/>
  <c r="N403" i="2"/>
  <c r="K403" i="2" s="1"/>
  <c r="L403" i="2" s="1"/>
  <c r="M403" i="2" s="1"/>
  <c r="I403" i="2"/>
  <c r="N2367" i="2"/>
  <c r="K2367" i="2" s="1"/>
  <c r="L2367" i="2" s="1"/>
  <c r="M2367" i="2" s="1"/>
  <c r="H2367" i="2"/>
  <c r="F2367" i="2"/>
  <c r="E2367" i="2"/>
  <c r="J2367" i="2"/>
  <c r="I2367" i="2"/>
  <c r="N2185" i="2"/>
  <c r="K2185" i="2" s="1"/>
  <c r="L2185" i="2" s="1"/>
  <c r="M2185" i="2" s="1"/>
  <c r="N2008" i="2"/>
  <c r="K2008" i="2" s="1"/>
  <c r="L2008" i="2" s="1"/>
  <c r="M2008" i="2" s="1"/>
  <c r="H1357" i="2"/>
  <c r="H157" i="2"/>
  <c r="N2395" i="2"/>
  <c r="K2395" i="2" s="1"/>
  <c r="L2395" i="2" s="1"/>
  <c r="M2395" i="2" s="1"/>
  <c r="I2395" i="2"/>
  <c r="I2382" i="2"/>
  <c r="N2382" i="2"/>
  <c r="K2382" i="2" s="1"/>
  <c r="L2382" i="2" s="1"/>
  <c r="M2382" i="2" s="1"/>
  <c r="E2382" i="2"/>
  <c r="F2382" i="2"/>
  <c r="J2382" i="2"/>
  <c r="N1738" i="2"/>
  <c r="K1738" i="2" s="1"/>
  <c r="L1738" i="2" s="1"/>
  <c r="M1738" i="2" s="1"/>
  <c r="J1738" i="2"/>
  <c r="H1738" i="2"/>
  <c r="F1738" i="2"/>
  <c r="N1878" i="2"/>
  <c r="K1878" i="2" s="1"/>
  <c r="L1878" i="2" s="1"/>
  <c r="M1878" i="2" s="1"/>
  <c r="H1878" i="2"/>
  <c r="J1878" i="2"/>
  <c r="I1878" i="2"/>
  <c r="F1878" i="2"/>
  <c r="E1878" i="2"/>
  <c r="N1502" i="2"/>
  <c r="K1502" i="2" s="1"/>
  <c r="L1502" i="2" s="1"/>
  <c r="M1502" i="2" s="1"/>
  <c r="F1502" i="2"/>
  <c r="I1502" i="2"/>
  <c r="H1502" i="2"/>
  <c r="H1579" i="2"/>
  <c r="E419" i="2"/>
  <c r="H138" i="2"/>
  <c r="I138" i="2" s="1"/>
  <c r="F138" i="2"/>
  <c r="N138" i="2" s="1"/>
  <c r="K138" i="2" s="1"/>
  <c r="J1896" i="2"/>
  <c r="F1896" i="2"/>
  <c r="N1896" i="2"/>
  <c r="K1896" i="2" s="1"/>
  <c r="L1896" i="2" s="1"/>
  <c r="M1896" i="2" s="1"/>
  <c r="E1896" i="2"/>
  <c r="I1896" i="2"/>
  <c r="H1896" i="2"/>
  <c r="F971" i="2"/>
  <c r="N971" i="2" s="1"/>
  <c r="K971" i="2" s="1"/>
  <c r="L971" i="2" s="1"/>
  <c r="M971" i="2" s="1"/>
  <c r="N1412" i="2"/>
  <c r="K1412" i="2" s="1"/>
  <c r="L1412" i="2" s="1"/>
  <c r="M1412" i="2" s="1"/>
  <c r="H1412" i="2"/>
  <c r="J1412" i="2"/>
  <c r="F1793" i="2"/>
  <c r="E1341" i="2"/>
  <c r="F683" i="2"/>
  <c r="N683" i="2" s="1"/>
  <c r="K683" i="2" s="1"/>
  <c r="F1387" i="2"/>
  <c r="J847" i="2"/>
  <c r="H840" i="2"/>
  <c r="H171" i="2"/>
  <c r="I157" i="2"/>
  <c r="E1727" i="2"/>
  <c r="J1727" i="2"/>
  <c r="N1727" i="2"/>
  <c r="K1727" i="2" s="1"/>
  <c r="L1727" i="2" s="1"/>
  <c r="M1727" i="2" s="1"/>
  <c r="I1727" i="2"/>
  <c r="I1648" i="2"/>
  <c r="H1648" i="2"/>
  <c r="N1648" i="2"/>
  <c r="K1648" i="2" s="1"/>
  <c r="L1648" i="2" s="1"/>
  <c r="M1648" i="2" s="1"/>
  <c r="F1648" i="2"/>
  <c r="E1648" i="2"/>
  <c r="J1648" i="2"/>
  <c r="N1916" i="2"/>
  <c r="K1916" i="2" s="1"/>
  <c r="L1916" i="2" s="1"/>
  <c r="M1916" i="2" s="1"/>
  <c r="H1916" i="2"/>
  <c r="F1916" i="2"/>
  <c r="E1916" i="2"/>
  <c r="J1459" i="2"/>
  <c r="I1459" i="2"/>
  <c r="H1459" i="2"/>
  <c r="F1459" i="2"/>
  <c r="N1459" i="2"/>
  <c r="K1459" i="2" s="1"/>
  <c r="L1459" i="2" s="1"/>
  <c r="M1459" i="2" s="1"/>
  <c r="N1509" i="2"/>
  <c r="K1509" i="2" s="1"/>
  <c r="L1509" i="2" s="1"/>
  <c r="M1509" i="2" s="1"/>
  <c r="H1509" i="2"/>
  <c r="F1509" i="2"/>
  <c r="I1509" i="2"/>
  <c r="I110" i="2"/>
  <c r="N110" i="2"/>
  <c r="K110" i="2" s="1"/>
  <c r="L110" i="2" s="1"/>
  <c r="M110" i="2" s="1"/>
  <c r="N1794" i="2"/>
  <c r="K1794" i="2" s="1"/>
  <c r="L1794" i="2" s="1"/>
  <c r="M1794" i="2" s="1"/>
  <c r="H1794" i="2"/>
  <c r="J1794" i="2"/>
  <c r="E1794" i="2"/>
  <c r="I1201" i="2"/>
  <c r="J1201" i="2"/>
  <c r="H1201" i="2"/>
  <c r="N2397" i="2"/>
  <c r="K2397" i="2" s="1"/>
  <c r="L2397" i="2" s="1"/>
  <c r="M2397" i="2" s="1"/>
  <c r="F2397" i="2"/>
  <c r="H2397" i="2"/>
  <c r="J2397" i="2"/>
  <c r="N1026" i="2"/>
  <c r="K1026" i="2" s="1"/>
  <c r="L1026" i="2" s="1"/>
  <c r="M1026" i="2" s="1"/>
  <c r="J1026" i="2"/>
  <c r="I1026" i="2"/>
  <c r="H1026" i="2"/>
  <c r="F1026" i="2"/>
  <c r="E1026" i="2"/>
  <c r="I2101" i="2"/>
  <c r="F2101" i="2"/>
  <c r="J2101" i="2"/>
  <c r="H2101" i="2"/>
  <c r="N1792" i="2"/>
  <c r="K1792" i="2" s="1"/>
  <c r="L1792" i="2" s="1"/>
  <c r="M1792" i="2" s="1"/>
  <c r="E1792" i="2"/>
  <c r="J1792" i="2"/>
  <c r="I1792" i="2"/>
  <c r="H333" i="2"/>
  <c r="I333" i="2" s="1"/>
  <c r="N333" i="2"/>
  <c r="K333" i="2" s="1"/>
  <c r="N2372" i="2"/>
  <c r="K2372" i="2" s="1"/>
  <c r="L2372" i="2" s="1"/>
  <c r="M2372" i="2" s="1"/>
  <c r="N1417" i="2"/>
  <c r="K1417" i="2" s="1"/>
  <c r="L1417" i="2" s="1"/>
  <c r="M1417" i="2" s="1"/>
  <c r="H1387" i="2"/>
  <c r="F836" i="2"/>
  <c r="I840" i="2"/>
  <c r="F84" i="2"/>
  <c r="N84" i="2" s="1"/>
  <c r="K84" i="2" s="1"/>
  <c r="L84" i="2" s="1"/>
  <c r="M84" i="2" s="1"/>
  <c r="N354" i="2"/>
  <c r="K354" i="2" s="1"/>
  <c r="L354" i="2" s="1"/>
  <c r="M354" i="2" s="1"/>
  <c r="J354" i="2"/>
  <c r="I354" i="2"/>
  <c r="H354" i="2"/>
  <c r="N1349" i="2"/>
  <c r="K1349" i="2" s="1"/>
  <c r="L1349" i="2" s="1"/>
  <c r="M1349" i="2" s="1"/>
  <c r="E1349" i="2"/>
  <c r="I1370" i="2"/>
  <c r="H1370" i="2"/>
  <c r="I963" i="2"/>
  <c r="H963" i="2"/>
  <c r="F963" i="2"/>
  <c r="E963" i="2"/>
  <c r="N963" i="2"/>
  <c r="K963" i="2" s="1"/>
  <c r="L963" i="2" s="1"/>
  <c r="M963" i="2" s="1"/>
  <c r="J963" i="2"/>
  <c r="N2334" i="2"/>
  <c r="K2334" i="2" s="1"/>
  <c r="L2334" i="2" s="1"/>
  <c r="M2334" i="2" s="1"/>
  <c r="I2334" i="2"/>
  <c r="F2334" i="2"/>
  <c r="J2334" i="2"/>
  <c r="N1666" i="2"/>
  <c r="K1666" i="2" s="1"/>
  <c r="L1666" i="2" s="1"/>
  <c r="M1666" i="2" s="1"/>
  <c r="H836" i="2"/>
  <c r="H816" i="2"/>
  <c r="J421" i="2"/>
  <c r="H367" i="2"/>
  <c r="N107" i="2"/>
  <c r="K107" i="2" s="1"/>
  <c r="L107" i="2" s="1"/>
  <c r="M107" i="2" s="1"/>
  <c r="I2362" i="2"/>
  <c r="J2362" i="2"/>
  <c r="F2362" i="2"/>
  <c r="E2362" i="2"/>
  <c r="J2232" i="2"/>
  <c r="F2232" i="2"/>
  <c r="I2232" i="2"/>
  <c r="J408" i="2"/>
  <c r="I408" i="2"/>
  <c r="F1338" i="2"/>
  <c r="E1338" i="2"/>
  <c r="N1383" i="2"/>
  <c r="K1383" i="2" s="1"/>
  <c r="L1383" i="2" s="1"/>
  <c r="M1383" i="2" s="1"/>
  <c r="E1383" i="2"/>
  <c r="F1383" i="2"/>
  <c r="N1377" i="2"/>
  <c r="K1377" i="2" s="1"/>
  <c r="L1377" i="2" s="1"/>
  <c r="M1377" i="2" s="1"/>
  <c r="J1377" i="2"/>
  <c r="I1377" i="2"/>
  <c r="H2148" i="2"/>
  <c r="F2148" i="2"/>
  <c r="J2148" i="2"/>
  <c r="E2148" i="2"/>
  <c r="N2131" i="2"/>
  <c r="K2131" i="2" s="1"/>
  <c r="L2131" i="2" s="1"/>
  <c r="M2131" i="2" s="1"/>
  <c r="F2131" i="2"/>
  <c r="E2131" i="2"/>
  <c r="N2158" i="2"/>
  <c r="K2158" i="2" s="1"/>
  <c r="L2158" i="2" s="1"/>
  <c r="M2158" i="2" s="1"/>
  <c r="E2158" i="2"/>
  <c r="I2158" i="2"/>
  <c r="H2158" i="2"/>
  <c r="N55" i="2"/>
  <c r="K55" i="2" s="1"/>
  <c r="L55" i="2" s="1"/>
  <c r="M55" i="2" s="1"/>
  <c r="H55" i="2"/>
  <c r="F55" i="2"/>
  <c r="E55" i="2"/>
  <c r="F1807" i="2"/>
  <c r="J1807" i="2"/>
  <c r="I1807" i="2"/>
  <c r="H1807" i="2"/>
  <c r="N1807" i="2"/>
  <c r="K1807" i="2" s="1"/>
  <c r="L1807" i="2" s="1"/>
  <c r="M1807" i="2" s="1"/>
  <c r="J1597" i="2"/>
  <c r="I1597" i="2"/>
  <c r="H1597" i="2"/>
  <c r="F1597" i="2"/>
  <c r="E1597" i="2"/>
  <c r="H2185" i="2"/>
  <c r="E2185" i="2"/>
  <c r="F2185" i="2"/>
  <c r="J2185" i="2"/>
  <c r="H1692" i="2"/>
  <c r="J1692" i="2"/>
  <c r="N1692" i="2"/>
  <c r="K1692" i="2" s="1"/>
  <c r="L1692" i="2" s="1"/>
  <c r="M1692" i="2" s="1"/>
  <c r="I1692" i="2"/>
  <c r="F1692" i="2"/>
  <c r="E1692" i="2"/>
  <c r="I473" i="2"/>
  <c r="J473" i="2"/>
  <c r="N473" i="2"/>
  <c r="K473" i="2" s="1"/>
  <c r="L473" i="2" s="1"/>
  <c r="M473" i="2" s="1"/>
  <c r="E473" i="2"/>
  <c r="H473" i="2"/>
  <c r="I1333" i="2"/>
  <c r="H1508" i="2"/>
  <c r="N1171" i="2"/>
  <c r="K1171" i="2" s="1"/>
  <c r="L1171" i="2" s="1"/>
  <c r="M1171" i="2" s="1"/>
  <c r="N421" i="2"/>
  <c r="K421" i="2" s="1"/>
  <c r="L421" i="2" s="1"/>
  <c r="M421" i="2" s="1"/>
  <c r="I367" i="2"/>
  <c r="J107" i="2"/>
  <c r="E41" i="2"/>
  <c r="I1669" i="2"/>
  <c r="H1669" i="2"/>
  <c r="F1669" i="2"/>
  <c r="E1669" i="2"/>
  <c r="H2252" i="2"/>
  <c r="F2252" i="2"/>
  <c r="J2252" i="2"/>
  <c r="J1017" i="2"/>
  <c r="N574" i="2"/>
  <c r="K574" i="2" s="1"/>
  <c r="L574" i="2" s="1"/>
  <c r="M574" i="2" s="1"/>
  <c r="J574" i="2"/>
  <c r="I574" i="2"/>
  <c r="E417" i="2"/>
  <c r="N417" i="2"/>
  <c r="K417" i="2" s="1"/>
  <c r="L417" i="2" s="1"/>
  <c r="M417" i="2" s="1"/>
  <c r="J417" i="2"/>
  <c r="I417" i="2"/>
  <c r="N664" i="2"/>
  <c r="K664" i="2" s="1"/>
  <c r="L664" i="2" s="1"/>
  <c r="M664" i="2" s="1"/>
  <c r="F664" i="2"/>
  <c r="E664" i="2"/>
  <c r="J664" i="2"/>
  <c r="J572" i="2"/>
  <c r="F572" i="2"/>
  <c r="I572" i="2"/>
  <c r="N572" i="2"/>
  <c r="K572" i="2" s="1"/>
  <c r="L572" i="2" s="1"/>
  <c r="M572" i="2" s="1"/>
  <c r="E572" i="2"/>
  <c r="N512" i="2"/>
  <c r="K512" i="2" s="1"/>
  <c r="L512" i="2" s="1"/>
  <c r="M512" i="2" s="1"/>
  <c r="I512" i="2"/>
  <c r="J2147" i="2"/>
  <c r="N2147" i="2"/>
  <c r="K2147" i="2" s="1"/>
  <c r="L2147" i="2" s="1"/>
  <c r="M2147" i="2" s="1"/>
  <c r="I2147" i="2"/>
  <c r="F2147" i="2"/>
  <c r="E2147" i="2"/>
  <c r="J2137" i="2"/>
  <c r="H2137" i="2"/>
  <c r="F2137" i="2"/>
  <c r="N2137" i="2"/>
  <c r="K2137" i="2" s="1"/>
  <c r="L2137" i="2" s="1"/>
  <c r="M2137" i="2" s="1"/>
  <c r="J2161" i="2"/>
  <c r="N2161" i="2"/>
  <c r="K2161" i="2" s="1"/>
  <c r="L2161" i="2" s="1"/>
  <c r="M2161" i="2" s="1"/>
  <c r="H2161" i="2"/>
  <c r="E2161" i="2"/>
  <c r="E2257" i="2"/>
  <c r="F1696" i="2"/>
  <c r="E1518" i="2"/>
  <c r="H1620" i="2"/>
  <c r="H1193" i="2"/>
  <c r="H1667" i="2"/>
  <c r="J1505" i="2"/>
  <c r="H1367" i="2"/>
  <c r="F754" i="2"/>
  <c r="N754" i="2" s="1"/>
  <c r="K754" i="2" s="1"/>
  <c r="L754" i="2" s="1"/>
  <c r="M754" i="2" s="1"/>
  <c r="H754" i="2"/>
  <c r="I754" i="2" s="1"/>
  <c r="I345" i="2"/>
  <c r="N1518" i="2"/>
  <c r="K1518" i="2" s="1"/>
  <c r="L1518" i="2" s="1"/>
  <c r="M1518" i="2" s="1"/>
  <c r="I1193" i="2"/>
  <c r="J1667" i="2"/>
  <c r="I1367" i="2"/>
  <c r="N156" i="2"/>
  <c r="K156" i="2" s="1"/>
  <c r="L156" i="2" s="1"/>
  <c r="M156" i="2" s="1"/>
  <c r="K80" i="2"/>
  <c r="L80" i="2" s="1"/>
  <c r="M80" i="2" s="1"/>
  <c r="H1447" i="2"/>
  <c r="J1432" i="2"/>
  <c r="E1191" i="2"/>
  <c r="I1018" i="2"/>
  <c r="J1367" i="2"/>
  <c r="H1102" i="2"/>
  <c r="H824" i="2"/>
  <c r="I824" i="2" s="1"/>
  <c r="J345" i="2"/>
  <c r="N332" i="2"/>
  <c r="K332" i="2" s="1"/>
  <c r="L332" i="2" s="1"/>
  <c r="M332" i="2" s="1"/>
  <c r="N295" i="2"/>
  <c r="K295" i="2" s="1"/>
  <c r="L295" i="2" s="1"/>
  <c r="M295" i="2" s="1"/>
  <c r="E1432" i="2"/>
  <c r="F1191" i="2"/>
  <c r="I1102" i="2"/>
  <c r="H345" i="2"/>
  <c r="E295" i="2"/>
  <c r="E156" i="2"/>
  <c r="J980" i="2"/>
  <c r="I980" i="2"/>
  <c r="J1664" i="2"/>
  <c r="E1664" i="2"/>
  <c r="E2111" i="2"/>
  <c r="F2096" i="2"/>
  <c r="F1432" i="2"/>
  <c r="I1179" i="2"/>
  <c r="J1102" i="2"/>
  <c r="F824" i="2"/>
  <c r="N824" i="2" s="1"/>
  <c r="K824" i="2" s="1"/>
  <c r="E345" i="2"/>
  <c r="H295" i="2"/>
  <c r="F156" i="2"/>
  <c r="N2399" i="2"/>
  <c r="K2399" i="2" s="1"/>
  <c r="L2399" i="2" s="1"/>
  <c r="M2399" i="2" s="1"/>
  <c r="H2111" i="2"/>
  <c r="H2096" i="2"/>
  <c r="H1432" i="2"/>
  <c r="J1179" i="2"/>
  <c r="E1102" i="2"/>
  <c r="N345" i="2"/>
  <c r="K345" i="2" s="1"/>
  <c r="L345" i="2" s="1"/>
  <c r="M345" i="2" s="1"/>
  <c r="I295" i="2"/>
  <c r="H2399" i="2"/>
  <c r="I952" i="2"/>
  <c r="E1194" i="2"/>
  <c r="I1803" i="2"/>
  <c r="F671" i="2"/>
  <c r="N671" i="2" s="1"/>
  <c r="K671" i="2" s="1"/>
  <c r="J2096" i="2"/>
  <c r="I907" i="2"/>
  <c r="N397" i="2"/>
  <c r="K397" i="2" s="1"/>
  <c r="L397" i="2" s="1"/>
  <c r="M397" i="2" s="1"/>
  <c r="N717" i="2"/>
  <c r="K717" i="2" s="1"/>
  <c r="L717" i="2" s="1"/>
  <c r="M717" i="2" s="1"/>
  <c r="J295" i="2"/>
  <c r="H33" i="2"/>
  <c r="F227" i="2"/>
  <c r="H80" i="2"/>
  <c r="I80" i="2" s="1"/>
  <c r="F234" i="2"/>
  <c r="N1713" i="2"/>
  <c r="K1713" i="2" s="1"/>
  <c r="L1713" i="2" s="1"/>
  <c r="M1713" i="2" s="1"/>
  <c r="I1189" i="2"/>
  <c r="K1380" i="2"/>
  <c r="L1380" i="2" s="1"/>
  <c r="M1380" i="2" s="1"/>
  <c r="F1194" i="2"/>
  <c r="K1941" i="2"/>
  <c r="L1941" i="2" s="1"/>
  <c r="M1941" i="2" s="1"/>
  <c r="I1191" i="2"/>
  <c r="J1191" i="2"/>
  <c r="N1193" i="2"/>
  <c r="K1193" i="2" s="1"/>
  <c r="L1193" i="2" s="1"/>
  <c r="M1193" i="2" s="1"/>
  <c r="I1194" i="2"/>
  <c r="H1005" i="2"/>
  <c r="F1005" i="2"/>
  <c r="I1447" i="2"/>
  <c r="E1177" i="2"/>
  <c r="H392" i="2"/>
  <c r="K521" i="2"/>
  <c r="L521" i="2" s="1"/>
  <c r="M521" i="2" s="1"/>
  <c r="I410" i="2"/>
  <c r="N907" i="2"/>
  <c r="K907" i="2" s="1"/>
  <c r="L907" i="2" s="1"/>
  <c r="M907" i="2" s="1"/>
  <c r="E397" i="2"/>
  <c r="F121" i="2"/>
  <c r="F93" i="2"/>
  <c r="E717" i="2"/>
  <c r="F1697" i="2"/>
  <c r="N1264" i="2"/>
  <c r="K1264" i="2" s="1"/>
  <c r="L1264" i="2" s="1"/>
  <c r="M1264" i="2" s="1"/>
  <c r="H761" i="2"/>
  <c r="H93" i="2"/>
  <c r="F777" i="2"/>
  <c r="E1005" i="2"/>
  <c r="E1447" i="2"/>
  <c r="E1505" i="2"/>
  <c r="F1177" i="2"/>
  <c r="E410" i="2"/>
  <c r="H156" i="2"/>
  <c r="N985" i="2"/>
  <c r="K985" i="2" s="1"/>
  <c r="L985" i="2" s="1"/>
  <c r="M985" i="2" s="1"/>
  <c r="I985" i="2"/>
  <c r="H985" i="2"/>
  <c r="J985" i="2"/>
  <c r="F985" i="2"/>
  <c r="H2257" i="2"/>
  <c r="J1884" i="2"/>
  <c r="J1751" i="2"/>
  <c r="N1533" i="2"/>
  <c r="K1533" i="2" s="1"/>
  <c r="L1533" i="2" s="1"/>
  <c r="M1533" i="2" s="1"/>
  <c r="I1696" i="2"/>
  <c r="I1506" i="2"/>
  <c r="F1447" i="2"/>
  <c r="F1505" i="2"/>
  <c r="N1177" i="2"/>
  <c r="K1177" i="2" s="1"/>
  <c r="L1177" i="2" s="1"/>
  <c r="M1177" i="2" s="1"/>
  <c r="F798" i="2"/>
  <c r="N798" i="2" s="1"/>
  <c r="K798" i="2" s="1"/>
  <c r="H397" i="2"/>
  <c r="N121" i="2"/>
  <c r="K121" i="2" s="1"/>
  <c r="L121" i="2" s="1"/>
  <c r="M121" i="2" s="1"/>
  <c r="J592" i="2"/>
  <c r="I33" i="2"/>
  <c r="E93" i="2"/>
  <c r="H717" i="2"/>
  <c r="I9" i="2"/>
  <c r="J1558" i="2"/>
  <c r="N1726" i="2"/>
  <c r="K1726" i="2" s="1"/>
  <c r="L1726" i="2" s="1"/>
  <c r="M1726" i="2" s="1"/>
  <c r="E1786" i="2"/>
  <c r="J2402" i="2"/>
  <c r="H699" i="2"/>
  <c r="N1884" i="2"/>
  <c r="K1884" i="2" s="1"/>
  <c r="L1884" i="2" s="1"/>
  <c r="M1884" i="2" s="1"/>
  <c r="J1696" i="2"/>
  <c r="N1447" i="2"/>
  <c r="K1447" i="2" s="1"/>
  <c r="L1447" i="2" s="1"/>
  <c r="M1447" i="2" s="1"/>
  <c r="F555" i="2"/>
  <c r="N555" i="2" s="1"/>
  <c r="K555" i="2" s="1"/>
  <c r="J40" i="2"/>
  <c r="K1772" i="2"/>
  <c r="L1772" i="2" s="1"/>
  <c r="M1772" i="2" s="1"/>
  <c r="H1558" i="2"/>
  <c r="E1189" i="2"/>
  <c r="E1773" i="2"/>
  <c r="N843" i="2"/>
  <c r="K843" i="2" s="1"/>
  <c r="L843" i="2" s="1"/>
  <c r="M843" i="2" s="1"/>
  <c r="J1119" i="2"/>
  <c r="I1119" i="2"/>
  <c r="H1119" i="2"/>
  <c r="F1119" i="2"/>
  <c r="E1119" i="2"/>
  <c r="N1119" i="2"/>
  <c r="K1119" i="2" s="1"/>
  <c r="L1119" i="2" s="1"/>
  <c r="M1119" i="2" s="1"/>
  <c r="I402" i="2"/>
  <c r="E402" i="2"/>
  <c r="N402" i="2"/>
  <c r="K402" i="2" s="1"/>
  <c r="L402" i="2" s="1"/>
  <c r="M402" i="2" s="1"/>
  <c r="J402" i="2"/>
  <c r="H402" i="2"/>
  <c r="H2401" i="2"/>
  <c r="H2167" i="2"/>
  <c r="H2153" i="2"/>
  <c r="E2155" i="2"/>
  <c r="F2200" i="2"/>
  <c r="H2325" i="2"/>
  <c r="F2064" i="2"/>
  <c r="N1460" i="2"/>
  <c r="K1460" i="2" s="1"/>
  <c r="L1460" i="2" s="1"/>
  <c r="M1460" i="2" s="1"/>
  <c r="I413" i="2"/>
  <c r="N1323" i="2"/>
  <c r="K1323" i="2" s="1"/>
  <c r="L1323" i="2" s="1"/>
  <c r="M1323" i="2" s="1"/>
  <c r="J1323" i="2"/>
  <c r="I1323" i="2"/>
  <c r="H1323" i="2"/>
  <c r="F1323" i="2"/>
  <c r="E1323" i="2"/>
  <c r="F1510" i="2"/>
  <c r="H1510" i="2"/>
  <c r="F551" i="2"/>
  <c r="N551" i="2" s="1"/>
  <c r="K551" i="2" s="1"/>
  <c r="L551" i="2" s="1"/>
  <c r="M551" i="2" s="1"/>
  <c r="I418" i="2"/>
  <c r="E418" i="2"/>
  <c r="N65" i="2"/>
  <c r="K65" i="2" s="1"/>
  <c r="L65" i="2" s="1"/>
  <c r="M65" i="2" s="1"/>
  <c r="I65" i="2"/>
  <c r="F65" i="2"/>
  <c r="H65" i="2"/>
  <c r="N1761" i="2"/>
  <c r="K1761" i="2" s="1"/>
  <c r="L1761" i="2" s="1"/>
  <c r="M1761" i="2" s="1"/>
  <c r="E1761" i="2"/>
  <c r="J346" i="2"/>
  <c r="E346" i="2"/>
  <c r="J1760" i="2"/>
  <c r="H1760" i="2"/>
  <c r="F1760" i="2"/>
  <c r="E1760" i="2"/>
  <c r="F989" i="2"/>
  <c r="H989" i="2"/>
  <c r="E989" i="2"/>
  <c r="J989" i="2"/>
  <c r="F799" i="2"/>
  <c r="N799" i="2" s="1"/>
  <c r="K799" i="2" s="1"/>
  <c r="J1280" i="2"/>
  <c r="I1280" i="2"/>
  <c r="H1300" i="2"/>
  <c r="E1300" i="2"/>
  <c r="I1300" i="2"/>
  <c r="J1300" i="2"/>
  <c r="N227" i="2"/>
  <c r="K227" i="2" s="1"/>
  <c r="L227" i="2" s="1"/>
  <c r="M227" i="2" s="1"/>
  <c r="J227" i="2"/>
  <c r="H331" i="2"/>
  <c r="I331" i="2" s="1"/>
  <c r="N331" i="2"/>
  <c r="K331" i="2" s="1"/>
  <c r="J1451" i="2"/>
  <c r="E1451" i="2"/>
  <c r="H1476" i="2"/>
  <c r="J1476" i="2"/>
  <c r="N1476" i="2"/>
  <c r="K1476" i="2" s="1"/>
  <c r="L1476" i="2" s="1"/>
  <c r="M1476" i="2" s="1"/>
  <c r="F1476" i="2"/>
  <c r="E1476" i="2"/>
  <c r="I1476" i="2"/>
  <c r="I1483" i="2"/>
  <c r="H1483" i="2"/>
  <c r="F1483" i="2"/>
  <c r="E1483" i="2"/>
  <c r="N1511" i="2"/>
  <c r="K1511" i="2" s="1"/>
  <c r="L1511" i="2" s="1"/>
  <c r="M1511" i="2" s="1"/>
  <c r="H1511" i="2"/>
  <c r="I1511" i="2"/>
  <c r="F222" i="2"/>
  <c r="E222" i="2"/>
  <c r="N222" i="2"/>
  <c r="K222" i="2" s="1"/>
  <c r="L222" i="2" s="1"/>
  <c r="M222" i="2" s="1"/>
  <c r="H222" i="2"/>
  <c r="I222" i="2"/>
  <c r="J222" i="2"/>
  <c r="J1372" i="2"/>
  <c r="I1372" i="2"/>
  <c r="H1372" i="2"/>
  <c r="F1372" i="2"/>
  <c r="E838" i="2"/>
  <c r="N838" i="2"/>
  <c r="K838" i="2" s="1"/>
  <c r="L838" i="2" s="1"/>
  <c r="M838" i="2" s="1"/>
  <c r="I838" i="2"/>
  <c r="J838" i="2"/>
  <c r="H838" i="2"/>
  <c r="H685" i="2"/>
  <c r="I685" i="2" s="1"/>
  <c r="E125" i="2"/>
  <c r="J125" i="2"/>
  <c r="J1256" i="2"/>
  <c r="I1256" i="2"/>
  <c r="N1256" i="2"/>
  <c r="K1256" i="2" s="1"/>
  <c r="L1256" i="2" s="1"/>
  <c r="M1256" i="2" s="1"/>
  <c r="F1256" i="2"/>
  <c r="N784" i="2"/>
  <c r="K784" i="2" s="1"/>
  <c r="L784" i="2" s="1"/>
  <c r="M784" i="2" s="1"/>
  <c r="F784" i="2"/>
  <c r="F89" i="2"/>
  <c r="N89" i="2" s="1"/>
  <c r="K89" i="2" s="1"/>
  <c r="L89" i="2" s="1"/>
  <c r="M89" i="2" s="1"/>
  <c r="H642" i="2"/>
  <c r="I642" i="2" s="1"/>
  <c r="F642" i="2"/>
  <c r="N642" i="2" s="1"/>
  <c r="K642" i="2" s="1"/>
  <c r="J605" i="2"/>
  <c r="F605" i="2"/>
  <c r="E605" i="2"/>
  <c r="N605" i="2"/>
  <c r="K605" i="2" s="1"/>
  <c r="L605" i="2" s="1"/>
  <c r="M605" i="2" s="1"/>
  <c r="I605" i="2"/>
  <c r="H605" i="2"/>
  <c r="F578" i="2"/>
  <c r="H578" i="2"/>
  <c r="E578" i="2"/>
  <c r="I578" i="2"/>
  <c r="J578" i="2"/>
  <c r="F1824" i="2"/>
  <c r="E1824" i="2"/>
  <c r="N1824" i="2"/>
  <c r="K1824" i="2" s="1"/>
  <c r="L1824" i="2" s="1"/>
  <c r="M1824" i="2" s="1"/>
  <c r="J1824" i="2"/>
  <c r="I1824" i="2"/>
  <c r="H1824" i="2"/>
  <c r="F795" i="2"/>
  <c r="N795" i="2" s="1"/>
  <c r="K795" i="2" s="1"/>
  <c r="J1635" i="2"/>
  <c r="H1635" i="2"/>
  <c r="E1635" i="2"/>
  <c r="I1635" i="2"/>
  <c r="F825" i="2"/>
  <c r="N825" i="2" s="1"/>
  <c r="K825" i="2" s="1"/>
  <c r="F681" i="2"/>
  <c r="N681" i="2" s="1"/>
  <c r="K681" i="2" s="1"/>
  <c r="J468" i="2"/>
  <c r="E468" i="2"/>
  <c r="N468" i="2"/>
  <c r="K468" i="2" s="1"/>
  <c r="L468" i="2" s="1"/>
  <c r="M468" i="2" s="1"/>
  <c r="J2048" i="2"/>
  <c r="F1635" i="2"/>
  <c r="J1298" i="2"/>
  <c r="N841" i="2"/>
  <c r="K841" i="2" s="1"/>
  <c r="L841" i="2" s="1"/>
  <c r="M841" i="2" s="1"/>
  <c r="J1062" i="2"/>
  <c r="I2049" i="2"/>
  <c r="F2049" i="2"/>
  <c r="E2049" i="2"/>
  <c r="E423" i="2"/>
  <c r="N423" i="2"/>
  <c r="K423" i="2" s="1"/>
  <c r="L423" i="2" s="1"/>
  <c r="M423" i="2" s="1"/>
  <c r="I423" i="2"/>
  <c r="J152" i="2"/>
  <c r="I152" i="2"/>
  <c r="H152" i="2"/>
  <c r="E1467" i="2"/>
  <c r="I1467" i="2"/>
  <c r="J1249" i="2"/>
  <c r="I1249" i="2"/>
  <c r="H1249" i="2"/>
  <c r="E1249" i="2"/>
  <c r="N1249" i="2"/>
  <c r="K1249" i="2" s="1"/>
  <c r="L1249" i="2" s="1"/>
  <c r="M1249" i="2" s="1"/>
  <c r="I1612" i="2"/>
  <c r="N1612" i="2"/>
  <c r="K1612" i="2" s="1"/>
  <c r="L1612" i="2" s="1"/>
  <c r="M1612" i="2" s="1"/>
  <c r="J1612" i="2"/>
  <c r="H1612" i="2"/>
  <c r="F1612" i="2"/>
  <c r="E1612" i="2"/>
  <c r="N451" i="2"/>
  <c r="K451" i="2" s="1"/>
  <c r="L451" i="2" s="1"/>
  <c r="M451" i="2" s="1"/>
  <c r="H451" i="2"/>
  <c r="E451" i="2"/>
  <c r="J451" i="2"/>
  <c r="N1461" i="2"/>
  <c r="K1461" i="2" s="1"/>
  <c r="L1461" i="2" s="1"/>
  <c r="M1461" i="2" s="1"/>
  <c r="J1461" i="2"/>
  <c r="I1461" i="2"/>
  <c r="E1461" i="2"/>
  <c r="H1461" i="2"/>
  <c r="F1461" i="2"/>
  <c r="J404" i="2"/>
  <c r="I404" i="2"/>
  <c r="E404" i="2"/>
  <c r="J1011" i="2"/>
  <c r="I1011" i="2"/>
  <c r="N1011" i="2"/>
  <c r="K1011" i="2" s="1"/>
  <c r="L1011" i="2" s="1"/>
  <c r="M1011" i="2" s="1"/>
  <c r="H1011" i="2"/>
  <c r="E1011" i="2"/>
  <c r="N396" i="2"/>
  <c r="K396" i="2" s="1"/>
  <c r="L396" i="2" s="1"/>
  <c r="M396" i="2" s="1"/>
  <c r="J396" i="2"/>
  <c r="I396" i="2"/>
  <c r="N1788" i="2"/>
  <c r="K1788" i="2" s="1"/>
  <c r="L1788" i="2" s="1"/>
  <c r="M1788" i="2" s="1"/>
  <c r="H1788" i="2"/>
  <c r="E1788" i="2"/>
  <c r="I2283" i="2"/>
  <c r="J2283" i="2"/>
  <c r="H2283" i="2"/>
  <c r="J1071" i="2"/>
  <c r="N1071" i="2"/>
  <c r="K1071" i="2" s="1"/>
  <c r="L1071" i="2" s="1"/>
  <c r="M1071" i="2" s="1"/>
  <c r="F1397" i="2"/>
  <c r="I1397" i="2"/>
  <c r="E1397" i="2"/>
  <c r="J1397" i="2"/>
  <c r="N1397" i="2"/>
  <c r="K1397" i="2" s="1"/>
  <c r="L1397" i="2" s="1"/>
  <c r="M1397" i="2" s="1"/>
  <c r="H1397" i="2"/>
  <c r="J2237" i="2"/>
  <c r="E2398" i="2"/>
  <c r="N2278" i="2"/>
  <c r="K2278" i="2" s="1"/>
  <c r="L2278" i="2" s="1"/>
  <c r="M2278" i="2" s="1"/>
  <c r="I2069" i="2"/>
  <c r="H2086" i="2"/>
  <c r="H1890" i="2"/>
  <c r="H2093" i="2"/>
  <c r="J1636" i="2"/>
  <c r="I1380" i="2"/>
  <c r="I1298" i="2"/>
  <c r="N711" i="2"/>
  <c r="K711" i="2" s="1"/>
  <c r="L711" i="2" s="1"/>
  <c r="M711" i="2" s="1"/>
  <c r="F1062" i="2"/>
  <c r="H459" i="2"/>
  <c r="H823" i="2"/>
  <c r="I823" i="2" s="1"/>
  <c r="N1234" i="2"/>
  <c r="K1234" i="2" s="1"/>
  <c r="L1234" i="2" s="1"/>
  <c r="M1234" i="2" s="1"/>
  <c r="H1234" i="2"/>
  <c r="E1234" i="2"/>
  <c r="J351" i="2"/>
  <c r="I351" i="2"/>
  <c r="H351" i="2"/>
  <c r="N351" i="2"/>
  <c r="K351" i="2" s="1"/>
  <c r="L351" i="2" s="1"/>
  <c r="M351" i="2" s="1"/>
  <c r="H626" i="2"/>
  <c r="I626" i="2" s="1"/>
  <c r="H800" i="2"/>
  <c r="I800" i="2" s="1"/>
  <c r="H47" i="2"/>
  <c r="J47" i="2"/>
  <c r="I2253" i="2"/>
  <c r="H2253" i="2"/>
  <c r="F2253" i="2"/>
  <c r="J1203" i="2"/>
  <c r="I1203" i="2"/>
  <c r="H1203" i="2"/>
  <c r="F1203" i="2"/>
  <c r="E1203" i="2"/>
  <c r="H2237" i="2"/>
  <c r="F2398" i="2"/>
  <c r="H2278" i="2"/>
  <c r="E1890" i="2"/>
  <c r="F2093" i="2"/>
  <c r="E1636" i="2"/>
  <c r="I1362" i="2"/>
  <c r="I1885" i="2"/>
  <c r="F1011" i="2"/>
  <c r="N1298" i="2"/>
  <c r="K1298" i="2" s="1"/>
  <c r="L1298" i="2" s="1"/>
  <c r="M1298" i="2" s="1"/>
  <c r="I714" i="2"/>
  <c r="H396" i="2"/>
  <c r="H468" i="2"/>
  <c r="N459" i="2"/>
  <c r="K459" i="2" s="1"/>
  <c r="L459" i="2" s="1"/>
  <c r="M459" i="2" s="1"/>
  <c r="H1179" i="2"/>
  <c r="E1179" i="2"/>
  <c r="N1179" i="2"/>
  <c r="K1179" i="2" s="1"/>
  <c r="L1179" i="2" s="1"/>
  <c r="M1179" i="2" s="1"/>
  <c r="N1247" i="2"/>
  <c r="K1247" i="2" s="1"/>
  <c r="L1247" i="2" s="1"/>
  <c r="M1247" i="2" s="1"/>
  <c r="I1247" i="2"/>
  <c r="H1247" i="2"/>
  <c r="F751" i="2"/>
  <c r="N751" i="2" s="1"/>
  <c r="K751" i="2" s="1"/>
  <c r="F554" i="2"/>
  <c r="N554" i="2" s="1"/>
  <c r="K554" i="2" s="1"/>
  <c r="L554" i="2" s="1"/>
  <c r="M554" i="2" s="1"/>
  <c r="H507" i="2"/>
  <c r="I507" i="2" s="1"/>
  <c r="F507" i="2"/>
  <c r="N507" i="2" s="1"/>
  <c r="K507" i="2" s="1"/>
  <c r="F1385" i="2"/>
  <c r="E1385" i="2"/>
  <c r="N1385" i="2"/>
  <c r="K1385" i="2" s="1"/>
  <c r="L1385" i="2" s="1"/>
  <c r="M1385" i="2" s="1"/>
  <c r="H1385" i="2"/>
  <c r="J1370" i="2"/>
  <c r="F1370" i="2"/>
  <c r="N1370" i="2"/>
  <c r="K1370" i="2" s="1"/>
  <c r="L1370" i="2" s="1"/>
  <c r="M1370" i="2" s="1"/>
  <c r="E1370" i="2"/>
  <c r="H829" i="2"/>
  <c r="I20" i="2"/>
  <c r="H20" i="2"/>
  <c r="F20" i="2"/>
  <c r="E20" i="2"/>
  <c r="J828" i="2"/>
  <c r="E828" i="2"/>
  <c r="N828" i="2"/>
  <c r="K828" i="2" s="1"/>
  <c r="L828" i="2" s="1"/>
  <c r="M828" i="2" s="1"/>
  <c r="H759" i="2"/>
  <c r="N1173" i="2"/>
  <c r="K1173" i="2" s="1"/>
  <c r="L1173" i="2" s="1"/>
  <c r="M1173" i="2" s="1"/>
  <c r="I468" i="2"/>
  <c r="I2398" i="2"/>
  <c r="J2156" i="2"/>
  <c r="F2278" i="2"/>
  <c r="N2149" i="2"/>
  <c r="K2149" i="2" s="1"/>
  <c r="L2149" i="2" s="1"/>
  <c r="M2149" i="2" s="1"/>
  <c r="F1785" i="2"/>
  <c r="I1890" i="2"/>
  <c r="H2049" i="2"/>
  <c r="F1703" i="2"/>
  <c r="F1596" i="2"/>
  <c r="J1381" i="2"/>
  <c r="E1885" i="2"/>
  <c r="N1578" i="2"/>
  <c r="K1578" i="2" s="1"/>
  <c r="L1578" i="2" s="1"/>
  <c r="M1578" i="2" s="1"/>
  <c r="F1298" i="2"/>
  <c r="E1256" i="2"/>
  <c r="H825" i="2"/>
  <c r="I825" i="2" s="1"/>
  <c r="F558" i="2"/>
  <c r="N558" i="2" s="1"/>
  <c r="K558" i="2" s="1"/>
  <c r="F714" i="2"/>
  <c r="E467" i="2"/>
  <c r="J46" i="2"/>
  <c r="H125" i="2"/>
  <c r="J1922" i="2"/>
  <c r="I1922" i="2"/>
  <c r="J1492" i="2"/>
  <c r="I1492" i="2"/>
  <c r="I1068" i="2"/>
  <c r="E1068" i="2"/>
  <c r="N1068" i="2"/>
  <c r="K1068" i="2" s="1"/>
  <c r="L1068" i="2" s="1"/>
  <c r="M1068" i="2" s="1"/>
  <c r="N1259" i="2"/>
  <c r="K1259" i="2" s="1"/>
  <c r="L1259" i="2" s="1"/>
  <c r="M1259" i="2" s="1"/>
  <c r="H1259" i="2"/>
  <c r="N322" i="2"/>
  <c r="K322" i="2" s="1"/>
  <c r="L322" i="2" s="1"/>
  <c r="M322" i="2" s="1"/>
  <c r="H322" i="2"/>
  <c r="I322" i="2" s="1"/>
  <c r="F797" i="2"/>
  <c r="N797" i="2" s="1"/>
  <c r="K797" i="2" s="1"/>
  <c r="J1972" i="2"/>
  <c r="I1972" i="2"/>
  <c r="H1972" i="2"/>
  <c r="F1972" i="2"/>
  <c r="E1972" i="2"/>
  <c r="F1694" i="2"/>
  <c r="E1694" i="2"/>
  <c r="I2155" i="2"/>
  <c r="I2278" i="2"/>
  <c r="F2149" i="2"/>
  <c r="E2048" i="2"/>
  <c r="H1785" i="2"/>
  <c r="J1890" i="2"/>
  <c r="J2049" i="2"/>
  <c r="H1703" i="2"/>
  <c r="F1885" i="2"/>
  <c r="F1578" i="2"/>
  <c r="E1391" i="2"/>
  <c r="N413" i="2"/>
  <c r="K413" i="2" s="1"/>
  <c r="L413" i="2" s="1"/>
  <c r="M413" i="2" s="1"/>
  <c r="N362" i="2"/>
  <c r="K362" i="2" s="1"/>
  <c r="L362" i="2" s="1"/>
  <c r="M362" i="2" s="1"/>
  <c r="H467" i="2"/>
  <c r="N1756" i="2"/>
  <c r="K1756" i="2" s="1"/>
  <c r="L1756" i="2" s="1"/>
  <c r="M1756" i="2" s="1"/>
  <c r="H1756" i="2"/>
  <c r="N1576" i="2"/>
  <c r="K1576" i="2" s="1"/>
  <c r="L1576" i="2" s="1"/>
  <c r="M1576" i="2" s="1"/>
  <c r="J1576" i="2"/>
  <c r="F1576" i="2"/>
  <c r="E1576" i="2"/>
  <c r="F920" i="2"/>
  <c r="N920" i="2" s="1"/>
  <c r="K920" i="2" s="1"/>
  <c r="H920" i="2"/>
  <c r="I920" i="2" s="1"/>
  <c r="F1533" i="2"/>
  <c r="E1533" i="2"/>
  <c r="F1784" i="2"/>
  <c r="N381" i="2"/>
  <c r="K381" i="2" s="1"/>
  <c r="L381" i="2" s="1"/>
  <c r="M381" i="2" s="1"/>
  <c r="E2253" i="2"/>
  <c r="I1485" i="2"/>
  <c r="H1485" i="2"/>
  <c r="F1769" i="2"/>
  <c r="E1769" i="2"/>
  <c r="N1456" i="2"/>
  <c r="K1456" i="2" s="1"/>
  <c r="L1456" i="2" s="1"/>
  <c r="M1456" i="2" s="1"/>
  <c r="F1456" i="2"/>
  <c r="E1456" i="2"/>
  <c r="I1456" i="2"/>
  <c r="F244" i="2"/>
  <c r="E244" i="2"/>
  <c r="N244" i="2"/>
  <c r="K244" i="2" s="1"/>
  <c r="L244" i="2" s="1"/>
  <c r="M244" i="2" s="1"/>
  <c r="H244" i="2"/>
  <c r="N186" i="2"/>
  <c r="K186" i="2" s="1"/>
  <c r="L186" i="2" s="1"/>
  <c r="M186" i="2" s="1"/>
  <c r="H186" i="2"/>
  <c r="E186" i="2"/>
  <c r="F1702" i="2"/>
  <c r="E1702" i="2"/>
  <c r="N1702" i="2"/>
  <c r="K1702" i="2" s="1"/>
  <c r="L1702" i="2" s="1"/>
  <c r="M1702" i="2" s="1"/>
  <c r="I841" i="2"/>
  <c r="F841" i="2"/>
  <c r="J841" i="2"/>
  <c r="H841" i="2"/>
  <c r="J223" i="2"/>
  <c r="I223" i="2"/>
  <c r="H223" i="2"/>
  <c r="F223" i="2"/>
  <c r="E223" i="2"/>
  <c r="N223" i="2"/>
  <c r="K223" i="2" s="1"/>
  <c r="L223" i="2" s="1"/>
  <c r="M223" i="2" s="1"/>
  <c r="N1679" i="2"/>
  <c r="K1679" i="2" s="1"/>
  <c r="L1679" i="2" s="1"/>
  <c r="M1679" i="2" s="1"/>
  <c r="J1679" i="2"/>
  <c r="I1679" i="2"/>
  <c r="E1679" i="2"/>
  <c r="E1169" i="2"/>
  <c r="J1169" i="2"/>
  <c r="I1169" i="2"/>
  <c r="H1169" i="2"/>
  <c r="N1169" i="2"/>
  <c r="K1169" i="2" s="1"/>
  <c r="L1169" i="2" s="1"/>
  <c r="M1169" i="2" s="1"/>
  <c r="F1169" i="2"/>
  <c r="H1172" i="2"/>
  <c r="F1172" i="2"/>
  <c r="I1172" i="2"/>
  <c r="E1172" i="2"/>
  <c r="N1172" i="2"/>
  <c r="K1172" i="2" s="1"/>
  <c r="L1172" i="2" s="1"/>
  <c r="M1172" i="2" s="1"/>
  <c r="J1172" i="2"/>
  <c r="F1404" i="2"/>
  <c r="N1404" i="2"/>
  <c r="K1404" i="2" s="1"/>
  <c r="L1404" i="2" s="1"/>
  <c r="M1404" i="2" s="1"/>
  <c r="J1404" i="2"/>
  <c r="I1404" i="2"/>
  <c r="H1404" i="2"/>
  <c r="E1404" i="2"/>
  <c r="H1298" i="2"/>
  <c r="N1232" i="2"/>
  <c r="K1232" i="2" s="1"/>
  <c r="L1232" i="2" s="1"/>
  <c r="M1232" i="2" s="1"/>
  <c r="J1232" i="2"/>
  <c r="J1499" i="2"/>
  <c r="I1499" i="2"/>
  <c r="H1499" i="2"/>
  <c r="F1499" i="2"/>
  <c r="E1499" i="2"/>
  <c r="J2398" i="2"/>
  <c r="N374" i="2"/>
  <c r="K374" i="2" s="1"/>
  <c r="I2274" i="2"/>
  <c r="J2153" i="2"/>
  <c r="J2278" i="2"/>
  <c r="I2075" i="2"/>
  <c r="E2149" i="2"/>
  <c r="H2064" i="2"/>
  <c r="I1785" i="2"/>
  <c r="H1702" i="2"/>
  <c r="N1694" i="2"/>
  <c r="K1694" i="2" s="1"/>
  <c r="L1694" i="2" s="1"/>
  <c r="M1694" i="2" s="1"/>
  <c r="I1703" i="2"/>
  <c r="J1467" i="2"/>
  <c r="H1362" i="2"/>
  <c r="N1885" i="2"/>
  <c r="K1885" i="2" s="1"/>
  <c r="L1885" i="2" s="1"/>
  <c r="M1885" i="2" s="1"/>
  <c r="H1460" i="2"/>
  <c r="F759" i="2"/>
  <c r="N759" i="2" s="1"/>
  <c r="K759" i="2" s="1"/>
  <c r="L759" i="2" s="1"/>
  <c r="M759" i="2" s="1"/>
  <c r="E337" i="2"/>
  <c r="N578" i="2"/>
  <c r="K578" i="2" s="1"/>
  <c r="L578" i="2" s="1"/>
  <c r="M578" i="2" s="1"/>
  <c r="N467" i="2"/>
  <c r="K467" i="2" s="1"/>
  <c r="L467" i="2" s="1"/>
  <c r="M467" i="2" s="1"/>
  <c r="I451" i="2"/>
  <c r="E1477" i="2"/>
  <c r="J1477" i="2"/>
  <c r="H1477" i="2"/>
  <c r="J1613" i="2"/>
  <c r="I1613" i="2"/>
  <c r="H1613" i="2"/>
  <c r="F1613" i="2"/>
  <c r="E1613" i="2"/>
  <c r="N1613" i="2"/>
  <c r="K1613" i="2" s="1"/>
  <c r="L1613" i="2" s="1"/>
  <c r="M1613" i="2" s="1"/>
  <c r="I1416" i="2"/>
  <c r="H1416" i="2"/>
  <c r="F1416" i="2"/>
  <c r="E1416" i="2"/>
  <c r="N1416" i="2"/>
  <c r="K1416" i="2" s="1"/>
  <c r="L1416" i="2" s="1"/>
  <c r="M1416" i="2" s="1"/>
  <c r="J1416" i="2"/>
  <c r="F1788" i="2"/>
  <c r="I1084" i="2"/>
  <c r="H1084" i="2"/>
  <c r="E1084" i="2"/>
  <c r="J1084" i="2"/>
  <c r="I1784" i="2"/>
  <c r="F74" i="2"/>
  <c r="N74" i="2" s="1"/>
  <c r="K74" i="2" s="1"/>
  <c r="H74" i="2"/>
  <c r="I74" i="2" s="1"/>
  <c r="J412" i="2"/>
  <c r="H412" i="2"/>
  <c r="H559" i="2"/>
  <c r="I559" i="2" s="1"/>
  <c r="N601" i="2"/>
  <c r="K601" i="2" s="1"/>
  <c r="L601" i="2" s="1"/>
  <c r="M601" i="2" s="1"/>
  <c r="F601" i="2"/>
  <c r="H601" i="2"/>
  <c r="E601" i="2"/>
  <c r="H1163" i="2"/>
  <c r="F1163" i="2"/>
  <c r="E1163" i="2"/>
  <c r="J1163" i="2"/>
  <c r="E2069" i="2"/>
  <c r="E1277" i="2"/>
  <c r="F1277" i="2"/>
  <c r="I1277" i="2"/>
  <c r="H1277" i="2"/>
  <c r="I49" i="2"/>
  <c r="N482" i="2"/>
  <c r="K482" i="2" s="1"/>
  <c r="L482" i="2" s="1"/>
  <c r="M482" i="2" s="1"/>
  <c r="E482" i="2"/>
  <c r="I482" i="2"/>
  <c r="N318" i="2"/>
  <c r="K318" i="2" s="1"/>
  <c r="N1572" i="2"/>
  <c r="K1572" i="2" s="1"/>
  <c r="L1572" i="2" s="1"/>
  <c r="M1572" i="2" s="1"/>
  <c r="J1572" i="2"/>
  <c r="H1572" i="2"/>
  <c r="I1572" i="2"/>
  <c r="F1572" i="2"/>
  <c r="H1231" i="2"/>
  <c r="F1231" i="2"/>
  <c r="E1231" i="2"/>
  <c r="H2398" i="2"/>
  <c r="E1356" i="2"/>
  <c r="H1256" i="2"/>
  <c r="H1115" i="2"/>
  <c r="F1115" i="2"/>
  <c r="E1115" i="2"/>
  <c r="J1115" i="2"/>
  <c r="N1115" i="2"/>
  <c r="K1115" i="2" s="1"/>
  <c r="L1115" i="2" s="1"/>
  <c r="M1115" i="2" s="1"/>
  <c r="F2274" i="2"/>
  <c r="N2253" i="2"/>
  <c r="K2253" i="2" s="1"/>
  <c r="L2253" i="2" s="1"/>
  <c r="M2253" i="2" s="1"/>
  <c r="N2283" i="2"/>
  <c r="K2283" i="2" s="1"/>
  <c r="L2283" i="2" s="1"/>
  <c r="M2283" i="2" s="1"/>
  <c r="F2401" i="2"/>
  <c r="F2325" i="2"/>
  <c r="E2075" i="2"/>
  <c r="H2149" i="2"/>
  <c r="J2064" i="2"/>
  <c r="J1785" i="2"/>
  <c r="N1769" i="2"/>
  <c r="K1769" i="2" s="1"/>
  <c r="L1769" i="2" s="1"/>
  <c r="M1769" i="2" s="1"/>
  <c r="H1943" i="2"/>
  <c r="I1702" i="2"/>
  <c r="H1694" i="2"/>
  <c r="J1703" i="2"/>
  <c r="N1467" i="2"/>
  <c r="K1467" i="2" s="1"/>
  <c r="L1467" i="2" s="1"/>
  <c r="M1467" i="2" s="1"/>
  <c r="F1381" i="2"/>
  <c r="H1228" i="2"/>
  <c r="I1231" i="2"/>
  <c r="F1460" i="2"/>
  <c r="I1115" i="2"/>
  <c r="F807" i="2"/>
  <c r="N807" i="2" s="1"/>
  <c r="K807" i="2" s="1"/>
  <c r="L807" i="2" s="1"/>
  <c r="M807" i="2" s="1"/>
  <c r="F685" i="2"/>
  <c r="N685" i="2" s="1"/>
  <c r="K685" i="2" s="1"/>
  <c r="L685" i="2" s="1"/>
  <c r="M685" i="2" s="1"/>
  <c r="J1277" i="2"/>
  <c r="N1802" i="2"/>
  <c r="K1802" i="2" s="1"/>
  <c r="L1802" i="2" s="1"/>
  <c r="M1802" i="2" s="1"/>
  <c r="H1802" i="2"/>
  <c r="F1802" i="2"/>
  <c r="N1501" i="2"/>
  <c r="K1501" i="2" s="1"/>
  <c r="L1501" i="2" s="1"/>
  <c r="M1501" i="2" s="1"/>
  <c r="H1501" i="2"/>
  <c r="N1583" i="2"/>
  <c r="K1583" i="2" s="1"/>
  <c r="L1583" i="2" s="1"/>
  <c r="M1583" i="2" s="1"/>
  <c r="F1583" i="2"/>
  <c r="H1433" i="2"/>
  <c r="N1433" i="2"/>
  <c r="K1433" i="2" s="1"/>
  <c r="L1433" i="2" s="1"/>
  <c r="M1433" i="2" s="1"/>
  <c r="E1572" i="2"/>
  <c r="N924" i="2"/>
  <c r="K924" i="2" s="1"/>
  <c r="L924" i="2" s="1"/>
  <c r="M924" i="2" s="1"/>
  <c r="H924" i="2"/>
  <c r="I924" i="2" s="1"/>
  <c r="E1538" i="2"/>
  <c r="N1538" i="2"/>
  <c r="K1538" i="2" s="1"/>
  <c r="L1538" i="2" s="1"/>
  <c r="M1538" i="2" s="1"/>
  <c r="J1538" i="2"/>
  <c r="N1565" i="2"/>
  <c r="K1565" i="2" s="1"/>
  <c r="L1565" i="2" s="1"/>
  <c r="M1565" i="2" s="1"/>
  <c r="J1565" i="2"/>
  <c r="I1565" i="2"/>
  <c r="N832" i="2"/>
  <c r="K832" i="2" s="1"/>
  <c r="L832" i="2" s="1"/>
  <c r="M832" i="2" s="1"/>
  <c r="E832" i="2"/>
  <c r="I1224" i="2"/>
  <c r="H1224" i="2"/>
  <c r="F1224" i="2"/>
  <c r="E1224" i="2"/>
  <c r="N1224" i="2"/>
  <c r="K1224" i="2" s="1"/>
  <c r="L1224" i="2" s="1"/>
  <c r="M1224" i="2" s="1"/>
  <c r="J424" i="2"/>
  <c r="I424" i="2"/>
  <c r="E424" i="2"/>
  <c r="J712" i="2"/>
  <c r="I712" i="2"/>
  <c r="H712" i="2"/>
  <c r="E712" i="2"/>
  <c r="F147" i="2"/>
  <c r="N147" i="2" s="1"/>
  <c r="K147" i="2" s="1"/>
  <c r="L147" i="2" s="1"/>
  <c r="M147" i="2" s="1"/>
  <c r="H147" i="2"/>
  <c r="I147" i="2" s="1"/>
  <c r="J711" i="2"/>
  <c r="I711" i="2"/>
  <c r="F711" i="2"/>
  <c r="E711" i="2"/>
  <c r="N1391" i="2"/>
  <c r="K1391" i="2" s="1"/>
  <c r="L1391" i="2" s="1"/>
  <c r="M1391" i="2" s="1"/>
  <c r="J1391" i="2"/>
  <c r="H1391" i="2"/>
  <c r="F1391" i="2"/>
  <c r="N1485" i="2"/>
  <c r="K1485" i="2" s="1"/>
  <c r="L1485" i="2" s="1"/>
  <c r="M1485" i="2" s="1"/>
  <c r="N1347" i="2"/>
  <c r="K1347" i="2" s="1"/>
  <c r="L1347" i="2" s="1"/>
  <c r="M1347" i="2" s="1"/>
  <c r="H1347" i="2"/>
  <c r="F1347" i="2"/>
  <c r="J714" i="2"/>
  <c r="N714" i="2"/>
  <c r="K714" i="2" s="1"/>
  <c r="L714" i="2" s="1"/>
  <c r="M714" i="2" s="1"/>
  <c r="F2025" i="2"/>
  <c r="E2025" i="2"/>
  <c r="J2025" i="2"/>
  <c r="N2025" i="2"/>
  <c r="K2025" i="2" s="1"/>
  <c r="L2025" i="2" s="1"/>
  <c r="M2025" i="2" s="1"/>
  <c r="I2025" i="2"/>
  <c r="H2025" i="2"/>
  <c r="N1784" i="2"/>
  <c r="K1784" i="2" s="1"/>
  <c r="L1784" i="2" s="1"/>
  <c r="M1784" i="2" s="1"/>
  <c r="E1784" i="2"/>
  <c r="H1784" i="2"/>
  <c r="J1885" i="2"/>
  <c r="E714" i="2"/>
  <c r="I1578" i="2"/>
  <c r="E1578" i="2"/>
  <c r="H68" i="2"/>
  <c r="I68" i="2" s="1"/>
  <c r="F68" i="2"/>
  <c r="N68" i="2" s="1"/>
  <c r="K68" i="2" s="1"/>
  <c r="J1371" i="2"/>
  <c r="I1371" i="2"/>
  <c r="N1371" i="2"/>
  <c r="K1371" i="2" s="1"/>
  <c r="L1371" i="2" s="1"/>
  <c r="M1371" i="2" s="1"/>
  <c r="J2253" i="2"/>
  <c r="E2283" i="2"/>
  <c r="N2401" i="2"/>
  <c r="K2401" i="2" s="1"/>
  <c r="L2401" i="2" s="1"/>
  <c r="M2401" i="2" s="1"/>
  <c r="N2325" i="2"/>
  <c r="K2325" i="2" s="1"/>
  <c r="L2325" i="2" s="1"/>
  <c r="M2325" i="2" s="1"/>
  <c r="H2075" i="2"/>
  <c r="I2149" i="2"/>
  <c r="I2064" i="2"/>
  <c r="H1769" i="2"/>
  <c r="J1702" i="2"/>
  <c r="I1694" i="2"/>
  <c r="N1703" i="2"/>
  <c r="K1703" i="2" s="1"/>
  <c r="L1703" i="2" s="1"/>
  <c r="M1703" i="2" s="1"/>
  <c r="J1456" i="2"/>
  <c r="E1511" i="2"/>
  <c r="F1467" i="2"/>
  <c r="J1231" i="2"/>
  <c r="E1460" i="2"/>
  <c r="E413" i="2"/>
  <c r="F800" i="2"/>
  <c r="N800" i="2" s="1"/>
  <c r="K800" i="2" s="1"/>
  <c r="J1668" i="2"/>
  <c r="N1668" i="2"/>
  <c r="K1668" i="2" s="1"/>
  <c r="L1668" i="2" s="1"/>
  <c r="M1668" i="2" s="1"/>
  <c r="H1668" i="2"/>
  <c r="H1458" i="2"/>
  <c r="F1458" i="2"/>
  <c r="I1458" i="2"/>
  <c r="J1458" i="2"/>
  <c r="E1458" i="2"/>
  <c r="N1458" i="2"/>
  <c r="K1458" i="2" s="1"/>
  <c r="L1458" i="2" s="1"/>
  <c r="M1458" i="2" s="1"/>
  <c r="N1619" i="2"/>
  <c r="K1619" i="2" s="1"/>
  <c r="L1619" i="2" s="1"/>
  <c r="M1619" i="2" s="1"/>
  <c r="I1619" i="2"/>
  <c r="J1619" i="2"/>
  <c r="N1760" i="2"/>
  <c r="K1760" i="2" s="1"/>
  <c r="L1760" i="2" s="1"/>
  <c r="M1760" i="2" s="1"/>
  <c r="E1417" i="2"/>
  <c r="F1417" i="2"/>
  <c r="N1541" i="2"/>
  <c r="K1541" i="2" s="1"/>
  <c r="L1541" i="2" s="1"/>
  <c r="M1541" i="2" s="1"/>
  <c r="H1541" i="2"/>
  <c r="F1541" i="2"/>
  <c r="I1541" i="2"/>
  <c r="J1523" i="2"/>
  <c r="I1523" i="2"/>
  <c r="N793" i="2"/>
  <c r="K793" i="2" s="1"/>
  <c r="L793" i="2" s="1"/>
  <c r="M793" i="2" s="1"/>
  <c r="H194" i="2"/>
  <c r="I194" i="2" s="1"/>
  <c r="F194" i="2"/>
  <c r="N194" i="2" s="1"/>
  <c r="K194" i="2" s="1"/>
  <c r="L194" i="2" s="1"/>
  <c r="M194" i="2" s="1"/>
  <c r="N410" i="2"/>
  <c r="K410" i="2" s="1"/>
  <c r="L410" i="2" s="1"/>
  <c r="M410" i="2" s="1"/>
  <c r="H410" i="2"/>
  <c r="J410" i="2"/>
  <c r="N2274" i="2"/>
  <c r="K2274" i="2" s="1"/>
  <c r="L2274" i="2" s="1"/>
  <c r="M2274" i="2" s="1"/>
  <c r="F1683" i="2"/>
  <c r="J1683" i="2"/>
  <c r="I1683" i="2"/>
  <c r="H1683" i="2"/>
  <c r="N112" i="2"/>
  <c r="K112" i="2" s="1"/>
  <c r="L112" i="2" s="1"/>
  <c r="M112" i="2" s="1"/>
  <c r="F112" i="2"/>
  <c r="E112" i="2"/>
  <c r="J112" i="2"/>
  <c r="I112" i="2"/>
  <c r="N2237" i="2"/>
  <c r="K2237" i="2" s="1"/>
  <c r="L2237" i="2" s="1"/>
  <c r="M2237" i="2" s="1"/>
  <c r="F2237" i="2"/>
  <c r="E2237" i="2"/>
  <c r="I2200" i="2"/>
  <c r="I1163" i="2"/>
  <c r="F850" i="2"/>
  <c r="N850" i="2" s="1"/>
  <c r="K850" i="2" s="1"/>
  <c r="E1228" i="2"/>
  <c r="F1228" i="2"/>
  <c r="F117" i="2"/>
  <c r="E117" i="2"/>
  <c r="H447" i="2"/>
  <c r="N447" i="2"/>
  <c r="K447" i="2" s="1"/>
  <c r="H2048" i="2"/>
  <c r="F1679" i="2"/>
  <c r="E1485" i="2"/>
  <c r="E1160" i="2"/>
  <c r="N1160" i="2"/>
  <c r="K1160" i="2" s="1"/>
  <c r="L1160" i="2" s="1"/>
  <c r="M1160" i="2" s="1"/>
  <c r="F1160" i="2"/>
  <c r="I1160" i="2"/>
  <c r="H1160" i="2"/>
  <c r="H1679" i="2"/>
  <c r="F125" i="2"/>
  <c r="N839" i="2"/>
  <c r="K839" i="2" s="1"/>
  <c r="L839" i="2" s="1"/>
  <c r="M839" i="2" s="1"/>
  <c r="F839" i="2"/>
  <c r="N829" i="2"/>
  <c r="K829" i="2" s="1"/>
  <c r="L829" i="2" s="1"/>
  <c r="M829" i="2" s="1"/>
  <c r="I829" i="2"/>
  <c r="F2283" i="2"/>
  <c r="I2401" i="2"/>
  <c r="E2153" i="2"/>
  <c r="J2325" i="2"/>
  <c r="N2064" i="2"/>
  <c r="K2064" i="2" s="1"/>
  <c r="L2064" i="2" s="1"/>
  <c r="M2064" i="2" s="1"/>
  <c r="I1769" i="2"/>
  <c r="J1694" i="2"/>
  <c r="N1683" i="2"/>
  <c r="K1683" i="2" s="1"/>
  <c r="L1683" i="2" s="1"/>
  <c r="M1683" i="2" s="1"/>
  <c r="F1511" i="2"/>
  <c r="H1467" i="2"/>
  <c r="I1460" i="2"/>
  <c r="E1071" i="2"/>
  <c r="F838" i="2"/>
  <c r="B81" i="2"/>
  <c r="N1724" i="2"/>
  <c r="K1724" i="2" s="1"/>
  <c r="L1724" i="2" s="1"/>
  <c r="M1724" i="2" s="1"/>
  <c r="H1724" i="2"/>
  <c r="I1647" i="2"/>
  <c r="E1647" i="2"/>
  <c r="N1913" i="2"/>
  <c r="K1913" i="2" s="1"/>
  <c r="L1913" i="2" s="1"/>
  <c r="M1913" i="2" s="1"/>
  <c r="E1913" i="2"/>
  <c r="H1913" i="2"/>
  <c r="F1913" i="2"/>
  <c r="J1913" i="2"/>
  <c r="N1478" i="2"/>
  <c r="K1478" i="2" s="1"/>
  <c r="L1478" i="2" s="1"/>
  <c r="M1478" i="2" s="1"/>
  <c r="E1478" i="2"/>
  <c r="I1478" i="2"/>
  <c r="E1553" i="2"/>
  <c r="N1553" i="2"/>
  <c r="K1553" i="2" s="1"/>
  <c r="L1553" i="2" s="1"/>
  <c r="M1553" i="2" s="1"/>
  <c r="H1553" i="2"/>
  <c r="F1553" i="2"/>
  <c r="J1553" i="2"/>
  <c r="J1050" i="2"/>
  <c r="N1050" i="2"/>
  <c r="K1050" i="2" s="1"/>
  <c r="L1050" i="2" s="1"/>
  <c r="M1050" i="2" s="1"/>
  <c r="H1050" i="2"/>
  <c r="F1050" i="2"/>
  <c r="J2274" i="2"/>
  <c r="H170" i="2"/>
  <c r="F170" i="2"/>
  <c r="E170" i="2"/>
  <c r="J1485" i="2"/>
  <c r="E1062" i="2"/>
  <c r="I1062" i="2"/>
  <c r="H1062" i="2"/>
  <c r="J1943" i="2"/>
  <c r="F1943" i="2"/>
  <c r="E1943" i="2"/>
  <c r="N1943" i="2"/>
  <c r="K1943" i="2" s="1"/>
  <c r="L1943" i="2" s="1"/>
  <c r="M1943" i="2" s="1"/>
  <c r="I19" i="2"/>
  <c r="N19" i="2"/>
  <c r="K19" i="2" s="1"/>
  <c r="L19" i="2" s="1"/>
  <c r="M19" i="2" s="1"/>
  <c r="F19" i="2"/>
  <c r="E19" i="2"/>
  <c r="J19" i="2"/>
  <c r="N1636" i="2"/>
  <c r="K1636" i="2" s="1"/>
  <c r="L1636" i="2" s="1"/>
  <c r="M1636" i="2" s="1"/>
  <c r="I1636" i="2"/>
  <c r="H1636" i="2"/>
  <c r="I1680" i="2"/>
  <c r="H1680" i="2"/>
  <c r="F1680" i="2"/>
  <c r="E1680" i="2"/>
  <c r="N1680" i="2"/>
  <c r="K1680" i="2" s="1"/>
  <c r="L1680" i="2" s="1"/>
  <c r="M1680" i="2" s="1"/>
  <c r="E1248" i="2"/>
  <c r="F1248" i="2"/>
  <c r="J1248" i="2"/>
  <c r="I1248" i="2"/>
  <c r="H1248" i="2"/>
  <c r="N1248" i="2"/>
  <c r="K1248" i="2" s="1"/>
  <c r="L1248" i="2" s="1"/>
  <c r="M1248" i="2" s="1"/>
  <c r="I1634" i="2"/>
  <c r="H1634" i="2"/>
  <c r="N1634" i="2"/>
  <c r="K1634" i="2" s="1"/>
  <c r="L1634" i="2" s="1"/>
  <c r="M1634" i="2" s="1"/>
  <c r="F1634" i="2"/>
  <c r="E1634" i="2"/>
  <c r="H1070" i="2"/>
  <c r="F1070" i="2"/>
  <c r="J1070" i="2"/>
  <c r="I1070" i="2"/>
  <c r="E1070" i="2"/>
  <c r="N1070" i="2"/>
  <c r="K1070" i="2" s="1"/>
  <c r="L1070" i="2" s="1"/>
  <c r="M1070" i="2" s="1"/>
  <c r="F2069" i="2"/>
  <c r="N767" i="2"/>
  <c r="K767" i="2" s="1"/>
  <c r="L767" i="2" s="1"/>
  <c r="M767" i="2" s="1"/>
  <c r="H767" i="2"/>
  <c r="I767" i="2" s="1"/>
  <c r="J1170" i="2"/>
  <c r="E1170" i="2"/>
  <c r="N1170" i="2"/>
  <c r="K1170" i="2" s="1"/>
  <c r="L1170" i="2" s="1"/>
  <c r="M1170" i="2" s="1"/>
  <c r="F21" i="2"/>
  <c r="N21" i="2"/>
  <c r="K21" i="2" s="1"/>
  <c r="L21" i="2" s="1"/>
  <c r="M21" i="2" s="1"/>
  <c r="H21" i="2"/>
  <c r="I21" i="2"/>
  <c r="J21" i="2"/>
  <c r="E21" i="2"/>
  <c r="N1462" i="2"/>
  <c r="K1462" i="2" s="1"/>
  <c r="L1462" i="2" s="1"/>
  <c r="M1462" i="2" s="1"/>
  <c r="H1462" i="2"/>
  <c r="F1462" i="2"/>
  <c r="E1462" i="2"/>
  <c r="J1462" i="2"/>
  <c r="H1265" i="2"/>
  <c r="N1265" i="2"/>
  <c r="K1265" i="2" s="1"/>
  <c r="L1265" i="2" s="1"/>
  <c r="M1265" i="2" s="1"/>
  <c r="F1265" i="2"/>
  <c r="E1265" i="2"/>
  <c r="J1265" i="2"/>
  <c r="E1742" i="2"/>
  <c r="F1742" i="2"/>
  <c r="H1742" i="2"/>
  <c r="J1742" i="2"/>
  <c r="I1742" i="2"/>
  <c r="J1162" i="2"/>
  <c r="I1162" i="2"/>
  <c r="F1162" i="2"/>
  <c r="E1162" i="2"/>
  <c r="H1162" i="2"/>
  <c r="E2274" i="2"/>
  <c r="F2153" i="2"/>
  <c r="H2155" i="2"/>
  <c r="N2200" i="2"/>
  <c r="K2200" i="2" s="1"/>
  <c r="L2200" i="2" s="1"/>
  <c r="M2200" i="2" s="1"/>
  <c r="E2325" i="2"/>
  <c r="J1769" i="2"/>
  <c r="E1683" i="2"/>
  <c r="N1499" i="2"/>
  <c r="K1499" i="2" s="1"/>
  <c r="L1499" i="2" s="1"/>
  <c r="M1499" i="2" s="1"/>
  <c r="I1170" i="2"/>
  <c r="E1371" i="2"/>
  <c r="F828" i="2"/>
  <c r="N1203" i="2"/>
  <c r="K1203" i="2" s="1"/>
  <c r="L1203" i="2" s="1"/>
  <c r="M1203" i="2" s="1"/>
  <c r="F1249" i="2"/>
  <c r="F1071" i="2"/>
  <c r="I1265" i="2"/>
  <c r="H413" i="2"/>
  <c r="N346" i="2"/>
  <c r="K346" i="2" s="1"/>
  <c r="L346" i="2" s="1"/>
  <c r="M346" i="2" s="1"/>
  <c r="J49" i="2"/>
  <c r="E227" i="2"/>
  <c r="I1691" i="2"/>
  <c r="H1691" i="2"/>
  <c r="F1691" i="2"/>
  <c r="E1691" i="2"/>
  <c r="N1691" i="2"/>
  <c r="K1691" i="2" s="1"/>
  <c r="L1691" i="2" s="1"/>
  <c r="M1691" i="2" s="1"/>
  <c r="E1508" i="2"/>
  <c r="J1508" i="2"/>
  <c r="H1525" i="2"/>
  <c r="F1525" i="2"/>
  <c r="E1525" i="2"/>
  <c r="F1170" i="2"/>
  <c r="H567" i="2"/>
  <c r="I567" i="2" s="1"/>
  <c r="N600" i="2"/>
  <c r="K600" i="2" s="1"/>
  <c r="L600" i="2" s="1"/>
  <c r="M600" i="2" s="1"/>
  <c r="J600" i="2"/>
  <c r="I600" i="2"/>
  <c r="H600" i="2"/>
  <c r="F600" i="2"/>
  <c r="J521" i="2"/>
  <c r="I521" i="2"/>
  <c r="N1334" i="2"/>
  <c r="K1334" i="2" s="1"/>
  <c r="L1334" i="2" s="1"/>
  <c r="M1334" i="2" s="1"/>
  <c r="I1334" i="2"/>
  <c r="H1334" i="2"/>
  <c r="F1334" i="2"/>
  <c r="E1334" i="2"/>
  <c r="N173" i="2"/>
  <c r="K173" i="2" s="1"/>
  <c r="L173" i="2" s="1"/>
  <c r="M173" i="2" s="1"/>
  <c r="E173" i="2"/>
  <c r="H173" i="2"/>
  <c r="H135" i="2"/>
  <c r="I135" i="2" s="1"/>
  <c r="F135" i="2"/>
  <c r="N135" i="2" s="1"/>
  <c r="K135" i="2" s="1"/>
  <c r="N1405" i="2"/>
  <c r="K1405" i="2" s="1"/>
  <c r="L1405" i="2" s="1"/>
  <c r="M1405" i="2" s="1"/>
  <c r="I1405" i="2"/>
  <c r="I2240" i="2"/>
  <c r="H2240" i="2"/>
  <c r="F2240" i="2"/>
  <c r="J2240" i="2"/>
  <c r="N1697" i="2"/>
  <c r="K1697" i="2" s="1"/>
  <c r="L1697" i="2" s="1"/>
  <c r="M1697" i="2" s="1"/>
  <c r="N986" i="2"/>
  <c r="K986" i="2" s="1"/>
  <c r="L986" i="2" s="1"/>
  <c r="M986" i="2" s="1"/>
  <c r="I986" i="2"/>
  <c r="I1204" i="2"/>
  <c r="F1204" i="2"/>
  <c r="J228" i="2"/>
  <c r="I1758" i="2"/>
  <c r="N1018" i="2"/>
  <c r="K1018" i="2" s="1"/>
  <c r="L1018" i="2" s="1"/>
  <c r="M1018" i="2" s="1"/>
  <c r="E1018" i="2"/>
  <c r="F1751" i="2"/>
  <c r="H1751" i="2"/>
  <c r="I1751" i="2"/>
  <c r="E348" i="2"/>
  <c r="N228" i="2"/>
  <c r="K228" i="2" s="1"/>
  <c r="L228" i="2" s="1"/>
  <c r="M228" i="2" s="1"/>
  <c r="J1758" i="2"/>
  <c r="I991" i="2"/>
  <c r="J991" i="2"/>
  <c r="J348" i="2"/>
  <c r="E169" i="2"/>
  <c r="E228" i="2"/>
  <c r="J1632" i="2"/>
  <c r="I1632" i="2"/>
  <c r="E1753" i="2"/>
  <c r="N1753" i="2"/>
  <c r="K1753" i="2" s="1"/>
  <c r="L1753" i="2" s="1"/>
  <c r="M1753" i="2" s="1"/>
  <c r="N2280" i="2"/>
  <c r="K2280" i="2" s="1"/>
  <c r="L2280" i="2" s="1"/>
  <c r="M2280" i="2" s="1"/>
  <c r="E2280" i="2"/>
  <c r="N2238" i="2"/>
  <c r="K2238" i="2" s="1"/>
  <c r="L2238" i="2" s="1"/>
  <c r="M2238" i="2" s="1"/>
  <c r="F2238" i="2"/>
  <c r="H348" i="2"/>
  <c r="J225" i="2"/>
  <c r="I84" i="2"/>
  <c r="F169" i="2"/>
  <c r="H240" i="2"/>
  <c r="F228" i="2"/>
  <c r="H1188" i="2"/>
  <c r="E391" i="2"/>
  <c r="I483" i="2"/>
  <c r="H2260" i="2"/>
  <c r="N2260" i="2"/>
  <c r="K2260" i="2" s="1"/>
  <c r="L2260" i="2" s="1"/>
  <c r="M2260" i="2" s="1"/>
  <c r="E2260" i="2"/>
  <c r="I1123" i="2"/>
  <c r="H1123" i="2"/>
  <c r="J1606" i="2"/>
  <c r="F1606" i="2"/>
  <c r="N756" i="2"/>
  <c r="K756" i="2" s="1"/>
  <c r="L756" i="2" s="1"/>
  <c r="M756" i="2" s="1"/>
  <c r="E547" i="2"/>
  <c r="H169" i="2"/>
  <c r="I240" i="2"/>
  <c r="J986" i="2"/>
  <c r="E721" i="2"/>
  <c r="N721" i="2"/>
  <c r="K721" i="2" s="1"/>
  <c r="L721" i="2" s="1"/>
  <c r="M721" i="2" s="1"/>
  <c r="F1739" i="2"/>
  <c r="E1739" i="2"/>
  <c r="I1783" i="2"/>
  <c r="J1783" i="2"/>
  <c r="N547" i="2"/>
  <c r="K547" i="2" s="1"/>
  <c r="L547" i="2" s="1"/>
  <c r="M547" i="2" s="1"/>
  <c r="I169" i="2"/>
  <c r="J240" i="2"/>
  <c r="H683" i="2"/>
  <c r="I683" i="2" s="1"/>
  <c r="N220" i="2"/>
  <c r="K220" i="2" s="1"/>
  <c r="L220" i="2" s="1"/>
  <c r="M220" i="2" s="1"/>
  <c r="N240" i="2"/>
  <c r="K240" i="2" s="1"/>
  <c r="L240" i="2" s="1"/>
  <c r="M240" i="2" s="1"/>
  <c r="N2402" i="2"/>
  <c r="K2402" i="2" s="1"/>
  <c r="L2402" i="2" s="1"/>
  <c r="M2402" i="2" s="1"/>
  <c r="F1159" i="2"/>
  <c r="E1159" i="2"/>
  <c r="N1218" i="2"/>
  <c r="K1218" i="2" s="1"/>
  <c r="L1218" i="2" s="1"/>
  <c r="M1218" i="2" s="1"/>
  <c r="F1218" i="2"/>
  <c r="F79" i="2"/>
  <c r="N79" i="2" s="1"/>
  <c r="K79" i="2" s="1"/>
  <c r="L79" i="2" s="1"/>
  <c r="M79" i="2" s="1"/>
  <c r="H79" i="2"/>
  <c r="I79" i="2" s="1"/>
  <c r="I603" i="2"/>
  <c r="J603" i="2"/>
  <c r="H603" i="2"/>
  <c r="E603" i="2"/>
  <c r="N603" i="2"/>
  <c r="K603" i="2" s="1"/>
  <c r="L603" i="2" s="1"/>
  <c r="M603" i="2" s="1"/>
  <c r="E576" i="2"/>
  <c r="N576" i="2"/>
  <c r="K576" i="2" s="1"/>
  <c r="L576" i="2" s="1"/>
  <c r="M576" i="2" s="1"/>
  <c r="F576" i="2"/>
  <c r="J576" i="2"/>
  <c r="I576" i="2"/>
  <c r="H576" i="2"/>
  <c r="E520" i="2"/>
  <c r="N520" i="2"/>
  <c r="K520" i="2" s="1"/>
  <c r="L520" i="2" s="1"/>
  <c r="M520" i="2" s="1"/>
  <c r="I520" i="2"/>
  <c r="F520" i="2"/>
  <c r="J520" i="2"/>
  <c r="N1379" i="2"/>
  <c r="K1379" i="2" s="1"/>
  <c r="L1379" i="2" s="1"/>
  <c r="M1379" i="2" s="1"/>
  <c r="I1379" i="2"/>
  <c r="J1379" i="2"/>
  <c r="H1379" i="2"/>
  <c r="F1379" i="2"/>
  <c r="N168" i="2"/>
  <c r="K168" i="2" s="1"/>
  <c r="L168" i="2" s="1"/>
  <c r="M168" i="2" s="1"/>
  <c r="J168" i="2"/>
  <c r="I168" i="2"/>
  <c r="H168" i="2"/>
  <c r="F168" i="2"/>
  <c r="E168" i="2"/>
  <c r="K1527" i="2"/>
  <c r="L1527" i="2" s="1"/>
  <c r="M1527" i="2" s="1"/>
  <c r="K1005" i="2"/>
  <c r="L1005" i="2" s="1"/>
  <c r="M1005" i="2" s="1"/>
  <c r="K2370" i="2"/>
  <c r="L2370" i="2" s="1"/>
  <c r="M2370" i="2" s="1"/>
  <c r="K1659" i="2"/>
  <c r="L1659" i="2" s="1"/>
  <c r="M1659" i="2" s="1"/>
  <c r="K586" i="2"/>
  <c r="L586" i="2" s="1"/>
  <c r="M586" i="2" s="1"/>
  <c r="K1560" i="2"/>
  <c r="L1560" i="2" s="1"/>
  <c r="M1560" i="2" s="1"/>
  <c r="K1605" i="2"/>
  <c r="L1605" i="2" s="1"/>
  <c r="M1605" i="2" s="1"/>
  <c r="K1804" i="2"/>
  <c r="L1804" i="2" s="1"/>
  <c r="M1804" i="2" s="1"/>
  <c r="K777" i="2"/>
  <c r="L777" i="2" s="1"/>
  <c r="M777" i="2" s="1"/>
  <c r="K774" i="2"/>
  <c r="L774" i="2" s="1"/>
  <c r="M774" i="2" s="1"/>
  <c r="K1785" i="2"/>
  <c r="L1785" i="2" s="1"/>
  <c r="M1785" i="2" s="1"/>
  <c r="K994" i="2"/>
  <c r="L994" i="2" s="1"/>
  <c r="M994" i="2" s="1"/>
  <c r="K99" i="2"/>
  <c r="L99" i="2" s="1"/>
  <c r="M99" i="2" s="1"/>
  <c r="N2146" i="2"/>
  <c r="K2146" i="2" s="1"/>
  <c r="L2146" i="2" s="1"/>
  <c r="M2146" i="2" s="1"/>
  <c r="E2146" i="2"/>
  <c r="I2146" i="2"/>
  <c r="F2146" i="2"/>
  <c r="F30" i="2"/>
  <c r="N30" i="2" s="1"/>
  <c r="K30" i="2" s="1"/>
  <c r="L30" i="2" s="1"/>
  <c r="M30" i="2" s="1"/>
  <c r="H30" i="2"/>
  <c r="I30" i="2" s="1"/>
  <c r="F23" i="2"/>
  <c r="E23" i="2"/>
  <c r="J23" i="2"/>
  <c r="H23" i="2"/>
  <c r="N23" i="2"/>
  <c r="K23" i="2" s="1"/>
  <c r="L23" i="2" s="1"/>
  <c r="M23" i="2" s="1"/>
  <c r="K2286" i="2"/>
  <c r="L2286" i="2" s="1"/>
  <c r="M2286" i="2" s="1"/>
  <c r="F2159" i="2"/>
  <c r="K1976" i="2"/>
  <c r="L1976" i="2" s="1"/>
  <c r="M1976" i="2" s="1"/>
  <c r="K1194" i="2"/>
  <c r="L1194" i="2" s="1"/>
  <c r="M1194" i="2" s="1"/>
  <c r="E1372" i="2"/>
  <c r="E1351" i="2"/>
  <c r="I1218" i="2"/>
  <c r="J1503" i="2"/>
  <c r="I1503" i="2"/>
  <c r="H1503" i="2"/>
  <c r="F1503" i="2"/>
  <c r="E1503" i="2"/>
  <c r="F1324" i="2"/>
  <c r="E1324" i="2"/>
  <c r="I1324" i="2"/>
  <c r="H1324" i="2"/>
  <c r="I1260" i="2"/>
  <c r="N1260" i="2"/>
  <c r="K1260" i="2" s="1"/>
  <c r="L1260" i="2" s="1"/>
  <c r="M1260" i="2" s="1"/>
  <c r="H1260" i="2"/>
  <c r="J1260" i="2"/>
  <c r="F1260" i="2"/>
  <c r="E1260" i="2"/>
  <c r="H150" i="2"/>
  <c r="I150" i="2" s="1"/>
  <c r="N150" i="2"/>
  <c r="K150" i="2" s="1"/>
  <c r="L150" i="2" s="1"/>
  <c r="M150" i="2" s="1"/>
  <c r="N139" i="2"/>
  <c r="K139" i="2" s="1"/>
  <c r="L139" i="2" s="1"/>
  <c r="M139" i="2" s="1"/>
  <c r="H139" i="2"/>
  <c r="I139" i="2" s="1"/>
  <c r="J1380" i="2"/>
  <c r="N593" i="2"/>
  <c r="K593" i="2" s="1"/>
  <c r="L593" i="2" s="1"/>
  <c r="M593" i="2" s="1"/>
  <c r="F522" i="2"/>
  <c r="N1202" i="2"/>
  <c r="K1202" i="2" s="1"/>
  <c r="L1202" i="2" s="1"/>
  <c r="M1202" i="2" s="1"/>
  <c r="I1202" i="2"/>
  <c r="E1202" i="2"/>
  <c r="H1202" i="2"/>
  <c r="H948" i="2"/>
  <c r="E948" i="2"/>
  <c r="J948" i="2"/>
  <c r="H965" i="2"/>
  <c r="F965" i="2"/>
  <c r="J1543" i="2"/>
  <c r="H1543" i="2"/>
  <c r="H810" i="2"/>
  <c r="I810" i="2" s="1"/>
  <c r="F810" i="2"/>
  <c r="N810" i="2" s="1"/>
  <c r="K810" i="2" s="1"/>
  <c r="L810" i="2" s="1"/>
  <c r="M810" i="2" s="1"/>
  <c r="H604" i="2"/>
  <c r="I604" i="2"/>
  <c r="F604" i="2"/>
  <c r="J604" i="2"/>
  <c r="N604" i="2"/>
  <c r="K604" i="2" s="1"/>
  <c r="L604" i="2" s="1"/>
  <c r="M604" i="2" s="1"/>
  <c r="J1335" i="2"/>
  <c r="I1335" i="2"/>
  <c r="H1335" i="2"/>
  <c r="F1335" i="2"/>
  <c r="E1335" i="2"/>
  <c r="N1335" i="2"/>
  <c r="K1335" i="2" s="1"/>
  <c r="L1335" i="2" s="1"/>
  <c r="M1335" i="2" s="1"/>
  <c r="N179" i="2"/>
  <c r="K179" i="2" s="1"/>
  <c r="L179" i="2" s="1"/>
  <c r="M179" i="2" s="1"/>
  <c r="J179" i="2"/>
  <c r="F179" i="2"/>
  <c r="E179" i="2"/>
  <c r="I179" i="2"/>
  <c r="H179" i="2"/>
  <c r="H140" i="2"/>
  <c r="I140" i="2" s="1"/>
  <c r="F140" i="2"/>
  <c r="N140" i="2" s="1"/>
  <c r="K140" i="2" s="1"/>
  <c r="K2117" i="2"/>
  <c r="L2117" i="2" s="1"/>
  <c r="M2117" i="2" s="1"/>
  <c r="K2165" i="2"/>
  <c r="L2165" i="2" s="1"/>
  <c r="M2165" i="2" s="1"/>
  <c r="K2227" i="2"/>
  <c r="L2227" i="2" s="1"/>
  <c r="M2227" i="2" s="1"/>
  <c r="K2096" i="2"/>
  <c r="L2096" i="2" s="1"/>
  <c r="M2096" i="2" s="1"/>
  <c r="F2095" i="2"/>
  <c r="K1908" i="2"/>
  <c r="L1908" i="2" s="1"/>
  <c r="M1908" i="2" s="1"/>
  <c r="K1775" i="2"/>
  <c r="L1775" i="2" s="1"/>
  <c r="M1775" i="2" s="1"/>
  <c r="J2093" i="2"/>
  <c r="H1898" i="2"/>
  <c r="K1664" i="2"/>
  <c r="L1664" i="2" s="1"/>
  <c r="M1664" i="2" s="1"/>
  <c r="J1607" i="2"/>
  <c r="E1864" i="2"/>
  <c r="F1621" i="2"/>
  <c r="N1457" i="2"/>
  <c r="K1457" i="2" s="1"/>
  <c r="L1457" i="2" s="1"/>
  <c r="M1457" i="2" s="1"/>
  <c r="F1772" i="2"/>
  <c r="E1379" i="2"/>
  <c r="F1202" i="2"/>
  <c r="K1669" i="2"/>
  <c r="L1669" i="2" s="1"/>
  <c r="M1669" i="2" s="1"/>
  <c r="N1372" i="2"/>
  <c r="K1372" i="2" s="1"/>
  <c r="L1372" i="2" s="1"/>
  <c r="M1372" i="2" s="1"/>
  <c r="K1263" i="2"/>
  <c r="L1263" i="2" s="1"/>
  <c r="M1263" i="2" s="1"/>
  <c r="K947" i="2"/>
  <c r="L947" i="2" s="1"/>
  <c r="M947" i="2" s="1"/>
  <c r="K183" i="2"/>
  <c r="L183" i="2" s="1"/>
  <c r="M183" i="2" s="1"/>
  <c r="J522" i="2"/>
  <c r="I601" i="2"/>
  <c r="K1025" i="2"/>
  <c r="L1025" i="2" s="1"/>
  <c r="M1025" i="2" s="1"/>
  <c r="E360" i="2"/>
  <c r="H822" i="2"/>
  <c r="N822" i="2"/>
  <c r="K822" i="2" s="1"/>
  <c r="L822" i="2" s="1"/>
  <c r="M822" i="2" s="1"/>
  <c r="J1517" i="2"/>
  <c r="I1517" i="2"/>
  <c r="N830" i="2"/>
  <c r="K830" i="2" s="1"/>
  <c r="L830" i="2" s="1"/>
  <c r="M830" i="2" s="1"/>
  <c r="F830" i="2"/>
  <c r="J349" i="2"/>
  <c r="I349" i="2"/>
  <c r="F617" i="2"/>
  <c r="N617" i="2" s="1"/>
  <c r="K617" i="2" s="1"/>
  <c r="F571" i="2"/>
  <c r="N571" i="2" s="1"/>
  <c r="K571" i="2" s="1"/>
  <c r="N1356" i="2"/>
  <c r="K1356" i="2" s="1"/>
  <c r="L1356" i="2" s="1"/>
  <c r="M1356" i="2" s="1"/>
  <c r="J1356" i="2"/>
  <c r="I1356" i="2"/>
  <c r="H1356" i="2"/>
  <c r="B2353" i="2"/>
  <c r="N359" i="2"/>
  <c r="K359" i="2" s="1"/>
  <c r="L359" i="2" s="1"/>
  <c r="M359" i="2" s="1"/>
  <c r="E359" i="2"/>
  <c r="J359" i="2"/>
  <c r="H359" i="2"/>
  <c r="J418" i="2"/>
  <c r="H418" i="2"/>
  <c r="N418" i="2"/>
  <c r="K418" i="2" s="1"/>
  <c r="L418" i="2" s="1"/>
  <c r="M418" i="2" s="1"/>
  <c r="H628" i="2"/>
  <c r="I628" i="2" s="1"/>
  <c r="H2242" i="2"/>
  <c r="J2076" i="2"/>
  <c r="I2095" i="2"/>
  <c r="K2005" i="2"/>
  <c r="L2005" i="2" s="1"/>
  <c r="M2005" i="2" s="1"/>
  <c r="N1754" i="2"/>
  <c r="K1754" i="2" s="1"/>
  <c r="L1754" i="2" s="1"/>
  <c r="M1754" i="2" s="1"/>
  <c r="K1922" i="2"/>
  <c r="L1922" i="2" s="1"/>
  <c r="M1922" i="2" s="1"/>
  <c r="K1972" i="2"/>
  <c r="L1972" i="2" s="1"/>
  <c r="M1972" i="2" s="1"/>
  <c r="E1898" i="2"/>
  <c r="E1607" i="2"/>
  <c r="K1986" i="2"/>
  <c r="L1986" i="2" s="1"/>
  <c r="M1986" i="2" s="1"/>
  <c r="I1621" i="2"/>
  <c r="K1828" i="2"/>
  <c r="L1828" i="2" s="1"/>
  <c r="M1828" i="2" s="1"/>
  <c r="F1355" i="2"/>
  <c r="E1414" i="2"/>
  <c r="E1543" i="2"/>
  <c r="K1178" i="2"/>
  <c r="L1178" i="2" s="1"/>
  <c r="M1178" i="2" s="1"/>
  <c r="E593" i="2"/>
  <c r="F577" i="2"/>
  <c r="H149" i="2"/>
  <c r="I149" i="2" s="1"/>
  <c r="H360" i="2"/>
  <c r="B54" i="2"/>
  <c r="B2404" i="2"/>
  <c r="J2188" i="2"/>
  <c r="E2188" i="2"/>
  <c r="H931" i="2"/>
  <c r="I931" i="2" s="1"/>
  <c r="F931" i="2"/>
  <c r="N931" i="2" s="1"/>
  <c r="K931" i="2" s="1"/>
  <c r="N1519" i="2"/>
  <c r="K1519" i="2" s="1"/>
  <c r="L1519" i="2" s="1"/>
  <c r="M1519" i="2" s="1"/>
  <c r="F1519" i="2"/>
  <c r="J1519" i="2"/>
  <c r="H811" i="2"/>
  <c r="I811" i="2" s="1"/>
  <c r="F811" i="2"/>
  <c r="N811" i="2" s="1"/>
  <c r="K811" i="2" s="1"/>
  <c r="J1357" i="2"/>
  <c r="E1357" i="2"/>
  <c r="N1357" i="2"/>
  <c r="K1357" i="2" s="1"/>
  <c r="L1357" i="2" s="1"/>
  <c r="M1357" i="2" s="1"/>
  <c r="H640" i="2"/>
  <c r="F640" i="2"/>
  <c r="N640" i="2" s="1"/>
  <c r="K640" i="2" s="1"/>
  <c r="L640" i="2" s="1"/>
  <c r="M640" i="2" s="1"/>
  <c r="E48" i="2"/>
  <c r="N48" i="2"/>
  <c r="K48" i="2" s="1"/>
  <c r="L48" i="2" s="1"/>
  <c r="M48" i="2" s="1"/>
  <c r="F789" i="2"/>
  <c r="N789" i="2" s="1"/>
  <c r="K789" i="2" s="1"/>
  <c r="L789" i="2" s="1"/>
  <c r="M789" i="2" s="1"/>
  <c r="N1544" i="2"/>
  <c r="K1544" i="2" s="1"/>
  <c r="L1544" i="2" s="1"/>
  <c r="M1544" i="2" s="1"/>
  <c r="E1544" i="2"/>
  <c r="F791" i="2"/>
  <c r="N791" i="2" s="1"/>
  <c r="K791" i="2" s="1"/>
  <c r="L791" i="2" s="1"/>
  <c r="M791" i="2" s="1"/>
  <c r="H202" i="2"/>
  <c r="I202" i="2" s="1"/>
  <c r="F202" i="2"/>
  <c r="N202" i="2" s="1"/>
  <c r="K202" i="2" s="1"/>
  <c r="N376" i="2"/>
  <c r="K376" i="2" s="1"/>
  <c r="L376" i="2" s="1"/>
  <c r="M376" i="2" s="1"/>
  <c r="H321" i="2"/>
  <c r="I321" i="2" s="1"/>
  <c r="N204" i="2"/>
  <c r="K204" i="2" s="1"/>
  <c r="L204" i="2" s="1"/>
  <c r="M204" i="2" s="1"/>
  <c r="H204" i="2"/>
  <c r="I204" i="2" s="1"/>
  <c r="H2146" i="2"/>
  <c r="K2139" i="2"/>
  <c r="L2139" i="2" s="1"/>
  <c r="M2139" i="2" s="1"/>
  <c r="K2049" i="2"/>
  <c r="L2049" i="2" s="1"/>
  <c r="M2049" i="2" s="1"/>
  <c r="I1898" i="2"/>
  <c r="K1526" i="2"/>
  <c r="L1526" i="2" s="1"/>
  <c r="M1526" i="2" s="1"/>
  <c r="K1725" i="2"/>
  <c r="L1725" i="2" s="1"/>
  <c r="M1725" i="2" s="1"/>
  <c r="J1621" i="2"/>
  <c r="J1202" i="2"/>
  <c r="K1434" i="2"/>
  <c r="L1434" i="2" s="1"/>
  <c r="M1434" i="2" s="1"/>
  <c r="K1231" i="2"/>
  <c r="L1231" i="2" s="1"/>
  <c r="M1231" i="2" s="1"/>
  <c r="K1642" i="2"/>
  <c r="L1642" i="2" s="1"/>
  <c r="M1642" i="2" s="1"/>
  <c r="K842" i="2"/>
  <c r="L842" i="2" s="1"/>
  <c r="M842" i="2" s="1"/>
  <c r="N1543" i="2"/>
  <c r="K1543" i="2" s="1"/>
  <c r="L1543" i="2" s="1"/>
  <c r="M1543" i="2" s="1"/>
  <c r="E604" i="2"/>
  <c r="K1037" i="2"/>
  <c r="H48" i="2"/>
  <c r="F1413" i="2"/>
  <c r="E1413" i="2"/>
  <c r="J1413" i="2"/>
  <c r="I1413" i="2"/>
  <c r="H1413" i="2"/>
  <c r="H83" i="2"/>
  <c r="I83" i="2" s="1"/>
  <c r="F83" i="2"/>
  <c r="N83" i="2" s="1"/>
  <c r="K83" i="2" s="1"/>
  <c r="J336" i="2"/>
  <c r="I336" i="2"/>
  <c r="E336" i="2"/>
  <c r="I378" i="2"/>
  <c r="J394" i="2"/>
  <c r="I394" i="2"/>
  <c r="E394" i="2"/>
  <c r="H394" i="2"/>
  <c r="N394" i="2"/>
  <c r="K394" i="2" s="1"/>
  <c r="L394" i="2" s="1"/>
  <c r="M394" i="2" s="1"/>
  <c r="I123" i="2"/>
  <c r="H123" i="2"/>
  <c r="E123" i="2"/>
  <c r="N123" i="2"/>
  <c r="K123" i="2" s="1"/>
  <c r="L123" i="2" s="1"/>
  <c r="M123" i="2" s="1"/>
  <c r="K606" i="2"/>
  <c r="L606" i="2" s="1"/>
  <c r="M606" i="2" s="1"/>
  <c r="N598" i="2"/>
  <c r="K598" i="2" s="1"/>
  <c r="L598" i="2" s="1"/>
  <c r="M598" i="2" s="1"/>
  <c r="I598" i="2"/>
  <c r="H598" i="2"/>
  <c r="F598" i="2"/>
  <c r="E598" i="2"/>
  <c r="N1337" i="2"/>
  <c r="K1337" i="2" s="1"/>
  <c r="L1337" i="2" s="1"/>
  <c r="M1337" i="2" s="1"/>
  <c r="J1337" i="2"/>
  <c r="H1337" i="2"/>
  <c r="F1337" i="2"/>
  <c r="E1337" i="2"/>
  <c r="I1337" i="2"/>
  <c r="E1350" i="2"/>
  <c r="J1350" i="2"/>
  <c r="N2167" i="2"/>
  <c r="K2167" i="2" s="1"/>
  <c r="L2167" i="2" s="1"/>
  <c r="M2167" i="2" s="1"/>
  <c r="I2167" i="2"/>
  <c r="F2167" i="2"/>
  <c r="J2167" i="2"/>
  <c r="K2153" i="2"/>
  <c r="L2153" i="2" s="1"/>
  <c r="M2153" i="2" s="1"/>
  <c r="F46" i="2"/>
  <c r="E46" i="2"/>
  <c r="N46" i="2"/>
  <c r="K46" i="2" s="1"/>
  <c r="L46" i="2" s="1"/>
  <c r="M46" i="2" s="1"/>
  <c r="H46" i="2"/>
  <c r="N2242" i="2"/>
  <c r="K2242" i="2" s="1"/>
  <c r="L2242" i="2" s="1"/>
  <c r="M2242" i="2" s="1"/>
  <c r="F2242" i="2"/>
  <c r="J1355" i="2"/>
  <c r="I1355" i="2"/>
  <c r="N538" i="2"/>
  <c r="K538" i="2" s="1"/>
  <c r="L538" i="2" s="1"/>
  <c r="M538" i="2" s="1"/>
  <c r="J538" i="2"/>
  <c r="H1754" i="2"/>
  <c r="K1016" i="2"/>
  <c r="L1016" i="2" s="1"/>
  <c r="M1016" i="2" s="1"/>
  <c r="F1543" i="2"/>
  <c r="J1414" i="2"/>
  <c r="I1414" i="2"/>
  <c r="F1414" i="2"/>
  <c r="N1365" i="2"/>
  <c r="K1365" i="2" s="1"/>
  <c r="L1365" i="2" s="1"/>
  <c r="M1365" i="2" s="1"/>
  <c r="J1365" i="2"/>
  <c r="E2242" i="2"/>
  <c r="K2148" i="2"/>
  <c r="L2148" i="2" s="1"/>
  <c r="M2148" i="2" s="1"/>
  <c r="K2288" i="2"/>
  <c r="L2288" i="2" s="1"/>
  <c r="M2288" i="2" s="1"/>
  <c r="K2217" i="2"/>
  <c r="L2217" i="2" s="1"/>
  <c r="M2217" i="2" s="1"/>
  <c r="K2091" i="2"/>
  <c r="L2091" i="2" s="1"/>
  <c r="M2091" i="2" s="1"/>
  <c r="K1791" i="2"/>
  <c r="L1791" i="2" s="1"/>
  <c r="M1791" i="2" s="1"/>
  <c r="F1346" i="2"/>
  <c r="K1233" i="2"/>
  <c r="L1233" i="2" s="1"/>
  <c r="M1233" i="2" s="1"/>
  <c r="F948" i="2"/>
  <c r="H830" i="2"/>
  <c r="I1543" i="2"/>
  <c r="I419" i="2"/>
  <c r="H419" i="2"/>
  <c r="F538" i="2"/>
  <c r="K956" i="2"/>
  <c r="L956" i="2" s="1"/>
  <c r="M956" i="2" s="1"/>
  <c r="I538" i="2"/>
  <c r="J48" i="2"/>
  <c r="J2395" i="2"/>
  <c r="F2395" i="2"/>
  <c r="J1802" i="2"/>
  <c r="I1802" i="2"/>
  <c r="F2231" i="2"/>
  <c r="J2231" i="2"/>
  <c r="I2231" i="2"/>
  <c r="H2231" i="2"/>
  <c r="N2231" i="2"/>
  <c r="K2231" i="2" s="1"/>
  <c r="L2231" i="2" s="1"/>
  <c r="M2231" i="2" s="1"/>
  <c r="N1415" i="2"/>
  <c r="K1415" i="2" s="1"/>
  <c r="L1415" i="2" s="1"/>
  <c r="M1415" i="2" s="1"/>
  <c r="H1415" i="2"/>
  <c r="F1415" i="2"/>
  <c r="E1415" i="2"/>
  <c r="H922" i="2"/>
  <c r="I922" i="2" s="1"/>
  <c r="J1537" i="2"/>
  <c r="F1537" i="2"/>
  <c r="E1537" i="2"/>
  <c r="I1537" i="2"/>
  <c r="N1539" i="2"/>
  <c r="K1539" i="2" s="1"/>
  <c r="L1539" i="2" s="1"/>
  <c r="M1539" i="2" s="1"/>
  <c r="E1539" i="2"/>
  <c r="H1539" i="2"/>
  <c r="F812" i="2"/>
  <c r="N812" i="2" s="1"/>
  <c r="K812" i="2" s="1"/>
  <c r="J784" i="2"/>
  <c r="H784" i="2"/>
  <c r="E784" i="2"/>
  <c r="I784" i="2"/>
  <c r="J583" i="2"/>
  <c r="I583" i="2"/>
  <c r="F583" i="2"/>
  <c r="E583" i="2"/>
  <c r="N583" i="2"/>
  <c r="K583" i="2" s="1"/>
  <c r="L583" i="2" s="1"/>
  <c r="M583" i="2" s="1"/>
  <c r="F81" i="2"/>
  <c r="N81" i="2" s="1"/>
  <c r="K81" i="2" s="1"/>
  <c r="L81" i="2" s="1"/>
  <c r="M81" i="2" s="1"/>
  <c r="H81" i="2"/>
  <c r="I81" i="2" s="1"/>
  <c r="F553" i="2"/>
  <c r="N553" i="2" s="1"/>
  <c r="K553" i="2" s="1"/>
  <c r="K1135" i="2"/>
  <c r="L1135" i="2" s="1"/>
  <c r="M1135" i="2" s="1"/>
  <c r="K1124" i="2"/>
  <c r="L1124" i="2" s="1"/>
  <c r="M1124" i="2" s="1"/>
  <c r="I658" i="2"/>
  <c r="F658" i="2"/>
  <c r="H658" i="2"/>
  <c r="E658" i="2"/>
  <c r="H641" i="2"/>
  <c r="I641" i="2" s="1"/>
  <c r="F641" i="2"/>
  <c r="N641" i="2" s="1"/>
  <c r="K641" i="2" s="1"/>
  <c r="I2132" i="2"/>
  <c r="H2132" i="2"/>
  <c r="J2132" i="2"/>
  <c r="J20" i="2"/>
  <c r="N20" i="2"/>
  <c r="K20" i="2" s="1"/>
  <c r="L20" i="2" s="1"/>
  <c r="M20" i="2" s="1"/>
  <c r="J1010" i="2"/>
  <c r="I1010" i="2"/>
  <c r="H1010" i="2"/>
  <c r="F1010" i="2"/>
  <c r="N1010" i="2"/>
  <c r="K1010" i="2" s="1"/>
  <c r="L1010" i="2" s="1"/>
  <c r="M1010" i="2" s="1"/>
  <c r="J1564" i="2"/>
  <c r="I1564" i="2"/>
  <c r="H1564" i="2"/>
  <c r="F1564" i="2"/>
  <c r="J2242" i="2"/>
  <c r="F2086" i="2"/>
  <c r="K1752" i="2"/>
  <c r="L1752" i="2" s="1"/>
  <c r="M1752" i="2" s="1"/>
  <c r="J1454" i="2"/>
  <c r="F1368" i="2"/>
  <c r="H1346" i="2"/>
  <c r="K1191" i="2"/>
  <c r="L1191" i="2" s="1"/>
  <c r="M1191" i="2" s="1"/>
  <c r="I948" i="2"/>
  <c r="K1084" i="2"/>
  <c r="L1084" i="2" s="1"/>
  <c r="M1084" i="2" s="1"/>
  <c r="F917" i="2"/>
  <c r="N917" i="2" s="1"/>
  <c r="K917" i="2" s="1"/>
  <c r="L917" i="2" s="1"/>
  <c r="M917" i="2" s="1"/>
  <c r="I359" i="2"/>
  <c r="B84" i="2"/>
  <c r="F205" i="2"/>
  <c r="N205" i="2" s="1"/>
  <c r="K205" i="2" s="1"/>
  <c r="I23" i="2"/>
  <c r="J1642" i="2"/>
  <c r="I1642" i="2"/>
  <c r="H1642" i="2"/>
  <c r="E1642" i="2"/>
  <c r="F1642" i="2"/>
  <c r="H696" i="2"/>
  <c r="I696" i="2" s="1"/>
  <c r="F696" i="2"/>
  <c r="N696" i="2" s="1"/>
  <c r="K696" i="2" s="1"/>
  <c r="N712" i="2"/>
  <c r="K712" i="2" s="1"/>
  <c r="L712" i="2" s="1"/>
  <c r="M712" i="2" s="1"/>
  <c r="F712" i="2"/>
  <c r="J387" i="2"/>
  <c r="N387" i="2"/>
  <c r="K387" i="2" s="1"/>
  <c r="L387" i="2" s="1"/>
  <c r="M387" i="2" s="1"/>
  <c r="I387" i="2"/>
  <c r="H387" i="2"/>
  <c r="E110" i="2"/>
  <c r="J110" i="2"/>
  <c r="H110" i="2"/>
  <c r="F110" i="2"/>
  <c r="E334" i="2"/>
  <c r="J334" i="2"/>
  <c r="I334" i="2"/>
  <c r="N334" i="2"/>
  <c r="K334" i="2" s="1"/>
  <c r="L334" i="2" s="1"/>
  <c r="M334" i="2" s="1"/>
  <c r="H334" i="2"/>
  <c r="E574" i="2"/>
  <c r="H574" i="2"/>
  <c r="F574" i="2"/>
  <c r="N379" i="2"/>
  <c r="K379" i="2" s="1"/>
  <c r="L379" i="2" s="1"/>
  <c r="M379" i="2" s="1"/>
  <c r="H379" i="2"/>
  <c r="I379" i="2" s="1"/>
  <c r="J395" i="2"/>
  <c r="E395" i="2"/>
  <c r="J591" i="2"/>
  <c r="I591" i="2"/>
  <c r="H546" i="2"/>
  <c r="I546" i="2"/>
  <c r="N546" i="2"/>
  <c r="K546" i="2" s="1"/>
  <c r="L546" i="2" s="1"/>
  <c r="M546" i="2" s="1"/>
  <c r="J546" i="2"/>
  <c r="N108" i="2"/>
  <c r="K108" i="2" s="1"/>
  <c r="L108" i="2" s="1"/>
  <c r="M108" i="2" s="1"/>
  <c r="E108" i="2"/>
  <c r="J108" i="2"/>
  <c r="I108" i="2"/>
  <c r="H108" i="2"/>
  <c r="F108" i="2"/>
  <c r="J2117" i="2"/>
  <c r="E2117" i="2"/>
  <c r="F2117" i="2"/>
  <c r="I2117" i="2"/>
  <c r="H2117" i="2"/>
  <c r="F827" i="2"/>
  <c r="E827" i="2"/>
  <c r="N827" i="2"/>
  <c r="K827" i="2" s="1"/>
  <c r="L827" i="2" s="1"/>
  <c r="M827" i="2" s="1"/>
  <c r="J827" i="2"/>
  <c r="J593" i="2"/>
  <c r="H593" i="2"/>
  <c r="F593" i="2"/>
  <c r="E1355" i="2"/>
  <c r="K1682" i="2"/>
  <c r="L1682" i="2" s="1"/>
  <c r="M1682" i="2" s="1"/>
  <c r="K1720" i="2"/>
  <c r="L1720" i="2" s="1"/>
  <c r="M1720" i="2" s="1"/>
  <c r="J1772" i="2"/>
  <c r="I1772" i="2"/>
  <c r="F111" i="2"/>
  <c r="I111" i="2"/>
  <c r="H111" i="2"/>
  <c r="E111" i="2"/>
  <c r="J111" i="2"/>
  <c r="J1364" i="2"/>
  <c r="E1364" i="2"/>
  <c r="H1364" i="2"/>
  <c r="F1364" i="2"/>
  <c r="I1364" i="2"/>
  <c r="K2155" i="2"/>
  <c r="L2155" i="2" s="1"/>
  <c r="M2155" i="2" s="1"/>
  <c r="F2135" i="2"/>
  <c r="I2086" i="2"/>
  <c r="K1740" i="2"/>
  <c r="L1740" i="2" s="1"/>
  <c r="M1740" i="2" s="1"/>
  <c r="I1365" i="2"/>
  <c r="H1368" i="2"/>
  <c r="N1346" i="2"/>
  <c r="K1346" i="2" s="1"/>
  <c r="L1346" i="2" s="1"/>
  <c r="M1346" i="2" s="1"/>
  <c r="N948" i="2"/>
  <c r="K948" i="2" s="1"/>
  <c r="L948" i="2" s="1"/>
  <c r="M948" i="2" s="1"/>
  <c r="H571" i="2"/>
  <c r="I571" i="2" s="1"/>
  <c r="J123" i="2"/>
  <c r="H205" i="2"/>
  <c r="I205" i="2" s="1"/>
  <c r="F2259" i="2"/>
  <c r="I2259" i="2"/>
  <c r="H2259" i="2"/>
  <c r="N2385" i="2"/>
  <c r="K2385" i="2" s="1"/>
  <c r="L2385" i="2" s="1"/>
  <c r="M2385" i="2" s="1"/>
  <c r="H2385" i="2"/>
  <c r="F2385" i="2"/>
  <c r="H2272" i="2"/>
  <c r="J2272" i="2"/>
  <c r="I2272" i="2"/>
  <c r="F1706" i="2"/>
  <c r="N1706" i="2"/>
  <c r="K1706" i="2" s="1"/>
  <c r="L1706" i="2" s="1"/>
  <c r="M1706" i="2" s="1"/>
  <c r="E1706" i="2"/>
  <c r="I1706" i="2"/>
  <c r="J1706" i="2"/>
  <c r="H1706" i="2"/>
  <c r="H1877" i="2"/>
  <c r="E1877" i="2"/>
  <c r="E1622" i="2"/>
  <c r="I1622" i="2"/>
  <c r="F1622" i="2"/>
  <c r="F669" i="2"/>
  <c r="N669" i="2" s="1"/>
  <c r="K669" i="2" s="1"/>
  <c r="F1153" i="2"/>
  <c r="N1153" i="2" s="1"/>
  <c r="K1153" i="2" s="1"/>
  <c r="L1153" i="2" s="1"/>
  <c r="M1153" i="2" s="1"/>
  <c r="E785" i="2"/>
  <c r="N785" i="2"/>
  <c r="K785" i="2" s="1"/>
  <c r="L785" i="2" s="1"/>
  <c r="M785" i="2" s="1"/>
  <c r="I785" i="2"/>
  <c r="F785" i="2"/>
  <c r="E353" i="2"/>
  <c r="J353" i="2"/>
  <c r="I353" i="2"/>
  <c r="H353" i="2"/>
  <c r="F206" i="2"/>
  <c r="N206" i="2" s="1"/>
  <c r="K206" i="2" s="1"/>
  <c r="H206" i="2"/>
  <c r="I206" i="2" s="1"/>
  <c r="I134" i="2"/>
  <c r="E159" i="2"/>
  <c r="N159" i="2"/>
  <c r="K159" i="2" s="1"/>
  <c r="L159" i="2" s="1"/>
  <c r="M159" i="2" s="1"/>
  <c r="H159" i="2"/>
  <c r="J159" i="2"/>
  <c r="I159" i="2"/>
  <c r="F159" i="2"/>
  <c r="N2119" i="2"/>
  <c r="K2119" i="2" s="1"/>
  <c r="L2119" i="2" s="1"/>
  <c r="M2119" i="2" s="1"/>
  <c r="I2119" i="2"/>
  <c r="F2119" i="2"/>
  <c r="J2119" i="2"/>
  <c r="K92" i="2"/>
  <c r="L92" i="2" s="1"/>
  <c r="M92" i="2" s="1"/>
  <c r="E51" i="2"/>
  <c r="J51" i="2"/>
  <c r="H51" i="2"/>
  <c r="F51" i="2"/>
  <c r="N51" i="2"/>
  <c r="K51" i="2" s="1"/>
  <c r="L51" i="2" s="1"/>
  <c r="M51" i="2" s="1"/>
  <c r="I51" i="2"/>
  <c r="I1542" i="2"/>
  <c r="J1542" i="2"/>
  <c r="F1542" i="2"/>
  <c r="E1010" i="2"/>
  <c r="N577" i="2"/>
  <c r="K577" i="2" s="1"/>
  <c r="L577" i="2" s="1"/>
  <c r="M577" i="2" s="1"/>
  <c r="I577" i="2"/>
  <c r="E577" i="2"/>
  <c r="H1380" i="2"/>
  <c r="E1380" i="2"/>
  <c r="F1380" i="2"/>
  <c r="I361" i="2"/>
  <c r="K1557" i="2"/>
  <c r="L1557" i="2" s="1"/>
  <c r="M1557" i="2" s="1"/>
  <c r="N2076" i="2"/>
  <c r="K2076" i="2" s="1"/>
  <c r="L2076" i="2" s="1"/>
  <c r="M2076" i="2" s="1"/>
  <c r="I2076" i="2"/>
  <c r="I2135" i="2"/>
  <c r="K2013" i="2"/>
  <c r="L2013" i="2" s="1"/>
  <c r="M2013" i="2" s="1"/>
  <c r="K1899" i="2"/>
  <c r="L1899" i="2" s="1"/>
  <c r="M1899" i="2" s="1"/>
  <c r="J2086" i="2"/>
  <c r="K1742" i="2"/>
  <c r="L1742" i="2" s="1"/>
  <c r="M1742" i="2" s="1"/>
  <c r="K1473" i="2"/>
  <c r="L1473" i="2" s="1"/>
  <c r="M1473" i="2" s="1"/>
  <c r="I1368" i="2"/>
  <c r="I1346" i="2"/>
  <c r="K1163" i="2"/>
  <c r="L1163" i="2" s="1"/>
  <c r="M1163" i="2" s="1"/>
  <c r="K1484" i="2"/>
  <c r="L1484" i="2" s="1"/>
  <c r="M1484" i="2" s="1"/>
  <c r="J1347" i="2"/>
  <c r="I965" i="2"/>
  <c r="N349" i="2"/>
  <c r="K349" i="2" s="1"/>
  <c r="L349" i="2" s="1"/>
  <c r="M349" i="2" s="1"/>
  <c r="H361" i="2"/>
  <c r="H827" i="2"/>
  <c r="H577" i="2"/>
  <c r="F628" i="2"/>
  <c r="N628" i="2" s="1"/>
  <c r="K628" i="2" s="1"/>
  <c r="L628" i="2" s="1"/>
  <c r="M628" i="2" s="1"/>
  <c r="F123" i="2"/>
  <c r="N2233" i="2"/>
  <c r="K2233" i="2" s="1"/>
  <c r="L2233" i="2" s="1"/>
  <c r="M2233" i="2" s="1"/>
  <c r="J2233" i="2"/>
  <c r="I2233" i="2"/>
  <c r="F2233" i="2"/>
  <c r="E2233" i="2"/>
  <c r="N2362" i="2"/>
  <c r="K2362" i="2" s="1"/>
  <c r="L2362" i="2" s="1"/>
  <c r="M2362" i="2" s="1"/>
  <c r="H2362" i="2"/>
  <c r="E2232" i="2"/>
  <c r="N2232" i="2"/>
  <c r="K2232" i="2" s="1"/>
  <c r="L2232" i="2" s="1"/>
  <c r="M2232" i="2" s="1"/>
  <c r="J1647" i="2"/>
  <c r="N1647" i="2"/>
  <c r="K1647" i="2" s="1"/>
  <c r="L1647" i="2" s="1"/>
  <c r="M1647" i="2" s="1"/>
  <c r="I1076" i="2"/>
  <c r="H1076" i="2"/>
  <c r="F1076" i="2"/>
  <c r="J1076" i="2"/>
  <c r="H751" i="2"/>
  <c r="I751" i="2" s="1"/>
  <c r="H323" i="2"/>
  <c r="I323" i="2" s="1"/>
  <c r="N323" i="2"/>
  <c r="K323" i="2" s="1"/>
  <c r="L323" i="2" s="1"/>
  <c r="M323" i="2" s="1"/>
  <c r="F196" i="2"/>
  <c r="N196" i="2" s="1"/>
  <c r="K196" i="2" s="1"/>
  <c r="L196" i="2" s="1"/>
  <c r="M196" i="2" s="1"/>
  <c r="H196" i="2"/>
  <c r="I196" i="2" s="1"/>
  <c r="N9" i="2"/>
  <c r="K9" i="2" s="1"/>
  <c r="L9" i="2" s="1"/>
  <c r="M9" i="2" s="1"/>
  <c r="B46" i="2"/>
  <c r="K1006" i="2"/>
  <c r="L1006" i="2" s="1"/>
  <c r="M1006" i="2" s="1"/>
  <c r="K2130" i="2"/>
  <c r="L2130" i="2" s="1"/>
  <c r="M2130" i="2" s="1"/>
  <c r="H50" i="2"/>
  <c r="F50" i="2"/>
  <c r="E50" i="2"/>
  <c r="N50" i="2"/>
  <c r="K50" i="2" s="1"/>
  <c r="L50" i="2" s="1"/>
  <c r="M50" i="2" s="1"/>
  <c r="J1754" i="2"/>
  <c r="I1754" i="2"/>
  <c r="F1754" i="2"/>
  <c r="F794" i="2"/>
  <c r="N794" i="2" s="1"/>
  <c r="K794" i="2" s="1"/>
  <c r="N557" i="2"/>
  <c r="K557" i="2" s="1"/>
  <c r="L557" i="2" s="1"/>
  <c r="M557" i="2" s="1"/>
  <c r="E1542" i="2"/>
  <c r="K1228" i="2"/>
  <c r="L1228" i="2" s="1"/>
  <c r="M1228" i="2" s="1"/>
  <c r="B83" i="2"/>
  <c r="I48" i="2"/>
  <c r="K1621" i="2"/>
  <c r="L1621" i="2" s="1"/>
  <c r="M1621" i="2" s="1"/>
  <c r="K1189" i="2"/>
  <c r="L1189" i="2" s="1"/>
  <c r="M1189" i="2" s="1"/>
  <c r="F73" i="2"/>
  <c r="N73" i="2" s="1"/>
  <c r="K73" i="2" s="1"/>
  <c r="H73" i="2"/>
  <c r="I73" i="2" s="1"/>
  <c r="N2135" i="2"/>
  <c r="K2135" i="2" s="1"/>
  <c r="L2135" i="2" s="1"/>
  <c r="M2135" i="2" s="1"/>
  <c r="K2075" i="2"/>
  <c r="L2075" i="2" s="1"/>
  <c r="M2075" i="2" s="1"/>
  <c r="N2086" i="2"/>
  <c r="K2086" i="2" s="1"/>
  <c r="L2086" i="2" s="1"/>
  <c r="M2086" i="2" s="1"/>
  <c r="K1777" i="2"/>
  <c r="L1777" i="2" s="1"/>
  <c r="M1777" i="2" s="1"/>
  <c r="K1685" i="2"/>
  <c r="L1685" i="2" s="1"/>
  <c r="M1685" i="2" s="1"/>
  <c r="K1510" i="2"/>
  <c r="L1510" i="2" s="1"/>
  <c r="M1510" i="2" s="1"/>
  <c r="K1830" i="2"/>
  <c r="L1830" i="2" s="1"/>
  <c r="M1830" i="2" s="1"/>
  <c r="J1346" i="2"/>
  <c r="K1332" i="2"/>
  <c r="L1332" i="2" s="1"/>
  <c r="M1332" i="2" s="1"/>
  <c r="I830" i="2"/>
  <c r="I1347" i="2"/>
  <c r="E349" i="2"/>
  <c r="I827" i="2"/>
  <c r="H538" i="2"/>
  <c r="K544" i="2"/>
  <c r="L544" i="2" s="1"/>
  <c r="M544" i="2" s="1"/>
  <c r="I1879" i="2"/>
  <c r="H1879" i="2"/>
  <c r="E1879" i="2"/>
  <c r="N2386" i="2"/>
  <c r="K2386" i="2" s="1"/>
  <c r="L2386" i="2" s="1"/>
  <c r="M2386" i="2" s="1"/>
  <c r="J2386" i="2"/>
  <c r="E2386" i="2"/>
  <c r="N2252" i="2"/>
  <c r="K2252" i="2" s="1"/>
  <c r="L2252" i="2" s="1"/>
  <c r="M2252" i="2" s="1"/>
  <c r="I2252" i="2"/>
  <c r="F1682" i="2"/>
  <c r="J1682" i="2"/>
  <c r="I1682" i="2"/>
  <c r="F1588" i="2"/>
  <c r="N1588" i="2"/>
  <c r="K1588" i="2" s="1"/>
  <c r="L1588" i="2" s="1"/>
  <c r="M1588" i="2" s="1"/>
  <c r="J1588" i="2"/>
  <c r="H1588" i="2"/>
  <c r="I1588" i="2"/>
  <c r="N1185" i="2"/>
  <c r="K1185" i="2" s="1"/>
  <c r="L1185" i="2" s="1"/>
  <c r="M1185" i="2" s="1"/>
  <c r="I1185" i="2"/>
  <c r="H1185" i="2"/>
  <c r="F1185" i="2"/>
  <c r="E1185" i="2"/>
  <c r="F1217" i="2"/>
  <c r="N1217" i="2" s="1"/>
  <c r="K1217" i="2" s="1"/>
  <c r="H752" i="2"/>
  <c r="I752" i="2" s="1"/>
  <c r="F752" i="2"/>
  <c r="N752" i="2" s="1"/>
  <c r="K752" i="2" s="1"/>
  <c r="H85" i="2"/>
  <c r="I85" i="2" s="1"/>
  <c r="F85" i="2"/>
  <c r="N85" i="2" s="1"/>
  <c r="K85" i="2" s="1"/>
  <c r="J337" i="2"/>
  <c r="N337" i="2"/>
  <c r="K337" i="2" s="1"/>
  <c r="L337" i="2" s="1"/>
  <c r="M337" i="2" s="1"/>
  <c r="I337" i="2"/>
  <c r="K783" i="2"/>
  <c r="L783" i="2" s="1"/>
  <c r="M783" i="2" s="1"/>
  <c r="E411" i="2"/>
  <c r="I411" i="2"/>
  <c r="H411" i="2"/>
  <c r="N411" i="2"/>
  <c r="K411" i="2" s="1"/>
  <c r="L411" i="2" s="1"/>
  <c r="M411" i="2" s="1"/>
  <c r="E66" i="2"/>
  <c r="N66" i="2"/>
  <c r="K66" i="2" s="1"/>
  <c r="L66" i="2" s="1"/>
  <c r="M66" i="2" s="1"/>
  <c r="H66" i="2"/>
  <c r="J66" i="2"/>
  <c r="H148" i="2"/>
  <c r="I148" i="2" s="1"/>
  <c r="F148" i="2"/>
  <c r="N148" i="2" s="1"/>
  <c r="K148" i="2" s="1"/>
  <c r="F167" i="2"/>
  <c r="J167" i="2"/>
  <c r="I167" i="2"/>
  <c r="K713" i="2"/>
  <c r="L713" i="2" s="1"/>
  <c r="M713" i="2" s="1"/>
  <c r="H522" i="2"/>
  <c r="N522" i="2"/>
  <c r="K522" i="2" s="1"/>
  <c r="L522" i="2" s="1"/>
  <c r="M522" i="2" s="1"/>
  <c r="I522" i="2"/>
  <c r="N1368" i="2"/>
  <c r="K1368" i="2" s="1"/>
  <c r="L1368" i="2" s="1"/>
  <c r="M1368" i="2" s="1"/>
  <c r="J1368" i="2"/>
  <c r="H570" i="2"/>
  <c r="I570" i="2" s="1"/>
  <c r="F570" i="2"/>
  <c r="N570" i="2" s="1"/>
  <c r="K570" i="2" s="1"/>
  <c r="L570" i="2" s="1"/>
  <c r="M570" i="2" s="1"/>
  <c r="E538" i="2"/>
  <c r="H520" i="2"/>
  <c r="F1457" i="2"/>
  <c r="E1457" i="2"/>
  <c r="N407" i="2"/>
  <c r="K407" i="2" s="1"/>
  <c r="L407" i="2" s="1"/>
  <c r="M407" i="2" s="1"/>
  <c r="I407" i="2"/>
  <c r="H407" i="2"/>
  <c r="E407" i="2"/>
  <c r="J407" i="2"/>
  <c r="J419" i="2"/>
  <c r="N419" i="2"/>
  <c r="K419" i="2" s="1"/>
  <c r="L419" i="2" s="1"/>
  <c r="M419" i="2" s="1"/>
  <c r="H241" i="2"/>
  <c r="F241" i="2"/>
  <c r="E241" i="2"/>
  <c r="N241" i="2"/>
  <c r="K241" i="2" s="1"/>
  <c r="L241" i="2" s="1"/>
  <c r="M241" i="2" s="1"/>
  <c r="I241" i="2"/>
  <c r="F635" i="2"/>
  <c r="N635" i="2" s="1"/>
  <c r="K635" i="2" s="1"/>
  <c r="L635" i="2" s="1"/>
  <c r="M635" i="2" s="1"/>
  <c r="H635" i="2"/>
  <c r="K2384" i="2"/>
  <c r="L2384" i="2" s="1"/>
  <c r="M2384" i="2" s="1"/>
  <c r="E2135" i="2"/>
  <c r="K2067" i="2"/>
  <c r="L2067" i="2" s="1"/>
  <c r="M2067" i="2" s="1"/>
  <c r="K1736" i="2"/>
  <c r="L1736" i="2" s="1"/>
  <c r="M1736" i="2" s="1"/>
  <c r="E1564" i="2"/>
  <c r="K1597" i="2"/>
  <c r="L1597" i="2" s="1"/>
  <c r="M1597" i="2" s="1"/>
  <c r="H1365" i="2"/>
  <c r="I1351" i="2"/>
  <c r="K1300" i="2"/>
  <c r="L1300" i="2" s="1"/>
  <c r="M1300" i="2" s="1"/>
  <c r="E1218" i="2"/>
  <c r="E1347" i="2"/>
  <c r="K420" i="2"/>
  <c r="L420" i="2" s="1"/>
  <c r="M420" i="2" s="1"/>
  <c r="K599" i="2"/>
  <c r="L599" i="2" s="1"/>
  <c r="M599" i="2" s="1"/>
  <c r="H2363" i="2"/>
  <c r="F2363" i="2"/>
  <c r="J2363" i="2"/>
  <c r="I2363" i="2"/>
  <c r="J1487" i="2"/>
  <c r="F1487" i="2"/>
  <c r="F1259" i="2"/>
  <c r="E1259" i="2"/>
  <c r="I1259" i="2"/>
  <c r="N2061" i="2"/>
  <c r="K2061" i="2" s="1"/>
  <c r="L2061" i="2" s="1"/>
  <c r="M2061" i="2" s="1"/>
  <c r="E2061" i="2"/>
  <c r="E183" i="2"/>
  <c r="F183" i="2"/>
  <c r="H183" i="2"/>
  <c r="I183" i="2"/>
  <c r="K1062" i="2"/>
  <c r="L1062" i="2" s="1"/>
  <c r="M1062" i="2" s="1"/>
  <c r="E1492" i="2"/>
  <c r="H1492" i="2"/>
  <c r="N1596" i="2"/>
  <c r="K1596" i="2" s="1"/>
  <c r="L1596" i="2" s="1"/>
  <c r="M1596" i="2" s="1"/>
  <c r="J1596" i="2"/>
  <c r="I1596" i="2"/>
  <c r="E1176" i="2"/>
  <c r="H1176" i="2"/>
  <c r="F1176" i="2"/>
  <c r="H1551" i="2"/>
  <c r="F1551" i="2"/>
  <c r="E1551" i="2"/>
  <c r="I1551" i="2"/>
  <c r="N1551" i="2"/>
  <c r="K1551" i="2" s="1"/>
  <c r="L1551" i="2" s="1"/>
  <c r="M1551" i="2" s="1"/>
  <c r="J1551" i="2"/>
  <c r="F1233" i="2"/>
  <c r="I1233" i="2"/>
  <c r="H1233" i="2"/>
  <c r="J1233" i="2"/>
  <c r="J364" i="2"/>
  <c r="E364" i="2"/>
  <c r="J2075" i="2"/>
  <c r="F2075" i="2"/>
  <c r="F569" i="2"/>
  <c r="N569" i="2" s="1"/>
  <c r="K569" i="2" s="1"/>
  <c r="K514" i="2"/>
  <c r="L514" i="2" s="1"/>
  <c r="M514" i="2" s="1"/>
  <c r="E1354" i="2"/>
  <c r="J1354" i="2"/>
  <c r="F1354" i="2"/>
  <c r="N14" i="2"/>
  <c r="K14" i="2" s="1"/>
  <c r="L14" i="2" s="1"/>
  <c r="M14" i="2" s="1"/>
  <c r="F2165" i="2"/>
  <c r="E2165" i="2"/>
  <c r="N2129" i="2"/>
  <c r="K2129" i="2" s="1"/>
  <c r="L2129" i="2" s="1"/>
  <c r="M2129" i="2" s="1"/>
  <c r="F2129" i="2"/>
  <c r="K172" i="2"/>
  <c r="L172" i="2" s="1"/>
  <c r="M172" i="2" s="1"/>
  <c r="K1003" i="2"/>
  <c r="L1003" i="2" s="1"/>
  <c r="M1003" i="2" s="1"/>
  <c r="K1798" i="2"/>
  <c r="L1798" i="2" s="1"/>
  <c r="M1798" i="2" s="1"/>
  <c r="N2251" i="2"/>
  <c r="K2251" i="2" s="1"/>
  <c r="L2251" i="2" s="1"/>
  <c r="M2251" i="2" s="1"/>
  <c r="I2251" i="2"/>
  <c r="J2251" i="2"/>
  <c r="H2251" i="2"/>
  <c r="F2251" i="2"/>
  <c r="E2251" i="2"/>
  <c r="E1666" i="2"/>
  <c r="H1666" i="2"/>
  <c r="F1666" i="2"/>
  <c r="J1582" i="2"/>
  <c r="H1582" i="2"/>
  <c r="F1582" i="2"/>
  <c r="E1582" i="2"/>
  <c r="N720" i="2"/>
  <c r="K720" i="2" s="1"/>
  <c r="L720" i="2" s="1"/>
  <c r="M720" i="2" s="1"/>
  <c r="H720" i="2"/>
  <c r="F720" i="2"/>
  <c r="E720" i="2"/>
  <c r="E1200" i="2"/>
  <c r="H1200" i="2"/>
  <c r="F1200" i="2"/>
  <c r="N1200" i="2"/>
  <c r="K1200" i="2" s="1"/>
  <c r="L1200" i="2" s="1"/>
  <c r="M1200" i="2" s="1"/>
  <c r="J1200" i="2"/>
  <c r="I1200" i="2"/>
  <c r="E1247" i="2"/>
  <c r="J1247" i="2"/>
  <c r="I406" i="2"/>
  <c r="H406" i="2"/>
  <c r="E406" i="2"/>
  <c r="J406" i="2"/>
  <c r="N372" i="2"/>
  <c r="K372" i="2" s="1"/>
  <c r="E2094" i="2"/>
  <c r="N2094" i="2"/>
  <c r="K2094" i="2" s="1"/>
  <c r="L2094" i="2" s="1"/>
  <c r="M2094" i="2" s="1"/>
  <c r="F567" i="2"/>
  <c r="N567" i="2" s="1"/>
  <c r="K567" i="2" s="1"/>
  <c r="N1339" i="2"/>
  <c r="K1339" i="2" s="1"/>
  <c r="L1339" i="2" s="1"/>
  <c r="M1339" i="2" s="1"/>
  <c r="H1339" i="2"/>
  <c r="F1339" i="2"/>
  <c r="N182" i="2"/>
  <c r="K182" i="2" s="1"/>
  <c r="L182" i="2" s="1"/>
  <c r="M182" i="2" s="1"/>
  <c r="J182" i="2"/>
  <c r="I182" i="2"/>
  <c r="H182" i="2"/>
  <c r="F182" i="2"/>
  <c r="F2114" i="2"/>
  <c r="I2114" i="2"/>
  <c r="N2110" i="2"/>
  <c r="K2110" i="2" s="1"/>
  <c r="L2110" i="2" s="1"/>
  <c r="M2110" i="2" s="1"/>
  <c r="E2110" i="2"/>
  <c r="F47" i="2"/>
  <c r="E47" i="2"/>
  <c r="I335" i="2"/>
  <c r="N25" i="2"/>
  <c r="K25" i="2" s="1"/>
  <c r="L25" i="2" s="1"/>
  <c r="M25" i="2" s="1"/>
  <c r="I186" i="2"/>
  <c r="N2390" i="2"/>
  <c r="K2390" i="2" s="1"/>
  <c r="L2390" i="2" s="1"/>
  <c r="M2390" i="2" s="1"/>
  <c r="J2390" i="2"/>
  <c r="H2390" i="2"/>
  <c r="F2390" i="2"/>
  <c r="I2390" i="2"/>
  <c r="I1433" i="2"/>
  <c r="F1433" i="2"/>
  <c r="J1173" i="2"/>
  <c r="F1173" i="2"/>
  <c r="H1173" i="2"/>
  <c r="E1173" i="2"/>
  <c r="N1552" i="2"/>
  <c r="K1552" i="2" s="1"/>
  <c r="L1552" i="2" s="1"/>
  <c r="M1552" i="2" s="1"/>
  <c r="E1552" i="2"/>
  <c r="K831" i="2"/>
  <c r="L831" i="2" s="1"/>
  <c r="M831" i="2" s="1"/>
  <c r="J2050" i="2"/>
  <c r="E2050" i="2"/>
  <c r="J427" i="2"/>
  <c r="N427" i="2"/>
  <c r="K427" i="2" s="1"/>
  <c r="L427" i="2" s="1"/>
  <c r="M427" i="2" s="1"/>
  <c r="I427" i="2"/>
  <c r="H427" i="2"/>
  <c r="E427" i="2"/>
  <c r="N408" i="2"/>
  <c r="K408" i="2" s="1"/>
  <c r="L408" i="2" s="1"/>
  <c r="M408" i="2" s="1"/>
  <c r="E408" i="2"/>
  <c r="J420" i="2"/>
  <c r="H420" i="2"/>
  <c r="E420" i="2"/>
  <c r="I420" i="2"/>
  <c r="J544" i="2"/>
  <c r="H544" i="2"/>
  <c r="J1363" i="2"/>
  <c r="I1363" i="2"/>
  <c r="N347" i="2"/>
  <c r="K347" i="2" s="1"/>
  <c r="L347" i="2" s="1"/>
  <c r="M347" i="2" s="1"/>
  <c r="E347" i="2"/>
  <c r="I1373" i="2"/>
  <c r="H1373" i="2"/>
  <c r="F1373" i="2"/>
  <c r="E1373" i="2"/>
  <c r="J1373" i="2"/>
  <c r="N1373" i="2"/>
  <c r="K1373" i="2" s="1"/>
  <c r="L1373" i="2" s="1"/>
  <c r="M1373" i="2" s="1"/>
  <c r="I1381" i="2"/>
  <c r="N1381" i="2"/>
  <c r="K1381" i="2" s="1"/>
  <c r="L1381" i="2" s="1"/>
  <c r="M1381" i="2" s="1"/>
  <c r="H1381" i="2"/>
  <c r="F131" i="2"/>
  <c r="N131" i="2" s="1"/>
  <c r="K131" i="2" s="1"/>
  <c r="H131" i="2"/>
  <c r="I131" i="2" s="1"/>
  <c r="N2116" i="2"/>
  <c r="K2116" i="2" s="1"/>
  <c r="L2116" i="2" s="1"/>
  <c r="M2116" i="2" s="1"/>
  <c r="I2116" i="2"/>
  <c r="H2116" i="2"/>
  <c r="F2116" i="2"/>
  <c r="N22" i="2"/>
  <c r="K22" i="2" s="1"/>
  <c r="L22" i="2" s="1"/>
  <c r="M22" i="2" s="1"/>
  <c r="F22" i="2"/>
  <c r="E22" i="2"/>
  <c r="K193" i="2"/>
  <c r="L193" i="2" s="1"/>
  <c r="M193" i="2" s="1"/>
  <c r="N335" i="2"/>
  <c r="K335" i="2" s="1"/>
  <c r="L335" i="2" s="1"/>
  <c r="M335" i="2" s="1"/>
  <c r="J25" i="2"/>
  <c r="J186" i="2"/>
  <c r="J1791" i="2"/>
  <c r="I1791" i="2"/>
  <c r="J1483" i="2"/>
  <c r="N1483" i="2"/>
  <c r="K1483" i="2" s="1"/>
  <c r="L1483" i="2" s="1"/>
  <c r="M1483" i="2" s="1"/>
  <c r="N1590" i="2"/>
  <c r="K1590" i="2" s="1"/>
  <c r="L1590" i="2" s="1"/>
  <c r="M1590" i="2" s="1"/>
  <c r="H1590" i="2"/>
  <c r="I1590" i="2"/>
  <c r="E1590" i="2"/>
  <c r="J1590" i="2"/>
  <c r="H1417" i="2"/>
  <c r="I1417" i="2"/>
  <c r="J1533" i="2"/>
  <c r="I1533" i="2"/>
  <c r="J1518" i="2"/>
  <c r="I1518" i="2"/>
  <c r="F1518" i="2"/>
  <c r="F792" i="2"/>
  <c r="N792" i="2" s="1"/>
  <c r="K792" i="2" s="1"/>
  <c r="L792" i="2" s="1"/>
  <c r="M792" i="2" s="1"/>
  <c r="N317" i="2"/>
  <c r="K317" i="2" s="1"/>
  <c r="L317" i="2" s="1"/>
  <c r="M317" i="2" s="1"/>
  <c r="H386" i="2"/>
  <c r="I386" i="2" s="1"/>
  <c r="N380" i="2"/>
  <c r="K380" i="2" s="1"/>
  <c r="H380" i="2"/>
  <c r="I380" i="2" s="1"/>
  <c r="H633" i="2"/>
  <c r="I633" i="2" s="1"/>
  <c r="I573" i="2"/>
  <c r="J573" i="2"/>
  <c r="N573" i="2"/>
  <c r="K573" i="2" s="1"/>
  <c r="L573" i="2" s="1"/>
  <c r="M573" i="2" s="1"/>
  <c r="F573" i="2"/>
  <c r="E573" i="2"/>
  <c r="H1348" i="2"/>
  <c r="F1348" i="2"/>
  <c r="H2141" i="2"/>
  <c r="E2141" i="2"/>
  <c r="K1384" i="2"/>
  <c r="L1384" i="2" s="1"/>
  <c r="M1384" i="2" s="1"/>
  <c r="K1204" i="2"/>
  <c r="L1204" i="2" s="1"/>
  <c r="M1204" i="2" s="1"/>
  <c r="K584" i="2"/>
  <c r="L584" i="2" s="1"/>
  <c r="M584" i="2" s="1"/>
  <c r="J392" i="2"/>
  <c r="I14" i="2"/>
  <c r="F186" i="2"/>
  <c r="J1775" i="2"/>
  <c r="I1775" i="2"/>
  <c r="H1775" i="2"/>
  <c r="F1775" i="2"/>
  <c r="E990" i="2"/>
  <c r="J990" i="2"/>
  <c r="I990" i="2"/>
  <c r="H990" i="2"/>
  <c r="N990" i="2"/>
  <c r="K990" i="2" s="1"/>
  <c r="L990" i="2" s="1"/>
  <c r="M990" i="2" s="1"/>
  <c r="E2265" i="2"/>
  <c r="H2265" i="2"/>
  <c r="J1009" i="2"/>
  <c r="I1009" i="2"/>
  <c r="H1009" i="2"/>
  <c r="E1009" i="2"/>
  <c r="I1317" i="2"/>
  <c r="F1317" i="2"/>
  <c r="H1317" i="2"/>
  <c r="K1174" i="2"/>
  <c r="L1174" i="2" s="1"/>
  <c r="M1174" i="2" s="1"/>
  <c r="H1538" i="2"/>
  <c r="F1538" i="2"/>
  <c r="I1538" i="2"/>
  <c r="F832" i="2"/>
  <c r="I832" i="2"/>
  <c r="J832" i="2"/>
  <c r="H561" i="2"/>
  <c r="F561" i="2"/>
  <c r="N561" i="2" s="1"/>
  <c r="K561" i="2" s="1"/>
  <c r="J117" i="2"/>
  <c r="N117" i="2"/>
  <c r="K117" i="2" s="1"/>
  <c r="L117" i="2" s="1"/>
  <c r="M117" i="2" s="1"/>
  <c r="I117" i="2"/>
  <c r="H117" i="2"/>
  <c r="E362" i="2"/>
  <c r="I362" i="2"/>
  <c r="H362" i="2"/>
  <c r="H2052" i="2"/>
  <c r="F2052" i="2"/>
  <c r="H1349" i="2"/>
  <c r="I1349" i="2"/>
  <c r="N180" i="2"/>
  <c r="K180" i="2" s="1"/>
  <c r="L180" i="2" s="1"/>
  <c r="M180" i="2" s="1"/>
  <c r="F180" i="2"/>
  <c r="E180" i="2"/>
  <c r="J180" i="2"/>
  <c r="H180" i="2"/>
  <c r="J170" i="2"/>
  <c r="N170" i="2"/>
  <c r="K170" i="2" s="1"/>
  <c r="L170" i="2" s="1"/>
  <c r="M170" i="2" s="1"/>
  <c r="I170" i="2"/>
  <c r="N31" i="2"/>
  <c r="K31" i="2" s="1"/>
  <c r="L31" i="2" s="1"/>
  <c r="M31" i="2" s="1"/>
  <c r="E31" i="2"/>
  <c r="F31" i="2"/>
  <c r="K1277" i="2"/>
  <c r="L1277" i="2" s="1"/>
  <c r="M1277" i="2" s="1"/>
  <c r="J1800" i="2"/>
  <c r="H1800" i="2"/>
  <c r="F1800" i="2"/>
  <c r="E1800" i="2"/>
  <c r="N1800" i="2"/>
  <c r="K1800" i="2" s="1"/>
  <c r="L1800" i="2" s="1"/>
  <c r="M1800" i="2" s="1"/>
  <c r="I1800" i="2"/>
  <c r="N2285" i="2"/>
  <c r="K2285" i="2" s="1"/>
  <c r="L2285" i="2" s="1"/>
  <c r="M2285" i="2" s="1"/>
  <c r="J2285" i="2"/>
  <c r="J1195" i="2"/>
  <c r="I1195" i="2"/>
  <c r="H1523" i="2"/>
  <c r="N1523" i="2"/>
  <c r="K1523" i="2" s="1"/>
  <c r="L1523" i="2" s="1"/>
  <c r="M1523" i="2" s="1"/>
  <c r="F1523" i="2"/>
  <c r="E1523" i="2"/>
  <c r="H350" i="2"/>
  <c r="N350" i="2"/>
  <c r="K350" i="2" s="1"/>
  <c r="L350" i="2" s="1"/>
  <c r="M350" i="2" s="1"/>
  <c r="K1162" i="2"/>
  <c r="L1162" i="2" s="1"/>
  <c r="M1162" i="2" s="1"/>
  <c r="H512" i="2"/>
  <c r="J512" i="2"/>
  <c r="N1338" i="2"/>
  <c r="K1338" i="2" s="1"/>
  <c r="L1338" i="2" s="1"/>
  <c r="M1338" i="2" s="1"/>
  <c r="J1338" i="2"/>
  <c r="I1338" i="2"/>
  <c r="H1338" i="2"/>
  <c r="H1383" i="2"/>
  <c r="I1383" i="2"/>
  <c r="J1383" i="2"/>
  <c r="E1377" i="2"/>
  <c r="F1377" i="2"/>
  <c r="I2137" i="2"/>
  <c r="E2137" i="2"/>
  <c r="F2161" i="2"/>
  <c r="I2161" i="2"/>
  <c r="F34" i="2"/>
  <c r="H34" i="2"/>
  <c r="N34" i="2"/>
  <c r="K34" i="2" s="1"/>
  <c r="L34" i="2" s="1"/>
  <c r="M34" i="2" s="1"/>
  <c r="I34" i="2"/>
  <c r="I24" i="2"/>
  <c r="F24" i="2"/>
  <c r="K2115" i="2"/>
  <c r="L2115" i="2" s="1"/>
  <c r="M2115" i="2" s="1"/>
  <c r="K1009" i="2"/>
  <c r="L1009" i="2" s="1"/>
  <c r="M1009" i="2" s="1"/>
  <c r="F1068" i="2"/>
  <c r="K1207" i="2"/>
  <c r="L1207" i="2" s="1"/>
  <c r="M1207" i="2" s="1"/>
  <c r="N1610" i="2"/>
  <c r="K1610" i="2" s="1"/>
  <c r="L1610" i="2" s="1"/>
  <c r="M1610" i="2" s="1"/>
  <c r="K1205" i="2"/>
  <c r="L1205" i="2" s="1"/>
  <c r="M1205" i="2" s="1"/>
  <c r="H560" i="2"/>
  <c r="I560" i="2" s="1"/>
  <c r="I381" i="2"/>
  <c r="H807" i="2"/>
  <c r="I807" i="2" s="1"/>
  <c r="F932" i="2"/>
  <c r="N932" i="2" s="1"/>
  <c r="K932" i="2" s="1"/>
  <c r="L932" i="2" s="1"/>
  <c r="M932" i="2" s="1"/>
  <c r="F907" i="2"/>
  <c r="I137" i="2"/>
  <c r="K352" i="2"/>
  <c r="L352" i="2" s="1"/>
  <c r="M352" i="2" s="1"/>
  <c r="K124" i="2"/>
  <c r="L124" i="2" s="1"/>
  <c r="M124" i="2" s="1"/>
  <c r="F668" i="2"/>
  <c r="N668" i="2" s="1"/>
  <c r="K668" i="2" s="1"/>
  <c r="J423" i="2"/>
  <c r="K257" i="2"/>
  <c r="L257" i="2" s="1"/>
  <c r="M257" i="2" s="1"/>
  <c r="N82" i="2"/>
  <c r="K82" i="2" s="1"/>
  <c r="L82" i="2" s="1"/>
  <c r="M82" i="2" s="1"/>
  <c r="E25" i="2"/>
  <c r="I234" i="2"/>
  <c r="E2246" i="2"/>
  <c r="N2246" i="2"/>
  <c r="K2246" i="2" s="1"/>
  <c r="L2246" i="2" s="1"/>
  <c r="M2246" i="2" s="1"/>
  <c r="F2246" i="2"/>
  <c r="I2348" i="2"/>
  <c r="N2348" i="2"/>
  <c r="K2348" i="2" s="1"/>
  <c r="L2348" i="2" s="1"/>
  <c r="M2348" i="2" s="1"/>
  <c r="F2348" i="2"/>
  <c r="J2348" i="2"/>
  <c r="E2348" i="2"/>
  <c r="H2348" i="2"/>
  <c r="I1455" i="2"/>
  <c r="E1455" i="2"/>
  <c r="N1574" i="2"/>
  <c r="K1574" i="2" s="1"/>
  <c r="L1574" i="2" s="1"/>
  <c r="M1574" i="2" s="1"/>
  <c r="F1574" i="2"/>
  <c r="H1574" i="2"/>
  <c r="E1574" i="2"/>
  <c r="J1574" i="2"/>
  <c r="N1154" i="2"/>
  <c r="K1154" i="2" s="1"/>
  <c r="L1154" i="2" s="1"/>
  <c r="M1154" i="2" s="1"/>
  <c r="J1228" i="2"/>
  <c r="I1228" i="2"/>
  <c r="N1549" i="2"/>
  <c r="K1549" i="2" s="1"/>
  <c r="L1549" i="2" s="1"/>
  <c r="M1549" i="2" s="1"/>
  <c r="J1549" i="2"/>
  <c r="I1549" i="2"/>
  <c r="F813" i="2"/>
  <c r="N813" i="2" s="1"/>
  <c r="K813" i="2" s="1"/>
  <c r="N729" i="2"/>
  <c r="K729" i="2" s="1"/>
  <c r="L729" i="2" s="1"/>
  <c r="M729" i="2" s="1"/>
  <c r="I338" i="2"/>
  <c r="H338" i="2"/>
  <c r="E338" i="2"/>
  <c r="N412" i="2"/>
  <c r="K412" i="2" s="1"/>
  <c r="L412" i="2" s="1"/>
  <c r="M412" i="2" s="1"/>
  <c r="E412" i="2"/>
  <c r="F559" i="2"/>
  <c r="N559" i="2" s="1"/>
  <c r="K559" i="2" s="1"/>
  <c r="H562" i="2"/>
  <c r="F562" i="2"/>
  <c r="N562" i="2" s="1"/>
  <c r="K562" i="2" s="1"/>
  <c r="J243" i="2"/>
  <c r="I243" i="2"/>
  <c r="F1331" i="2"/>
  <c r="N1331" i="2" s="1"/>
  <c r="K1331" i="2" s="1"/>
  <c r="H1386" i="2"/>
  <c r="F1386" i="2"/>
  <c r="N2140" i="2"/>
  <c r="K2140" i="2" s="1"/>
  <c r="L2140" i="2" s="1"/>
  <c r="M2140" i="2" s="1"/>
  <c r="F2140" i="2"/>
  <c r="K33" i="2"/>
  <c r="L33" i="2" s="1"/>
  <c r="M33" i="2" s="1"/>
  <c r="K1604" i="2"/>
  <c r="L1604" i="2" s="1"/>
  <c r="M1604" i="2" s="1"/>
  <c r="H1068" i="2"/>
  <c r="E1186" i="2"/>
  <c r="K426" i="2"/>
  <c r="L426" i="2" s="1"/>
  <c r="M426" i="2" s="1"/>
  <c r="E1610" i="2"/>
  <c r="H569" i="2"/>
  <c r="I569" i="2" s="1"/>
  <c r="J660" i="2"/>
  <c r="I932" i="2"/>
  <c r="K901" i="2"/>
  <c r="L901" i="2" s="1"/>
  <c r="M901" i="2" s="1"/>
  <c r="N49" i="2"/>
  <c r="K49" i="2" s="1"/>
  <c r="L49" i="2" s="1"/>
  <c r="M49" i="2" s="1"/>
  <c r="K136" i="2"/>
  <c r="L136" i="2" s="1"/>
  <c r="M136" i="2" s="1"/>
  <c r="E49" i="2"/>
  <c r="K428" i="2"/>
  <c r="I55" i="2"/>
  <c r="H220" i="2"/>
  <c r="F25" i="2"/>
  <c r="J65" i="2"/>
  <c r="I125" i="2"/>
  <c r="F2350" i="2"/>
  <c r="N2350" i="2"/>
  <c r="K2350" i="2" s="1"/>
  <c r="L2350" i="2" s="1"/>
  <c r="M2350" i="2" s="1"/>
  <c r="I2350" i="2"/>
  <c r="E2267" i="2"/>
  <c r="F2267" i="2"/>
  <c r="H2267" i="2"/>
  <c r="J1695" i="2"/>
  <c r="H1695" i="2"/>
  <c r="F1695" i="2"/>
  <c r="J1175" i="2"/>
  <c r="I1175" i="2"/>
  <c r="H1175" i="2"/>
  <c r="N1525" i="2"/>
  <c r="K1525" i="2" s="1"/>
  <c r="L1525" i="2" s="1"/>
  <c r="M1525" i="2" s="1"/>
  <c r="I1525" i="2"/>
  <c r="J1525" i="2"/>
  <c r="N837" i="2"/>
  <c r="K837" i="2" s="1"/>
  <c r="L837" i="2" s="1"/>
  <c r="M837" i="2" s="1"/>
  <c r="H837" i="2"/>
  <c r="F837" i="2"/>
  <c r="E837" i="2"/>
  <c r="I837" i="2"/>
  <c r="I348" i="2"/>
  <c r="E363" i="2"/>
  <c r="N363" i="2"/>
  <c r="K363" i="2" s="1"/>
  <c r="L363" i="2" s="1"/>
  <c r="M363" i="2" s="1"/>
  <c r="J122" i="2"/>
  <c r="I122" i="2"/>
  <c r="E122" i="2"/>
  <c r="H122" i="2"/>
  <c r="F122" i="2"/>
  <c r="N122" i="2"/>
  <c r="K122" i="2" s="1"/>
  <c r="L122" i="2" s="1"/>
  <c r="M122" i="2" s="1"/>
  <c r="J1362" i="2"/>
  <c r="E1362" i="2"/>
  <c r="N1362" i="2"/>
  <c r="K1362" i="2" s="1"/>
  <c r="L1362" i="2" s="1"/>
  <c r="M1362" i="2" s="1"/>
  <c r="F2107" i="2"/>
  <c r="J2107" i="2"/>
  <c r="J1340" i="2"/>
  <c r="I1340" i="2"/>
  <c r="E2154" i="2"/>
  <c r="I2154" i="2"/>
  <c r="F2139" i="2"/>
  <c r="J2139" i="2"/>
  <c r="H2139" i="2"/>
  <c r="K1367" i="2"/>
  <c r="L1367" i="2" s="1"/>
  <c r="M1367" i="2" s="1"/>
  <c r="F1186" i="2"/>
  <c r="F1610" i="2"/>
  <c r="F660" i="2"/>
  <c r="B1329" i="2"/>
  <c r="E512" i="2"/>
  <c r="H423" i="2"/>
  <c r="F552" i="2"/>
  <c r="N552" i="2" s="1"/>
  <c r="K552" i="2" s="1"/>
  <c r="F49" i="2"/>
  <c r="J55" i="2"/>
  <c r="I220" i="2"/>
  <c r="J24" i="2"/>
  <c r="K127" i="2"/>
  <c r="L127" i="2" s="1"/>
  <c r="M127" i="2" s="1"/>
  <c r="F203" i="2"/>
  <c r="N203" i="2" s="1"/>
  <c r="K203" i="2" s="1"/>
  <c r="L203" i="2" s="1"/>
  <c r="M203" i="2" s="1"/>
  <c r="N125" i="2"/>
  <c r="K125" i="2" s="1"/>
  <c r="L125" i="2" s="1"/>
  <c r="M125" i="2" s="1"/>
  <c r="H2229" i="2"/>
  <c r="J2229" i="2"/>
  <c r="I2229" i="2"/>
  <c r="J1723" i="2"/>
  <c r="H1723" i="2"/>
  <c r="F1008" i="2"/>
  <c r="H1008" i="2"/>
  <c r="F1620" i="2"/>
  <c r="N1620" i="2"/>
  <c r="K1620" i="2" s="1"/>
  <c r="L1620" i="2" s="1"/>
  <c r="M1620" i="2" s="1"/>
  <c r="E1620" i="2"/>
  <c r="F1201" i="2"/>
  <c r="E1201" i="2"/>
  <c r="N1201" i="2"/>
  <c r="K1201" i="2" s="1"/>
  <c r="L1201" i="2" s="1"/>
  <c r="M1201" i="2" s="1"/>
  <c r="K1624" i="2"/>
  <c r="L1624" i="2" s="1"/>
  <c r="M1624" i="2" s="1"/>
  <c r="H319" i="2"/>
  <c r="I319" i="2" s="1"/>
  <c r="N319" i="2"/>
  <c r="K319" i="2" s="1"/>
  <c r="I244" i="2"/>
  <c r="J244" i="2"/>
  <c r="H129" i="2"/>
  <c r="I129" i="2" s="1"/>
  <c r="F129" i="2"/>
  <c r="N129" i="2" s="1"/>
  <c r="K129" i="2" s="1"/>
  <c r="L129" i="2" s="1"/>
  <c r="M129" i="2" s="1"/>
  <c r="N152" i="2"/>
  <c r="K152" i="2" s="1"/>
  <c r="L152" i="2" s="1"/>
  <c r="M152" i="2" s="1"/>
  <c r="F152" i="2"/>
  <c r="E152" i="2"/>
  <c r="H660" i="2"/>
  <c r="E514" i="2"/>
  <c r="B2260" i="2"/>
  <c r="H112" i="2"/>
  <c r="F512" i="2"/>
  <c r="E24" i="2"/>
  <c r="K726" i="2"/>
  <c r="L726" i="2" s="1"/>
  <c r="M726" i="2" s="1"/>
  <c r="E65" i="2"/>
  <c r="N24" i="2"/>
  <c r="K24" i="2" s="1"/>
  <c r="L24" i="2" s="1"/>
  <c r="M24" i="2" s="1"/>
  <c r="N47" i="2"/>
  <c r="K47" i="2" s="1"/>
  <c r="L47" i="2" s="1"/>
  <c r="M47" i="2" s="1"/>
  <c r="K2250" i="2"/>
  <c r="L2250" i="2" s="1"/>
  <c r="M2250" i="2" s="1"/>
  <c r="J1704" i="2"/>
  <c r="I1704" i="2"/>
  <c r="H1704" i="2"/>
  <c r="J1869" i="2"/>
  <c r="I1869" i="2"/>
  <c r="H1869" i="2"/>
  <c r="N1472" i="2"/>
  <c r="K1472" i="2" s="1"/>
  <c r="L1472" i="2" s="1"/>
  <c r="M1472" i="2" s="1"/>
  <c r="H1472" i="2"/>
  <c r="H1609" i="2"/>
  <c r="F1609" i="2"/>
  <c r="E1609" i="2"/>
  <c r="N1609" i="2"/>
  <c r="K1609" i="2" s="1"/>
  <c r="L1609" i="2" s="1"/>
  <c r="M1609" i="2" s="1"/>
  <c r="I1575" i="2"/>
  <c r="H1575" i="2"/>
  <c r="I949" i="2"/>
  <c r="H949" i="2"/>
  <c r="F949" i="2"/>
  <c r="F1226" i="2"/>
  <c r="I1226" i="2"/>
  <c r="E1226" i="2"/>
  <c r="N1226" i="2"/>
  <c r="K1226" i="2" s="1"/>
  <c r="L1226" i="2" s="1"/>
  <c r="M1226" i="2" s="1"/>
  <c r="E2198" i="2"/>
  <c r="N2198" i="2"/>
  <c r="K2198" i="2" s="1"/>
  <c r="L2198" i="2" s="1"/>
  <c r="M2198" i="2" s="1"/>
  <c r="H1567" i="2"/>
  <c r="E1567" i="2"/>
  <c r="H1526" i="2"/>
  <c r="F1526" i="2"/>
  <c r="J1526" i="2"/>
  <c r="I1526" i="2"/>
  <c r="F821" i="2"/>
  <c r="N821" i="2" s="1"/>
  <c r="K821" i="2" s="1"/>
  <c r="K404" i="2"/>
  <c r="L404" i="2" s="1"/>
  <c r="M404" i="2" s="1"/>
  <c r="N371" i="2"/>
  <c r="K371" i="2" s="1"/>
  <c r="J2070" i="2"/>
  <c r="H2070" i="2"/>
  <c r="I518" i="2"/>
  <c r="H518" i="2"/>
  <c r="E518" i="2"/>
  <c r="I1341" i="2"/>
  <c r="N1341" i="2"/>
  <c r="K1341" i="2" s="1"/>
  <c r="L1341" i="2" s="1"/>
  <c r="M1341" i="2" s="1"/>
  <c r="J1341" i="2"/>
  <c r="K132" i="2"/>
  <c r="K1646" i="2"/>
  <c r="L1646" i="2" s="1"/>
  <c r="M1646" i="2" s="1"/>
  <c r="B322" i="2"/>
  <c r="B560" i="2"/>
  <c r="I2264" i="2"/>
  <c r="H2264" i="2"/>
  <c r="F2264" i="2"/>
  <c r="J2264" i="2"/>
  <c r="N2264" i="2"/>
  <c r="K2264" i="2" s="1"/>
  <c r="L2264" i="2" s="1"/>
  <c r="M2264" i="2" s="1"/>
  <c r="E2264" i="2"/>
  <c r="J2331" i="2"/>
  <c r="I2331" i="2"/>
  <c r="F2331" i="2"/>
  <c r="H2331" i="2"/>
  <c r="E2331" i="2"/>
  <c r="N2331" i="2"/>
  <c r="K2331" i="2" s="1"/>
  <c r="L2331" i="2" s="1"/>
  <c r="M2331" i="2" s="1"/>
  <c r="F2090" i="2"/>
  <c r="I2090" i="2"/>
  <c r="H2090" i="2"/>
  <c r="E2090" i="2"/>
  <c r="N2090" i="2"/>
  <c r="K2090" i="2" s="1"/>
  <c r="L2090" i="2" s="1"/>
  <c r="M2090" i="2" s="1"/>
  <c r="J2090" i="2"/>
  <c r="J1829" i="2"/>
  <c r="I1829" i="2"/>
  <c r="H1829" i="2"/>
  <c r="N1829" i="2"/>
  <c r="K1829" i="2" s="1"/>
  <c r="L1829" i="2" s="1"/>
  <c r="M1829" i="2" s="1"/>
  <c r="F1829" i="2"/>
  <c r="E1829" i="2"/>
  <c r="N1125" i="2"/>
  <c r="K1125" i="2" s="1"/>
  <c r="L1125" i="2" s="1"/>
  <c r="M1125" i="2" s="1"/>
  <c r="J1125" i="2"/>
  <c r="I1125" i="2"/>
  <c r="H1125" i="2"/>
  <c r="F1125" i="2"/>
  <c r="E1125" i="2"/>
  <c r="H630" i="2"/>
  <c r="I630" i="2" s="1"/>
  <c r="F630" i="2"/>
  <c r="N630" i="2" s="1"/>
  <c r="K630" i="2" s="1"/>
  <c r="L630" i="2" s="1"/>
  <c r="M630" i="2" s="1"/>
  <c r="J2068" i="2"/>
  <c r="H2068" i="2"/>
  <c r="F2068" i="2"/>
  <c r="I2068" i="2"/>
  <c r="E2068" i="2"/>
  <c r="N2068" i="2"/>
  <c r="K2068" i="2" s="1"/>
  <c r="L2068" i="2" s="1"/>
  <c r="M2068" i="2" s="1"/>
  <c r="N2055" i="2"/>
  <c r="K2055" i="2" s="1"/>
  <c r="L2055" i="2" s="1"/>
  <c r="M2055" i="2" s="1"/>
  <c r="E2055" i="2"/>
  <c r="I2055" i="2"/>
  <c r="F2055" i="2"/>
  <c r="J2055" i="2"/>
  <c r="H2055" i="2"/>
  <c r="E2293" i="2"/>
  <c r="N2293" i="2"/>
  <c r="K2293" i="2" s="1"/>
  <c r="L2293" i="2" s="1"/>
  <c r="M2293" i="2" s="1"/>
  <c r="H2293" i="2"/>
  <c r="F2293" i="2"/>
  <c r="I2293" i="2"/>
  <c r="J2293" i="2"/>
  <c r="E2314" i="2"/>
  <c r="J2314" i="2"/>
  <c r="H2314" i="2"/>
  <c r="F2314" i="2"/>
  <c r="N2314" i="2"/>
  <c r="K2314" i="2" s="1"/>
  <c r="L2314" i="2" s="1"/>
  <c r="M2314" i="2" s="1"/>
  <c r="I2314" i="2"/>
  <c r="F2301" i="2"/>
  <c r="E2301" i="2"/>
  <c r="N2301" i="2"/>
  <c r="K2301" i="2" s="1"/>
  <c r="L2301" i="2" s="1"/>
  <c r="M2301" i="2" s="1"/>
  <c r="I2301" i="2"/>
  <c r="H2301" i="2"/>
  <c r="J2301" i="2"/>
  <c r="I2294" i="2"/>
  <c r="F2294" i="2"/>
  <c r="J2294" i="2"/>
  <c r="H2294" i="2"/>
  <c r="N2294" i="2"/>
  <c r="K2294" i="2" s="1"/>
  <c r="L2294" i="2" s="1"/>
  <c r="M2294" i="2" s="1"/>
  <c r="E2294" i="2"/>
  <c r="I2176" i="2"/>
  <c r="N2176" i="2"/>
  <c r="K2176" i="2" s="1"/>
  <c r="L2176" i="2" s="1"/>
  <c r="M2176" i="2" s="1"/>
  <c r="E2176" i="2"/>
  <c r="F2176" i="2"/>
  <c r="J2176" i="2"/>
  <c r="H2176" i="2"/>
  <c r="I2192" i="2"/>
  <c r="E2192" i="2"/>
  <c r="N2192" i="2"/>
  <c r="K2192" i="2" s="1"/>
  <c r="L2192" i="2" s="1"/>
  <c r="M2192" i="2" s="1"/>
  <c r="J2192" i="2"/>
  <c r="H2192" i="2"/>
  <c r="F2192" i="2"/>
  <c r="I2175" i="2"/>
  <c r="E2175" i="2"/>
  <c r="N2175" i="2"/>
  <c r="K2175" i="2" s="1"/>
  <c r="L2175" i="2" s="1"/>
  <c r="M2175" i="2" s="1"/>
  <c r="J2175" i="2"/>
  <c r="H2175" i="2"/>
  <c r="F2175" i="2"/>
  <c r="E2071" i="2"/>
  <c r="N2071" i="2"/>
  <c r="K2071" i="2" s="1"/>
  <c r="L2071" i="2" s="1"/>
  <c r="M2071" i="2" s="1"/>
  <c r="J2071" i="2"/>
  <c r="I2071" i="2"/>
  <c r="H2071" i="2"/>
  <c r="F2071" i="2"/>
  <c r="F2082" i="2"/>
  <c r="J2082" i="2"/>
  <c r="I2082" i="2"/>
  <c r="E2082" i="2"/>
  <c r="N2082" i="2"/>
  <c r="K2082" i="2" s="1"/>
  <c r="L2082" i="2" s="1"/>
  <c r="M2082" i="2" s="1"/>
  <c r="H2082" i="2"/>
  <c r="J2010" i="2"/>
  <c r="N2010" i="2"/>
  <c r="K2010" i="2" s="1"/>
  <c r="L2010" i="2" s="1"/>
  <c r="M2010" i="2" s="1"/>
  <c r="I2010" i="2"/>
  <c r="H2010" i="2"/>
  <c r="E2010" i="2"/>
  <c r="F2010" i="2"/>
  <c r="N1888" i="2"/>
  <c r="K1888" i="2" s="1"/>
  <c r="L1888" i="2" s="1"/>
  <c r="M1888" i="2" s="1"/>
  <c r="J1888" i="2"/>
  <c r="I1888" i="2"/>
  <c r="H1888" i="2"/>
  <c r="F1888" i="2"/>
  <c r="E1888" i="2"/>
  <c r="F1993" i="2"/>
  <c r="E1993" i="2"/>
  <c r="J1993" i="2"/>
  <c r="N1993" i="2"/>
  <c r="K1993" i="2" s="1"/>
  <c r="L1993" i="2" s="1"/>
  <c r="M1993" i="2" s="1"/>
  <c r="I1993" i="2"/>
  <c r="H1993" i="2"/>
  <c r="J1994" i="2"/>
  <c r="I1994" i="2"/>
  <c r="H1994" i="2"/>
  <c r="F1994" i="2"/>
  <c r="N1994" i="2"/>
  <c r="K1994" i="2" s="1"/>
  <c r="L1994" i="2" s="1"/>
  <c r="M1994" i="2" s="1"/>
  <c r="E1994" i="2"/>
  <c r="F2017" i="2"/>
  <c r="E2017" i="2"/>
  <c r="I2017" i="2"/>
  <c r="H2017" i="2"/>
  <c r="N2017" i="2"/>
  <c r="K2017" i="2" s="1"/>
  <c r="L2017" i="2" s="1"/>
  <c r="M2017" i="2" s="1"/>
  <c r="J2017" i="2"/>
  <c r="E1980" i="2"/>
  <c r="J1980" i="2"/>
  <c r="I1980" i="2"/>
  <c r="N1980" i="2"/>
  <c r="K1980" i="2" s="1"/>
  <c r="L1980" i="2" s="1"/>
  <c r="M1980" i="2" s="1"/>
  <c r="H1980" i="2"/>
  <c r="F1980" i="2"/>
  <c r="N1946" i="2"/>
  <c r="K1946" i="2" s="1"/>
  <c r="L1946" i="2" s="1"/>
  <c r="M1946" i="2" s="1"/>
  <c r="I1946" i="2"/>
  <c r="E1946" i="2"/>
  <c r="J1946" i="2"/>
  <c r="H1946" i="2"/>
  <c r="F1946" i="2"/>
  <c r="N1984" i="2"/>
  <c r="K1984" i="2" s="1"/>
  <c r="L1984" i="2" s="1"/>
  <c r="M1984" i="2" s="1"/>
  <c r="J1984" i="2"/>
  <c r="I1984" i="2"/>
  <c r="H1984" i="2"/>
  <c r="F1984" i="2"/>
  <c r="E1984" i="2"/>
  <c r="I1731" i="2"/>
  <c r="H1731" i="2"/>
  <c r="F1731" i="2"/>
  <c r="E1731" i="2"/>
  <c r="N1731" i="2"/>
  <c r="K1731" i="2" s="1"/>
  <c r="L1731" i="2" s="1"/>
  <c r="M1731" i="2" s="1"/>
  <c r="J1731" i="2"/>
  <c r="I1631" i="2"/>
  <c r="H1631" i="2"/>
  <c r="F1631" i="2"/>
  <c r="E1631" i="2"/>
  <c r="J1631" i="2"/>
  <c r="N1631" i="2"/>
  <c r="K1631" i="2" s="1"/>
  <c r="L1631" i="2" s="1"/>
  <c r="M1631" i="2" s="1"/>
  <c r="J1677" i="2"/>
  <c r="I1677" i="2"/>
  <c r="H1677" i="2"/>
  <c r="N1677" i="2"/>
  <c r="K1677" i="2" s="1"/>
  <c r="L1677" i="2" s="1"/>
  <c r="M1677" i="2" s="1"/>
  <c r="F1677" i="2"/>
  <c r="E1677" i="2"/>
  <c r="I1843" i="2"/>
  <c r="H1843" i="2"/>
  <c r="F1843" i="2"/>
  <c r="E1843" i="2"/>
  <c r="N1843" i="2"/>
  <c r="K1843" i="2" s="1"/>
  <c r="L1843" i="2" s="1"/>
  <c r="M1843" i="2" s="1"/>
  <c r="J1843" i="2"/>
  <c r="J1638" i="2"/>
  <c r="I1638" i="2"/>
  <c r="H1638" i="2"/>
  <c r="N1638" i="2"/>
  <c r="K1638" i="2" s="1"/>
  <c r="L1638" i="2" s="1"/>
  <c r="M1638" i="2" s="1"/>
  <c r="F1638" i="2"/>
  <c r="E1638" i="2"/>
  <c r="J1584" i="2"/>
  <c r="I1584" i="2"/>
  <c r="H1584" i="2"/>
  <c r="F1584" i="2"/>
  <c r="E1584" i="2"/>
  <c r="N1584" i="2"/>
  <c r="K1584" i="2" s="1"/>
  <c r="L1584" i="2" s="1"/>
  <c r="M1584" i="2" s="1"/>
  <c r="J1842" i="2"/>
  <c r="I1842" i="2"/>
  <c r="H1842" i="2"/>
  <c r="F1842" i="2"/>
  <c r="E1842" i="2"/>
  <c r="N1842" i="2"/>
  <c r="K1842" i="2" s="1"/>
  <c r="L1842" i="2" s="1"/>
  <c r="M1842" i="2" s="1"/>
  <c r="N1810" i="2"/>
  <c r="K1810" i="2" s="1"/>
  <c r="L1810" i="2" s="1"/>
  <c r="M1810" i="2" s="1"/>
  <c r="J1810" i="2"/>
  <c r="H1810" i="2"/>
  <c r="F1810" i="2"/>
  <c r="E1810" i="2"/>
  <c r="I1810" i="2"/>
  <c r="J1818" i="2"/>
  <c r="N1818" i="2"/>
  <c r="K1818" i="2" s="1"/>
  <c r="L1818" i="2" s="1"/>
  <c r="M1818" i="2" s="1"/>
  <c r="F1818" i="2"/>
  <c r="E1818" i="2"/>
  <c r="H1818" i="2"/>
  <c r="I1818" i="2"/>
  <c r="N1359" i="2"/>
  <c r="K1359" i="2" s="1"/>
  <c r="L1359" i="2" s="1"/>
  <c r="M1359" i="2" s="1"/>
  <c r="J1359" i="2"/>
  <c r="I1359" i="2"/>
  <c r="H1359" i="2"/>
  <c r="F1359" i="2"/>
  <c r="E1359" i="2"/>
  <c r="J1419" i="2"/>
  <c r="I1419" i="2"/>
  <c r="H1419" i="2"/>
  <c r="F1419" i="2"/>
  <c r="N1419" i="2"/>
  <c r="K1419" i="2" s="1"/>
  <c r="L1419" i="2" s="1"/>
  <c r="M1419" i="2" s="1"/>
  <c r="E1419" i="2"/>
  <c r="N1409" i="2"/>
  <c r="K1409" i="2" s="1"/>
  <c r="L1409" i="2" s="1"/>
  <c r="M1409" i="2" s="1"/>
  <c r="E1409" i="2"/>
  <c r="H1409" i="2"/>
  <c r="J1409" i="2"/>
  <c r="I1409" i="2"/>
  <c r="F1409" i="2"/>
  <c r="J1198" i="2"/>
  <c r="I1198" i="2"/>
  <c r="H1198" i="2"/>
  <c r="F1198" i="2"/>
  <c r="E1198" i="2"/>
  <c r="N1198" i="2"/>
  <c r="K1198" i="2" s="1"/>
  <c r="L1198" i="2" s="1"/>
  <c r="M1198" i="2" s="1"/>
  <c r="N1242" i="2"/>
  <c r="K1242" i="2" s="1"/>
  <c r="L1242" i="2" s="1"/>
  <c r="M1242" i="2" s="1"/>
  <c r="H1242" i="2"/>
  <c r="F1242" i="2"/>
  <c r="E1242" i="2"/>
  <c r="J1242" i="2"/>
  <c r="I1242" i="2"/>
  <c r="F1213" i="2"/>
  <c r="N1213" i="2" s="1"/>
  <c r="K1213" i="2" s="1"/>
  <c r="F1237" i="2"/>
  <c r="E1237" i="2"/>
  <c r="N1237" i="2"/>
  <c r="K1237" i="2" s="1"/>
  <c r="L1237" i="2" s="1"/>
  <c r="M1237" i="2" s="1"/>
  <c r="I1237" i="2"/>
  <c r="J1237" i="2"/>
  <c r="H1237" i="2"/>
  <c r="J1295" i="2"/>
  <c r="I1295" i="2"/>
  <c r="E1295" i="2"/>
  <c r="N1295" i="2"/>
  <c r="K1295" i="2" s="1"/>
  <c r="L1295" i="2" s="1"/>
  <c r="M1295" i="2" s="1"/>
  <c r="F1295" i="2"/>
  <c r="H1295" i="2"/>
  <c r="E1285" i="2"/>
  <c r="I1285" i="2"/>
  <c r="H1285" i="2"/>
  <c r="F1285" i="2"/>
  <c r="N1285" i="2"/>
  <c r="K1285" i="2" s="1"/>
  <c r="L1285" i="2" s="1"/>
  <c r="M1285" i="2" s="1"/>
  <c r="J1285" i="2"/>
  <c r="J1306" i="2"/>
  <c r="I1306" i="2"/>
  <c r="H1306" i="2"/>
  <c r="F1306" i="2"/>
  <c r="N1306" i="2"/>
  <c r="K1306" i="2" s="1"/>
  <c r="L1306" i="2" s="1"/>
  <c r="M1306" i="2" s="1"/>
  <c r="E1306" i="2"/>
  <c r="H1000" i="2"/>
  <c r="I1000" i="2" s="1"/>
  <c r="F1000" i="2"/>
  <c r="N1000" i="2" s="1"/>
  <c r="K1000" i="2" s="1"/>
  <c r="H1015" i="2"/>
  <c r="F1015" i="2"/>
  <c r="E1015" i="2"/>
  <c r="N1015" i="2"/>
  <c r="K1015" i="2" s="1"/>
  <c r="L1015" i="2" s="1"/>
  <c r="M1015" i="2" s="1"/>
  <c r="J1015" i="2"/>
  <c r="I1015" i="2"/>
  <c r="J834" i="2"/>
  <c r="I834" i="2"/>
  <c r="N834" i="2"/>
  <c r="K834" i="2" s="1"/>
  <c r="L834" i="2" s="1"/>
  <c r="M834" i="2" s="1"/>
  <c r="F834" i="2"/>
  <c r="H834" i="2"/>
  <c r="E834" i="2"/>
  <c r="F684" i="2"/>
  <c r="N684" i="2" s="1"/>
  <c r="K684" i="2" s="1"/>
  <c r="H684" i="2"/>
  <c r="I684" i="2" s="1"/>
  <c r="F935" i="2"/>
  <c r="N935" i="2" s="1"/>
  <c r="K935" i="2" s="1"/>
  <c r="H935" i="2"/>
  <c r="I935" i="2" s="1"/>
  <c r="F928" i="2"/>
  <c r="N928" i="2" s="1"/>
  <c r="K928" i="2" s="1"/>
  <c r="H928" i="2"/>
  <c r="I928" i="2" s="1"/>
  <c r="N385" i="2"/>
  <c r="K385" i="2" s="1"/>
  <c r="H385" i="2"/>
  <c r="I385" i="2" s="1"/>
  <c r="N1141" i="2"/>
  <c r="K1141" i="2" s="1"/>
  <c r="L1141" i="2" s="1"/>
  <c r="M1141" i="2" s="1"/>
  <c r="J1141" i="2"/>
  <c r="I1141" i="2"/>
  <c r="H1141" i="2"/>
  <c r="F1141" i="2"/>
  <c r="E1141" i="2"/>
  <c r="I1105" i="2"/>
  <c r="H1105" i="2"/>
  <c r="F1105" i="2"/>
  <c r="E1105" i="2"/>
  <c r="N1105" i="2"/>
  <c r="K1105" i="2" s="1"/>
  <c r="L1105" i="2" s="1"/>
  <c r="M1105" i="2" s="1"/>
  <c r="J1105" i="2"/>
  <c r="F1128" i="2"/>
  <c r="E1128" i="2"/>
  <c r="H1128" i="2"/>
  <c r="N1128" i="2"/>
  <c r="K1128" i="2" s="1"/>
  <c r="L1128" i="2" s="1"/>
  <c r="M1128" i="2" s="1"/>
  <c r="I1128" i="2"/>
  <c r="J1128" i="2"/>
  <c r="J1086" i="2"/>
  <c r="I1086" i="2"/>
  <c r="H1086" i="2"/>
  <c r="N1086" i="2"/>
  <c r="K1086" i="2" s="1"/>
  <c r="L1086" i="2" s="1"/>
  <c r="M1086" i="2" s="1"/>
  <c r="F1086" i="2"/>
  <c r="E1086" i="2"/>
  <c r="J1078" i="2"/>
  <c r="I1078" i="2"/>
  <c r="H1078" i="2"/>
  <c r="F1078" i="2"/>
  <c r="N1078" i="2"/>
  <c r="K1078" i="2" s="1"/>
  <c r="L1078" i="2" s="1"/>
  <c r="M1078" i="2" s="1"/>
  <c r="E1078" i="2"/>
  <c r="N1072" i="2"/>
  <c r="K1072" i="2" s="1"/>
  <c r="L1072" i="2" s="1"/>
  <c r="M1072" i="2" s="1"/>
  <c r="I1072" i="2"/>
  <c r="J1072" i="2"/>
  <c r="H1072" i="2"/>
  <c r="F1072" i="2"/>
  <c r="E1072" i="2"/>
  <c r="N787" i="2"/>
  <c r="K787" i="2" s="1"/>
  <c r="L787" i="2" s="1"/>
  <c r="M787" i="2" s="1"/>
  <c r="I787" i="2"/>
  <c r="F787" i="2"/>
  <c r="H787" i="2"/>
  <c r="J787" i="2"/>
  <c r="E787" i="2"/>
  <c r="F733" i="2"/>
  <c r="N733" i="2" s="1"/>
  <c r="K733" i="2" s="1"/>
  <c r="B121" i="2"/>
  <c r="B188" i="2"/>
  <c r="B124" i="2"/>
  <c r="B346" i="2"/>
  <c r="B511" i="2"/>
  <c r="B215" i="2"/>
  <c r="B236" i="2"/>
  <c r="B561" i="2"/>
  <c r="B669" i="2"/>
  <c r="B570" i="2"/>
  <c r="B1170" i="2"/>
  <c r="B942" i="2"/>
  <c r="B679" i="2"/>
  <c r="B1340" i="2"/>
  <c r="B1026" i="2"/>
  <c r="B846" i="2"/>
  <c r="B1198" i="2"/>
  <c r="B1529" i="2"/>
  <c r="B1179" i="2"/>
  <c r="B1139" i="2"/>
  <c r="B1267" i="2"/>
  <c r="B1589" i="2"/>
  <c r="B1458" i="2"/>
  <c r="B1525" i="2"/>
  <c r="B1645" i="2"/>
  <c r="B1786" i="2"/>
  <c r="B2039" i="2"/>
  <c r="B2052" i="2"/>
  <c r="B2042" i="2"/>
  <c r="B2027" i="2"/>
  <c r="B2089" i="2"/>
  <c r="B2148" i="2"/>
  <c r="B2157" i="2"/>
  <c r="B2333" i="2"/>
  <c r="N54" i="2"/>
  <c r="K54" i="2" s="1"/>
  <c r="L54" i="2" s="1"/>
  <c r="M54" i="2" s="1"/>
  <c r="E54" i="2"/>
  <c r="J54" i="2"/>
  <c r="I54" i="2"/>
  <c r="H54" i="2"/>
  <c r="F54" i="2"/>
  <c r="N61" i="2"/>
  <c r="K61" i="2" s="1"/>
  <c r="L61" i="2" s="1"/>
  <c r="M61" i="2" s="1"/>
  <c r="H61" i="2"/>
  <c r="I61" i="2"/>
  <c r="J61" i="2"/>
  <c r="F61" i="2"/>
  <c r="E61" i="2"/>
  <c r="B557" i="2"/>
  <c r="B975" i="2"/>
  <c r="B1498" i="2"/>
  <c r="B1445" i="2"/>
  <c r="B1860" i="2"/>
  <c r="B2013" i="2"/>
  <c r="F2351" i="2"/>
  <c r="E2351" i="2"/>
  <c r="J2351" i="2"/>
  <c r="I2351" i="2"/>
  <c r="N2351" i="2"/>
  <c r="K2351" i="2" s="1"/>
  <c r="L2351" i="2" s="1"/>
  <c r="M2351" i="2" s="1"/>
  <c r="H2351" i="2"/>
  <c r="E2190" i="2"/>
  <c r="F2190" i="2"/>
  <c r="N2190" i="2"/>
  <c r="K2190" i="2" s="1"/>
  <c r="L2190" i="2" s="1"/>
  <c r="M2190" i="2" s="1"/>
  <c r="J2190" i="2"/>
  <c r="I2190" i="2"/>
  <c r="H2190" i="2"/>
  <c r="J1903" i="2"/>
  <c r="I1903" i="2"/>
  <c r="H1903" i="2"/>
  <c r="F1903" i="2"/>
  <c r="N1903" i="2"/>
  <c r="K1903" i="2" s="1"/>
  <c r="L1903" i="2" s="1"/>
  <c r="M1903" i="2" s="1"/>
  <c r="E1903" i="2"/>
  <c r="N2016" i="2"/>
  <c r="K2016" i="2" s="1"/>
  <c r="L2016" i="2" s="1"/>
  <c r="M2016" i="2" s="1"/>
  <c r="F2016" i="2"/>
  <c r="J2016" i="2"/>
  <c r="I2016" i="2"/>
  <c r="H2016" i="2"/>
  <c r="E2016" i="2"/>
  <c r="J1964" i="2"/>
  <c r="I1964" i="2"/>
  <c r="H1964" i="2"/>
  <c r="F1964" i="2"/>
  <c r="E1964" i="2"/>
  <c r="N1964" i="2"/>
  <c r="K1964" i="2" s="1"/>
  <c r="L1964" i="2" s="1"/>
  <c r="M1964" i="2" s="1"/>
  <c r="H1649" i="2"/>
  <c r="F1649" i="2"/>
  <c r="E1649" i="2"/>
  <c r="I1649" i="2"/>
  <c r="N1649" i="2"/>
  <c r="K1649" i="2" s="1"/>
  <c r="L1649" i="2" s="1"/>
  <c r="M1649" i="2" s="1"/>
  <c r="J1649" i="2"/>
  <c r="J1673" i="2"/>
  <c r="I1673" i="2"/>
  <c r="H1673" i="2"/>
  <c r="F1673" i="2"/>
  <c r="E1673" i="2"/>
  <c r="N1673" i="2"/>
  <c r="K1673" i="2" s="1"/>
  <c r="L1673" i="2" s="1"/>
  <c r="M1673" i="2" s="1"/>
  <c r="N1847" i="2"/>
  <c r="K1847" i="2" s="1"/>
  <c r="L1847" i="2" s="1"/>
  <c r="M1847" i="2" s="1"/>
  <c r="I1847" i="2"/>
  <c r="H1847" i="2"/>
  <c r="J1847" i="2"/>
  <c r="F1847" i="2"/>
  <c r="E1847" i="2"/>
  <c r="F1329" i="2"/>
  <c r="N1329" i="2" s="1"/>
  <c r="K1329" i="2" s="1"/>
  <c r="I1424" i="2"/>
  <c r="H1424" i="2"/>
  <c r="F1424" i="2"/>
  <c r="E1424" i="2"/>
  <c r="N1424" i="2"/>
  <c r="K1424" i="2" s="1"/>
  <c r="L1424" i="2" s="1"/>
  <c r="M1424" i="2" s="1"/>
  <c r="J1424" i="2"/>
  <c r="N1327" i="2"/>
  <c r="K1327" i="2" s="1"/>
  <c r="L1327" i="2" s="1"/>
  <c r="M1327" i="2" s="1"/>
  <c r="H1327" i="2"/>
  <c r="F1327" i="2"/>
  <c r="E1327" i="2"/>
  <c r="J1327" i="2"/>
  <c r="I1327" i="2"/>
  <c r="I844" i="2"/>
  <c r="H844" i="2"/>
  <c r="F844" i="2"/>
  <c r="E844" i="2"/>
  <c r="N844" i="2"/>
  <c r="K844" i="2" s="1"/>
  <c r="L844" i="2" s="1"/>
  <c r="M844" i="2" s="1"/>
  <c r="J844" i="2"/>
  <c r="H566" i="2"/>
  <c r="I566" i="2" s="1"/>
  <c r="F566" i="2"/>
  <c r="N566" i="2" s="1"/>
  <c r="K566" i="2" s="1"/>
  <c r="L566" i="2" s="1"/>
  <c r="M566" i="2" s="1"/>
  <c r="F1038" i="2"/>
  <c r="N1038" i="2" s="1"/>
  <c r="K1038" i="2" s="1"/>
  <c r="F748" i="2"/>
  <c r="N748" i="2" s="1"/>
  <c r="K748" i="2" s="1"/>
  <c r="L748" i="2" s="1"/>
  <c r="M748" i="2" s="1"/>
  <c r="H748" i="2"/>
  <c r="I748" i="2" s="1"/>
  <c r="N377" i="2"/>
  <c r="K377" i="2" s="1"/>
  <c r="L377" i="2" s="1"/>
  <c r="M377" i="2" s="1"/>
  <c r="J342" i="2"/>
  <c r="I342" i="2"/>
  <c r="E342" i="2"/>
  <c r="N342" i="2"/>
  <c r="K342" i="2" s="1"/>
  <c r="L342" i="2" s="1"/>
  <c r="M342" i="2" s="1"/>
  <c r="H342" i="2"/>
  <c r="J355" i="2"/>
  <c r="I355" i="2"/>
  <c r="H355" i="2"/>
  <c r="N355" i="2"/>
  <c r="K355" i="2" s="1"/>
  <c r="L355" i="2" s="1"/>
  <c r="M355" i="2" s="1"/>
  <c r="E355" i="2"/>
  <c r="F620" i="2"/>
  <c r="N620" i="2" s="1"/>
  <c r="K620" i="2" s="1"/>
  <c r="L620" i="2" s="1"/>
  <c r="M620" i="2" s="1"/>
  <c r="H620" i="2"/>
  <c r="I620" i="2" s="1"/>
  <c r="N304" i="2"/>
  <c r="K304" i="2" s="1"/>
  <c r="L304" i="2" s="1"/>
  <c r="M304" i="2" s="1"/>
  <c r="H304" i="2"/>
  <c r="J304" i="2"/>
  <c r="I304" i="2"/>
  <c r="E304" i="2"/>
  <c r="B1000" i="2"/>
  <c r="B542" i="2"/>
  <c r="B1066" i="2"/>
  <c r="B1368" i="2"/>
  <c r="B1957" i="2"/>
  <c r="I2324" i="2"/>
  <c r="N2324" i="2"/>
  <c r="K2324" i="2" s="1"/>
  <c r="L2324" i="2" s="1"/>
  <c r="M2324" i="2" s="1"/>
  <c r="J2324" i="2"/>
  <c r="H2324" i="2"/>
  <c r="E2324" i="2"/>
  <c r="F2324" i="2"/>
  <c r="J1919" i="2"/>
  <c r="I1919" i="2"/>
  <c r="H1919" i="2"/>
  <c r="F1919" i="2"/>
  <c r="E1919" i="2"/>
  <c r="N1919" i="2"/>
  <c r="K1919" i="2" s="1"/>
  <c r="L1919" i="2" s="1"/>
  <c r="M1919" i="2" s="1"/>
  <c r="J1665" i="2"/>
  <c r="I1665" i="2"/>
  <c r="H1665" i="2"/>
  <c r="F1665" i="2"/>
  <c r="N1665" i="2"/>
  <c r="K1665" i="2" s="1"/>
  <c r="L1665" i="2" s="1"/>
  <c r="M1665" i="2" s="1"/>
  <c r="E1665" i="2"/>
  <c r="F1845" i="2"/>
  <c r="E1845" i="2"/>
  <c r="H1845" i="2"/>
  <c r="J1845" i="2"/>
  <c r="I1845" i="2"/>
  <c r="N1845" i="2"/>
  <c r="K1845" i="2" s="1"/>
  <c r="L1845" i="2" s="1"/>
  <c r="M1845" i="2" s="1"/>
  <c r="J1252" i="2"/>
  <c r="N1252" i="2"/>
  <c r="K1252" i="2" s="1"/>
  <c r="L1252" i="2" s="1"/>
  <c r="M1252" i="2" s="1"/>
  <c r="I1252" i="2"/>
  <c r="H1252" i="2"/>
  <c r="E1252" i="2"/>
  <c r="F1252" i="2"/>
  <c r="J966" i="2"/>
  <c r="I966" i="2"/>
  <c r="H966" i="2"/>
  <c r="F966" i="2"/>
  <c r="E966" i="2"/>
  <c r="N966" i="2"/>
  <c r="K966" i="2" s="1"/>
  <c r="L966" i="2" s="1"/>
  <c r="M966" i="2" s="1"/>
  <c r="I1137" i="2"/>
  <c r="H1137" i="2"/>
  <c r="F1137" i="2"/>
  <c r="E1137" i="2"/>
  <c r="J1137" i="2"/>
  <c r="N1137" i="2"/>
  <c r="K1137" i="2" s="1"/>
  <c r="L1137" i="2" s="1"/>
  <c r="M1137" i="2" s="1"/>
  <c r="N1040" i="2"/>
  <c r="K1040" i="2" s="1"/>
  <c r="L1040" i="2" s="1"/>
  <c r="M1040" i="2" s="1"/>
  <c r="I1040" i="2"/>
  <c r="F1040" i="2"/>
  <c r="J1040" i="2"/>
  <c r="H1040" i="2"/>
  <c r="E1040" i="2"/>
  <c r="H324" i="2"/>
  <c r="I324" i="2" s="1"/>
  <c r="N324" i="2"/>
  <c r="K324" i="2" s="1"/>
  <c r="L324" i="2" s="1"/>
  <c r="M324" i="2" s="1"/>
  <c r="B485" i="2"/>
  <c r="B1008" i="2"/>
  <c r="B1509" i="2"/>
  <c r="B2223" i="2"/>
  <c r="J2102" i="2"/>
  <c r="I2102" i="2"/>
  <c r="E2102" i="2"/>
  <c r="F2102" i="2"/>
  <c r="H2102" i="2"/>
  <c r="N2102" i="2"/>
  <c r="K2102" i="2" s="1"/>
  <c r="L2102" i="2" s="1"/>
  <c r="M2102" i="2" s="1"/>
  <c r="B503" i="2"/>
  <c r="B1167" i="2"/>
  <c r="B1684" i="2"/>
  <c r="B2239" i="2"/>
  <c r="E2099" i="2"/>
  <c r="N2099" i="2"/>
  <c r="K2099" i="2" s="1"/>
  <c r="L2099" i="2" s="1"/>
  <c r="M2099" i="2" s="1"/>
  <c r="J2099" i="2"/>
  <c r="I2099" i="2"/>
  <c r="H2099" i="2"/>
  <c r="F2099" i="2"/>
  <c r="N2087" i="2"/>
  <c r="K2087" i="2" s="1"/>
  <c r="L2087" i="2" s="1"/>
  <c r="M2087" i="2" s="1"/>
  <c r="J2087" i="2"/>
  <c r="E2087" i="2"/>
  <c r="H2087" i="2"/>
  <c r="I2087" i="2"/>
  <c r="F2087" i="2"/>
  <c r="J1914" i="2"/>
  <c r="I1914" i="2"/>
  <c r="E1914" i="2"/>
  <c r="N1914" i="2"/>
  <c r="K1914" i="2" s="1"/>
  <c r="L1914" i="2" s="1"/>
  <c r="M1914" i="2" s="1"/>
  <c r="H1914" i="2"/>
  <c r="F1914" i="2"/>
  <c r="I1937" i="2"/>
  <c r="H1937" i="2"/>
  <c r="F1937" i="2"/>
  <c r="E1937" i="2"/>
  <c r="N1937" i="2"/>
  <c r="K1937" i="2" s="1"/>
  <c r="L1937" i="2" s="1"/>
  <c r="M1937" i="2" s="1"/>
  <c r="J1937" i="2"/>
  <c r="N1603" i="2"/>
  <c r="K1603" i="2" s="1"/>
  <c r="L1603" i="2" s="1"/>
  <c r="M1603" i="2" s="1"/>
  <c r="E1603" i="2"/>
  <c r="H1603" i="2"/>
  <c r="I1603" i="2"/>
  <c r="F1603" i="2"/>
  <c r="J1603" i="2"/>
  <c r="J1654" i="2"/>
  <c r="E1654" i="2"/>
  <c r="I1654" i="2"/>
  <c r="H1654" i="2"/>
  <c r="N1654" i="2"/>
  <c r="K1654" i="2" s="1"/>
  <c r="L1654" i="2" s="1"/>
  <c r="M1654" i="2" s="1"/>
  <c r="F1654" i="2"/>
  <c r="N1343" i="2"/>
  <c r="K1343" i="2" s="1"/>
  <c r="L1343" i="2" s="1"/>
  <c r="M1343" i="2" s="1"/>
  <c r="J1343" i="2"/>
  <c r="I1343" i="2"/>
  <c r="H1343" i="2"/>
  <c r="F1343" i="2"/>
  <c r="E1343" i="2"/>
  <c r="F1429" i="2"/>
  <c r="E1429" i="2"/>
  <c r="N1429" i="2"/>
  <c r="K1429" i="2" s="1"/>
  <c r="L1429" i="2" s="1"/>
  <c r="M1429" i="2" s="1"/>
  <c r="J1429" i="2"/>
  <c r="I1429" i="2"/>
  <c r="H1429" i="2"/>
  <c r="E1184" i="2"/>
  <c r="N1184" i="2"/>
  <c r="K1184" i="2" s="1"/>
  <c r="L1184" i="2" s="1"/>
  <c r="M1184" i="2" s="1"/>
  <c r="F1184" i="2"/>
  <c r="J1184" i="2"/>
  <c r="I1184" i="2"/>
  <c r="H1184" i="2"/>
  <c r="H1439" i="2"/>
  <c r="F1439" i="2"/>
  <c r="E1439" i="2"/>
  <c r="N1439" i="2"/>
  <c r="K1439" i="2" s="1"/>
  <c r="L1439" i="2" s="1"/>
  <c r="M1439" i="2" s="1"/>
  <c r="J1439" i="2"/>
  <c r="I1439" i="2"/>
  <c r="N1425" i="2"/>
  <c r="K1425" i="2" s="1"/>
  <c r="L1425" i="2" s="1"/>
  <c r="M1425" i="2" s="1"/>
  <c r="F1425" i="2"/>
  <c r="E1425" i="2"/>
  <c r="I1425" i="2"/>
  <c r="J1425" i="2"/>
  <c r="H1425" i="2"/>
  <c r="J1182" i="2"/>
  <c r="I1182" i="2"/>
  <c r="H1182" i="2"/>
  <c r="F1182" i="2"/>
  <c r="E1182" i="2"/>
  <c r="N1182" i="2"/>
  <c r="K1182" i="2" s="1"/>
  <c r="L1182" i="2" s="1"/>
  <c r="M1182" i="2" s="1"/>
  <c r="F1210" i="2"/>
  <c r="N1210" i="2" s="1"/>
  <c r="K1210" i="2" s="1"/>
  <c r="L1210" i="2" s="1"/>
  <c r="M1210" i="2" s="1"/>
  <c r="F1229" i="2"/>
  <c r="E1229" i="2"/>
  <c r="N1229" i="2"/>
  <c r="K1229" i="2" s="1"/>
  <c r="L1229" i="2" s="1"/>
  <c r="M1229" i="2" s="1"/>
  <c r="I1229" i="2"/>
  <c r="J1229" i="2"/>
  <c r="H1229" i="2"/>
  <c r="E1253" i="2"/>
  <c r="H1253" i="2"/>
  <c r="J1253" i="2"/>
  <c r="I1253" i="2"/>
  <c r="F1253" i="2"/>
  <c r="N1253" i="2"/>
  <c r="K1253" i="2" s="1"/>
  <c r="L1253" i="2" s="1"/>
  <c r="M1253" i="2" s="1"/>
  <c r="J1315" i="2"/>
  <c r="I1315" i="2"/>
  <c r="H1315" i="2"/>
  <c r="F1315" i="2"/>
  <c r="E1315" i="2"/>
  <c r="N1315" i="2"/>
  <c r="K1315" i="2" s="1"/>
  <c r="L1315" i="2" s="1"/>
  <c r="M1315" i="2" s="1"/>
  <c r="E1309" i="2"/>
  <c r="F1309" i="2"/>
  <c r="J1309" i="2"/>
  <c r="H1309" i="2"/>
  <c r="I1309" i="2"/>
  <c r="N1309" i="2"/>
  <c r="K1309" i="2" s="1"/>
  <c r="L1309" i="2" s="1"/>
  <c r="M1309" i="2" s="1"/>
  <c r="J1322" i="2"/>
  <c r="I1322" i="2"/>
  <c r="H1322" i="2"/>
  <c r="F1322" i="2"/>
  <c r="N1322" i="2"/>
  <c r="K1322" i="2" s="1"/>
  <c r="L1322" i="2" s="1"/>
  <c r="M1322" i="2" s="1"/>
  <c r="E1322" i="2"/>
  <c r="J984" i="2"/>
  <c r="I984" i="2"/>
  <c r="H984" i="2"/>
  <c r="F984" i="2"/>
  <c r="E984" i="2"/>
  <c r="N984" i="2"/>
  <c r="K984" i="2" s="1"/>
  <c r="L984" i="2" s="1"/>
  <c r="M984" i="2" s="1"/>
  <c r="H999" i="2"/>
  <c r="F999" i="2"/>
  <c r="E999" i="2"/>
  <c r="J999" i="2"/>
  <c r="I999" i="2"/>
  <c r="N999" i="2"/>
  <c r="K999" i="2" s="1"/>
  <c r="L999" i="2" s="1"/>
  <c r="M999" i="2" s="1"/>
  <c r="F818" i="2"/>
  <c r="N818" i="2" s="1"/>
  <c r="K818" i="2" s="1"/>
  <c r="L818" i="2" s="1"/>
  <c r="M818" i="2" s="1"/>
  <c r="H818" i="2"/>
  <c r="I818" i="2" s="1"/>
  <c r="N951" i="2"/>
  <c r="K951" i="2" s="1"/>
  <c r="L951" i="2" s="1"/>
  <c r="M951" i="2" s="1"/>
  <c r="F951" i="2"/>
  <c r="E951" i="2"/>
  <c r="I951" i="2"/>
  <c r="J951" i="2"/>
  <c r="H951" i="2"/>
  <c r="F944" i="2"/>
  <c r="N944" i="2" s="1"/>
  <c r="K944" i="2" s="1"/>
  <c r="H944" i="2"/>
  <c r="I944" i="2" s="1"/>
  <c r="N369" i="2"/>
  <c r="K369" i="2" s="1"/>
  <c r="F1099" i="2"/>
  <c r="N1099" i="2" s="1"/>
  <c r="K1099" i="2" s="1"/>
  <c r="N1131" i="2"/>
  <c r="K1131" i="2" s="1"/>
  <c r="L1131" i="2" s="1"/>
  <c r="M1131" i="2" s="1"/>
  <c r="I1131" i="2"/>
  <c r="F1131" i="2"/>
  <c r="E1131" i="2"/>
  <c r="J1131" i="2"/>
  <c r="H1131" i="2"/>
  <c r="F1144" i="2"/>
  <c r="E1144" i="2"/>
  <c r="H1144" i="2"/>
  <c r="J1144" i="2"/>
  <c r="I1144" i="2"/>
  <c r="N1144" i="2"/>
  <c r="K1144" i="2" s="1"/>
  <c r="L1144" i="2" s="1"/>
  <c r="M1144" i="2" s="1"/>
  <c r="F1046" i="2"/>
  <c r="E1046" i="2"/>
  <c r="N1046" i="2"/>
  <c r="K1046" i="2" s="1"/>
  <c r="L1046" i="2" s="1"/>
  <c r="M1046" i="2" s="1"/>
  <c r="H1046" i="2"/>
  <c r="J1046" i="2"/>
  <c r="I1046" i="2"/>
  <c r="F1032" i="2"/>
  <c r="N1032" i="2" s="1"/>
  <c r="K1032" i="2" s="1"/>
  <c r="F1041" i="2"/>
  <c r="E1041" i="2"/>
  <c r="J1041" i="2"/>
  <c r="I1041" i="2"/>
  <c r="H1041" i="2"/>
  <c r="N1041" i="2"/>
  <c r="K1041" i="2" s="1"/>
  <c r="L1041" i="2" s="1"/>
  <c r="M1041" i="2" s="1"/>
  <c r="H260" i="2"/>
  <c r="N260" i="2"/>
  <c r="K260" i="2" s="1"/>
  <c r="N282" i="2"/>
  <c r="K282" i="2" s="1"/>
  <c r="L282" i="2" s="1"/>
  <c r="M282" i="2" s="1"/>
  <c r="J282" i="2"/>
  <c r="E282" i="2"/>
  <c r="H282" i="2"/>
  <c r="I282" i="2"/>
  <c r="N301" i="2"/>
  <c r="K301" i="2" s="1"/>
  <c r="L301" i="2" s="1"/>
  <c r="M301" i="2" s="1"/>
  <c r="E301" i="2"/>
  <c r="J301" i="2"/>
  <c r="I301" i="2"/>
  <c r="H301" i="2"/>
  <c r="B155" i="2"/>
  <c r="B230" i="2"/>
  <c r="B266" i="2"/>
  <c r="B353" i="2"/>
  <c r="B544" i="2"/>
  <c r="B223" i="2"/>
  <c r="B676" i="2"/>
  <c r="B640" i="2"/>
  <c r="B762" i="2"/>
  <c r="B743" i="2"/>
  <c r="B1310" i="2"/>
  <c r="B1068" i="2"/>
  <c r="B687" i="2"/>
  <c r="B1063" i="2"/>
  <c r="B1048" i="2"/>
  <c r="B909" i="2"/>
  <c r="B999" i="2"/>
  <c r="B1290" i="2"/>
  <c r="B1187" i="2"/>
  <c r="B1147" i="2"/>
  <c r="B1640" i="2"/>
  <c r="B1792" i="2"/>
  <c r="B1487" i="2"/>
  <c r="B1549" i="2"/>
  <c r="B1653" i="2"/>
  <c r="B1834" i="2"/>
  <c r="B1736" i="2"/>
  <c r="B1729" i="2"/>
  <c r="B2083" i="2"/>
  <c r="B2141" i="2"/>
  <c r="B2253" i="2"/>
  <c r="B2163" i="2"/>
  <c r="B2161" i="2"/>
  <c r="B648" i="2"/>
  <c r="B252" i="2"/>
  <c r="B366" i="2"/>
  <c r="B118" i="2"/>
  <c r="B95" i="2"/>
  <c r="B42" i="2"/>
  <c r="B330" i="2"/>
  <c r="B157" i="2"/>
  <c r="B39" i="2"/>
  <c r="B68" i="2"/>
  <c r="B141" i="2"/>
  <c r="B86" i="2"/>
  <c r="B18" i="2"/>
  <c r="B362" i="2"/>
  <c r="B45" i="2"/>
  <c r="B221" i="2"/>
  <c r="B219" i="2"/>
  <c r="B32" i="2"/>
  <c r="B839" i="2"/>
  <c r="B369" i="2"/>
  <c r="B173" i="2"/>
  <c r="B48" i="2"/>
  <c r="B250" i="2"/>
  <c r="B166" i="2"/>
  <c r="B90" i="2"/>
  <c r="B58" i="2"/>
  <c r="B13" i="2"/>
  <c r="N10" i="2"/>
  <c r="K10" i="2" s="1"/>
  <c r="L10" i="2" s="1"/>
  <c r="M10" i="2" s="1"/>
  <c r="B113" i="2"/>
  <c r="B64" i="2"/>
  <c r="B29" i="2"/>
  <c r="B871" i="2"/>
  <c r="B475" i="2"/>
  <c r="B359" i="2"/>
  <c r="B89" i="2"/>
  <c r="B15" i="2"/>
  <c r="I10" i="2"/>
  <c r="B61" i="2"/>
  <c r="B334" i="2"/>
  <c r="B2372" i="2"/>
  <c r="B2357" i="2"/>
  <c r="B453" i="2"/>
  <c r="B2364" i="2"/>
  <c r="B2305" i="2"/>
  <c r="B2374" i="2"/>
  <c r="B2392" i="2"/>
  <c r="B2273" i="2"/>
  <c r="B2318" i="2"/>
  <c r="B2281" i="2"/>
  <c r="B2330" i="2"/>
  <c r="B2174" i="2"/>
  <c r="B2090" i="2"/>
  <c r="B2259" i="2"/>
  <c r="B2135" i="2"/>
  <c r="B2144" i="2"/>
  <c r="B2179" i="2"/>
  <c r="B2298" i="2"/>
  <c r="B2030" i="2"/>
  <c r="B2059" i="2"/>
  <c r="B2218" i="2"/>
  <c r="B2188" i="2"/>
  <c r="B2245" i="2"/>
  <c r="B1963" i="2"/>
  <c r="B2288" i="2"/>
  <c r="B2168" i="2"/>
  <c r="B2118" i="2"/>
  <c r="B1975" i="2"/>
  <c r="B2092" i="2"/>
  <c r="B2255" i="2"/>
  <c r="B2008" i="2"/>
  <c r="B2056" i="2"/>
  <c r="B1742" i="2"/>
  <c r="B1974" i="2"/>
  <c r="B1907" i="2"/>
  <c r="B1882" i="2"/>
  <c r="B1927" i="2"/>
  <c r="B2050" i="2"/>
  <c r="B1979" i="2"/>
  <c r="B1850" i="2"/>
  <c r="B1720" i="2"/>
  <c r="B1775" i="2"/>
  <c r="B1767" i="2"/>
  <c r="B1732" i="2"/>
  <c r="B1673" i="2"/>
  <c r="B1602" i="2"/>
  <c r="B1637" i="2"/>
  <c r="B1634" i="2"/>
  <c r="B1676" i="2"/>
  <c r="B1741" i="2"/>
  <c r="B1690" i="2"/>
  <c r="B1805" i="2"/>
  <c r="B1642" i="2"/>
  <c r="B1852" i="2"/>
  <c r="B1410" i="2"/>
  <c r="B1352" i="2"/>
  <c r="B1421" i="2"/>
  <c r="B1371" i="2"/>
  <c r="B1432" i="2"/>
  <c r="B1558" i="2"/>
  <c r="B1364" i="2"/>
  <c r="B1423" i="2"/>
  <c r="B1601" i="2"/>
  <c r="B1251" i="2"/>
  <c r="B1304" i="2"/>
  <c r="B1791" i="2"/>
  <c r="B1574" i="2"/>
  <c r="B1123" i="2"/>
  <c r="B1208" i="2"/>
  <c r="B1270" i="2"/>
  <c r="B1500" i="2"/>
  <c r="B2057" i="2"/>
  <c r="B1137" i="2"/>
  <c r="B1319" i="2"/>
  <c r="B1382" i="2"/>
  <c r="B1241" i="2"/>
  <c r="B1406" i="2"/>
  <c r="B1358" i="2"/>
  <c r="B1041" i="2"/>
  <c r="B1395" i="2"/>
  <c r="B1542" i="2"/>
  <c r="B1238" i="2"/>
  <c r="B1116" i="2"/>
  <c r="B838" i="2"/>
  <c r="B1076" i="2"/>
  <c r="B875" i="2"/>
  <c r="B841" i="2"/>
  <c r="B973" i="2"/>
  <c r="B1071" i="2"/>
  <c r="B804" i="2"/>
  <c r="B948" i="2"/>
  <c r="B977" i="2"/>
  <c r="B904" i="2"/>
  <c r="B777" i="2"/>
  <c r="B1357" i="2"/>
  <c r="B719" i="2"/>
  <c r="B953" i="2"/>
  <c r="B653" i="2"/>
  <c r="B714" i="2"/>
  <c r="B1059" i="2"/>
  <c r="B741" i="2"/>
  <c r="B1124" i="2"/>
  <c r="B736" i="2"/>
  <c r="B1031" i="2"/>
  <c r="B598" i="2"/>
  <c r="B383" i="2"/>
  <c r="B476" i="2"/>
  <c r="B951" i="2"/>
  <c r="B521" i="2"/>
  <c r="B962" i="2"/>
  <c r="B550" i="2"/>
  <c r="B1566" i="2"/>
  <c r="B538" i="2"/>
  <c r="B1043" i="2"/>
  <c r="B651" i="2"/>
  <c r="B680" i="2"/>
  <c r="B241" i="2"/>
  <c r="B454" i="2"/>
  <c r="B167" i="2"/>
  <c r="B594" i="2"/>
  <c r="B212" i="2"/>
  <c r="B441" i="2"/>
  <c r="B178" i="2"/>
  <c r="B519" i="2"/>
  <c r="B191" i="2"/>
  <c r="B549" i="2"/>
  <c r="B668" i="2"/>
  <c r="B125" i="2"/>
  <c r="B381" i="2"/>
  <c r="B580" i="2"/>
  <c r="B144" i="2"/>
  <c r="B619" i="2"/>
  <c r="B715" i="2"/>
  <c r="B123" i="2"/>
  <c r="B237" i="2"/>
  <c r="B318" i="2"/>
  <c r="B227" i="2"/>
  <c r="B652" i="2"/>
  <c r="B17" i="2"/>
  <c r="B881" i="2"/>
  <c r="B747" i="2"/>
  <c r="B70" i="2"/>
  <c r="B213" i="2"/>
  <c r="B604" i="2"/>
  <c r="B139" i="2"/>
  <c r="B467" i="2"/>
  <c r="B106" i="2"/>
  <c r="B2356" i="2"/>
  <c r="B2297" i="2"/>
  <c r="B2370" i="2"/>
  <c r="B2387" i="2"/>
  <c r="B2252" i="2"/>
  <c r="B2313" i="2"/>
  <c r="B2256" i="2"/>
  <c r="B2327" i="2"/>
  <c r="B2103" i="2"/>
  <c r="B2082" i="2"/>
  <c r="B2335" i="2"/>
  <c r="B2126" i="2"/>
  <c r="B2133" i="2"/>
  <c r="B2108" i="2"/>
  <c r="B2154" i="2"/>
  <c r="B2022" i="2"/>
  <c r="B2051" i="2"/>
  <c r="B2156" i="2"/>
  <c r="B2171" i="2"/>
  <c r="B2228" i="2"/>
  <c r="B1955" i="2"/>
  <c r="B2203" i="2"/>
  <c r="B2101" i="2"/>
  <c r="B2031" i="2"/>
  <c r="B1970" i="2"/>
  <c r="B1956" i="2"/>
  <c r="B2131" i="2"/>
  <c r="B1972" i="2"/>
  <c r="B2160" i="2"/>
  <c r="B1734" i="2"/>
  <c r="B1935" i="2"/>
  <c r="B1864" i="2"/>
  <c r="B1857" i="2"/>
  <c r="B1893" i="2"/>
  <c r="B2010" i="2"/>
  <c r="B1804" i="2"/>
  <c r="B1819" i="2"/>
  <c r="B1714" i="2"/>
  <c r="B1761" i="2"/>
  <c r="B1753" i="2"/>
  <c r="B1723" i="2"/>
  <c r="B1671" i="2"/>
  <c r="B1594" i="2"/>
  <c r="B1629" i="2"/>
  <c r="B1617" i="2"/>
  <c r="B1661" i="2"/>
  <c r="B1713" i="2"/>
  <c r="B1672" i="2"/>
  <c r="B1731" i="2"/>
  <c r="B1625" i="2"/>
  <c r="B1839" i="2"/>
  <c r="B1402" i="2"/>
  <c r="B1708" i="2"/>
  <c r="B1413" i="2"/>
  <c r="B1363" i="2"/>
  <c r="B1424" i="2"/>
  <c r="B1537" i="2"/>
  <c r="B1362" i="2"/>
  <c r="B1411" i="2"/>
  <c r="B1531" i="2"/>
  <c r="B1243" i="2"/>
  <c r="B1296" i="2"/>
  <c r="B1499" i="2"/>
  <c r="B1545" i="2"/>
  <c r="B1115" i="2"/>
  <c r="B1200" i="2"/>
  <c r="B1237" i="2"/>
  <c r="B1430" i="2"/>
  <c r="B1681" i="2"/>
  <c r="B1561" i="2"/>
  <c r="B1286" i="2"/>
  <c r="B1369" i="2"/>
  <c r="B1197" i="2"/>
  <c r="B1399" i="2"/>
  <c r="B1346" i="2"/>
  <c r="B1033" i="2"/>
  <c r="B1260" i="2"/>
  <c r="B1438" i="2"/>
  <c r="B1222" i="2"/>
  <c r="B1096" i="2"/>
  <c r="B830" i="2"/>
  <c r="B1067" i="2"/>
  <c r="B867" i="2"/>
  <c r="B833" i="2"/>
  <c r="B902" i="2"/>
  <c r="B1036" i="2"/>
  <c r="B1350" i="2"/>
  <c r="B940" i="2"/>
  <c r="B969" i="2"/>
  <c r="B896" i="2"/>
  <c r="B769" i="2"/>
  <c r="B1308" i="2"/>
  <c r="B711" i="2"/>
  <c r="B937" i="2"/>
  <c r="B645" i="2"/>
  <c r="B706" i="2"/>
  <c r="B987" i="2"/>
  <c r="B733" i="2"/>
  <c r="B1104" i="2"/>
  <c r="B1261" i="2"/>
  <c r="B946" i="2"/>
  <c r="B589" i="2"/>
  <c r="B375" i="2"/>
  <c r="B468" i="2"/>
  <c r="B882" i="2"/>
  <c r="B513" i="2"/>
  <c r="B900" i="2"/>
  <c r="B487" i="2"/>
  <c r="B1052" i="2"/>
  <c r="B530" i="2"/>
  <c r="B984" i="2"/>
  <c r="B616" i="2"/>
  <c r="B672" i="2"/>
  <c r="B233" i="2"/>
  <c r="B449" i="2"/>
  <c r="B159" i="2"/>
  <c r="B590" i="2"/>
  <c r="B204" i="2"/>
  <c r="B417" i="2"/>
  <c r="B170" i="2"/>
  <c r="B496" i="2"/>
  <c r="B1035" i="2"/>
  <c r="B536" i="2"/>
  <c r="B656" i="2"/>
  <c r="B117" i="2"/>
  <c r="B313" i="2"/>
  <c r="B548" i="2"/>
  <c r="B128" i="2"/>
  <c r="B388" i="2"/>
  <c r="B567" i="2"/>
  <c r="B115" i="2"/>
  <c r="B214" i="2"/>
  <c r="B282" i="2"/>
  <c r="B218" i="2"/>
  <c r="B633" i="2"/>
  <c r="B602" i="2"/>
  <c r="B713" i="2"/>
  <c r="B663" i="2"/>
  <c r="B709" i="2"/>
  <c r="B10" i="2"/>
  <c r="B180" i="2"/>
  <c r="B486" i="2"/>
  <c r="B114" i="2"/>
  <c r="B367" i="2"/>
  <c r="B2289" i="2"/>
  <c r="B2338" i="2"/>
  <c r="B2244" i="2"/>
  <c r="B2306" i="2"/>
  <c r="B2243" i="2"/>
  <c r="B2311" i="2"/>
  <c r="B2095" i="2"/>
  <c r="B2385" i="2"/>
  <c r="B2232" i="2"/>
  <c r="B2115" i="2"/>
  <c r="B2122" i="2"/>
  <c r="B2097" i="2"/>
  <c r="B2145" i="2"/>
  <c r="B2014" i="2"/>
  <c r="B1988" i="2"/>
  <c r="B2153" i="2"/>
  <c r="B2164" i="2"/>
  <c r="B2211" i="2"/>
  <c r="B1947" i="2"/>
  <c r="B2189" i="2"/>
  <c r="B2084" i="2"/>
  <c r="B2029" i="2"/>
  <c r="B2361" i="2"/>
  <c r="B1954" i="2"/>
  <c r="B1967" i="2"/>
  <c r="B1919" i="2"/>
  <c r="B2085" i="2"/>
  <c r="B1726" i="2"/>
  <c r="B1910" i="2"/>
  <c r="B1806" i="2"/>
  <c r="B1849" i="2"/>
  <c r="B1890" i="2"/>
  <c r="B1962" i="2"/>
  <c r="B1783" i="2"/>
  <c r="B1814" i="2"/>
  <c r="B1686" i="2"/>
  <c r="B1752" i="2"/>
  <c r="B1843" i="2"/>
  <c r="B1715" i="2"/>
  <c r="B1669" i="2"/>
  <c r="B1586" i="2"/>
  <c r="B1982" i="2"/>
  <c r="B1580" i="2"/>
  <c r="B1619" i="2"/>
  <c r="B1687" i="2"/>
  <c r="B1660" i="2"/>
  <c r="B1707" i="2"/>
  <c r="B1597" i="2"/>
  <c r="B1654" i="2"/>
  <c r="B1394" i="2"/>
  <c r="B1685" i="2"/>
  <c r="B1405" i="2"/>
  <c r="B1355" i="2"/>
  <c r="B1416" i="2"/>
  <c r="B1523" i="2"/>
  <c r="B1343" i="2"/>
  <c r="B1409" i="2"/>
  <c r="B1515" i="2"/>
  <c r="B1929" i="2"/>
  <c r="B1288" i="2"/>
  <c r="B1475" i="2"/>
  <c r="B1473" i="2"/>
  <c r="B1107" i="2"/>
  <c r="B1192" i="2"/>
  <c r="B1229" i="2"/>
  <c r="B1388" i="2"/>
  <c r="B1650" i="2"/>
  <c r="B1535" i="2"/>
  <c r="B1284" i="2"/>
  <c r="B1316" i="2"/>
  <c r="B1194" i="2"/>
  <c r="B1307" i="2"/>
  <c r="B1249" i="2"/>
  <c r="B1563" i="2"/>
  <c r="B1207" i="2"/>
  <c r="B1314" i="2"/>
  <c r="B1177" i="2"/>
  <c r="B1088" i="2"/>
  <c r="B822" i="2"/>
  <c r="B1032" i="2"/>
  <c r="B859" i="2"/>
  <c r="B825" i="2"/>
  <c r="B894" i="2"/>
  <c r="B1019" i="2"/>
  <c r="B1318" i="2"/>
  <c r="B932" i="2"/>
  <c r="B906" i="2"/>
  <c r="B1324" i="2"/>
  <c r="B761" i="2"/>
  <c r="B1165" i="2"/>
  <c r="B703" i="2"/>
  <c r="B921" i="2"/>
  <c r="B637" i="2"/>
  <c r="B698" i="2"/>
  <c r="B958" i="2"/>
  <c r="B961" i="2"/>
  <c r="B1236" i="2"/>
  <c r="B901" i="2"/>
  <c r="B554" i="2"/>
  <c r="B1122" i="2"/>
  <c r="B460" i="2"/>
  <c r="B792" i="2"/>
  <c r="B505" i="2"/>
  <c r="B873" i="2"/>
  <c r="B479" i="2"/>
  <c r="B938" i="2"/>
  <c r="B522" i="2"/>
  <c r="B959" i="2"/>
  <c r="B599" i="2"/>
  <c r="B644" i="2"/>
  <c r="B225" i="2"/>
  <c r="B401" i="2"/>
  <c r="B151" i="2"/>
  <c r="B553" i="2"/>
  <c r="B196" i="2"/>
  <c r="B382" i="2"/>
  <c r="B162" i="2"/>
  <c r="B491" i="2"/>
  <c r="B974" i="2"/>
  <c r="B531" i="2"/>
  <c r="B574" i="2"/>
  <c r="B109" i="2"/>
  <c r="B274" i="2"/>
  <c r="B443" i="2"/>
  <c r="B120" i="2"/>
  <c r="B377" i="2"/>
  <c r="B562" i="2"/>
  <c r="B107" i="2"/>
  <c r="B202" i="2"/>
  <c r="B259" i="2"/>
  <c r="B145" i="2"/>
  <c r="B516" i="2"/>
  <c r="B458" i="2"/>
  <c r="B609" i="2"/>
  <c r="B450" i="2"/>
  <c r="B685" i="2"/>
  <c r="B174" i="2"/>
  <c r="B442" i="2"/>
  <c r="B78" i="2"/>
  <c r="B300" i="2"/>
  <c r="B74" i="2"/>
  <c r="B340" i="2"/>
  <c r="B794" i="2"/>
  <c r="B19" i="2"/>
  <c r="B578" i="2"/>
  <c r="B461" i="2"/>
  <c r="B11" i="2"/>
  <c r="B147" i="2"/>
  <c r="B662" i="2"/>
  <c r="B20" i="2"/>
  <c r="B153" i="2"/>
  <c r="B92" i="2"/>
  <c r="B2407" i="2"/>
  <c r="B406" i="2"/>
  <c r="B37" i="2"/>
  <c r="B2399" i="2"/>
  <c r="B879" i="2"/>
  <c r="B34" i="2"/>
  <c r="B59" i="2"/>
  <c r="B35" i="2"/>
  <c r="B2391" i="2"/>
  <c r="B2382" i="2"/>
  <c r="B2301" i="2"/>
  <c r="B2295" i="2"/>
  <c r="B2365" i="2"/>
  <c r="B2402" i="2"/>
  <c r="C7" i="9" a="1"/>
  <c r="C7" i="9" s="1"/>
  <c r="B1037" i="2"/>
  <c r="B1064" i="2"/>
  <c r="B52" i="2"/>
  <c r="B136" i="2"/>
  <c r="B2383" i="2"/>
  <c r="B2378" i="2"/>
  <c r="B2287" i="2"/>
  <c r="B2286" i="2"/>
  <c r="B2321" i="2"/>
  <c r="B2350" i="2"/>
  <c r="B2394" i="2"/>
  <c r="D2408" i="2"/>
  <c r="D44" i="3" s="1"/>
  <c r="B2366" i="2"/>
  <c r="B2254" i="2"/>
  <c r="B2194" i="2"/>
  <c r="B2290" i="2"/>
  <c r="B2071" i="2"/>
  <c r="B2322" i="2"/>
  <c r="B2215" i="2"/>
  <c r="B2398" i="2"/>
  <c r="B2076" i="2"/>
  <c r="B2054" i="2"/>
  <c r="B2384" i="2"/>
  <c r="B2081" i="2"/>
  <c r="B2219" i="2"/>
  <c r="B2034" i="2"/>
  <c r="B1924" i="2"/>
  <c r="B1995" i="2"/>
  <c r="B2269" i="2"/>
  <c r="B2184" i="2"/>
  <c r="B1880" i="2"/>
  <c r="B1885" i="2"/>
  <c r="B1901" i="2"/>
  <c r="B2105" i="2"/>
  <c r="B1832" i="2"/>
  <c r="B1774" i="2"/>
  <c r="B1817" i="2"/>
  <c r="B2119" i="2"/>
  <c r="B1827" i="2"/>
  <c r="B1683" i="2"/>
  <c r="B1704" i="2"/>
  <c r="B2142" i="2"/>
  <c r="B1754" i="2"/>
  <c r="B1682" i="2"/>
  <c r="B1695" i="2"/>
  <c r="B1968" i="2"/>
  <c r="B1932" i="2"/>
  <c r="B1862" i="2"/>
  <c r="B1485" i="2"/>
  <c r="B1546" i="2"/>
  <c r="B1496" i="2"/>
  <c r="B1598" i="2"/>
  <c r="B1576" i="2"/>
  <c r="B1875" i="2"/>
  <c r="B1518" i="2"/>
  <c r="B1588" i="2"/>
  <c r="B1534" i="2"/>
  <c r="B1665" i="2"/>
  <c r="B1658" i="2"/>
  <c r="B1559" i="2"/>
  <c r="B1703" i="2"/>
  <c r="B1248" i="2"/>
  <c r="B1309" i="2"/>
  <c r="B1385" i="2"/>
  <c r="B1570" i="2"/>
  <c r="B1674" i="2"/>
  <c r="B1616" i="2"/>
  <c r="B1283" i="2"/>
  <c r="B1463" i="2"/>
  <c r="B1160" i="2"/>
  <c r="B1134" i="2"/>
  <c r="B1246" i="2"/>
  <c r="B1392" i="2"/>
  <c r="B1367" i="2"/>
  <c r="B1217" i="2"/>
  <c r="B1239" i="2"/>
  <c r="B1111" i="2"/>
  <c r="B1212" i="2"/>
  <c r="B1154" i="2"/>
  <c r="B1202" i="2"/>
  <c r="B1129" i="2"/>
  <c r="B1175" i="2"/>
  <c r="B1470" i="2"/>
  <c r="B988" i="2"/>
  <c r="B1679" i="2"/>
  <c r="B994" i="2"/>
  <c r="B1055" i="2"/>
  <c r="B1322" i="2"/>
  <c r="B862" i="2"/>
  <c r="B947" i="2"/>
  <c r="B1135" i="2"/>
  <c r="B1401" i="2"/>
  <c r="B1336" i="2"/>
  <c r="B966" i="2"/>
  <c r="B729" i="2"/>
  <c r="B982" i="2"/>
  <c r="B671" i="2"/>
  <c r="B824" i="2"/>
  <c r="B1274" i="2"/>
  <c r="B603" i="2"/>
  <c r="B880" i="2"/>
  <c r="B630" i="2"/>
  <c r="B884" i="2"/>
  <c r="B989" i="2"/>
  <c r="B827" i="2"/>
  <c r="B526" i="2"/>
  <c r="B895" i="2"/>
  <c r="B365" i="2"/>
  <c r="B724" i="2"/>
  <c r="B418" i="2"/>
  <c r="B766" i="2"/>
  <c r="B447" i="2"/>
  <c r="B759" i="2"/>
  <c r="B490" i="2"/>
  <c r="B796" i="2"/>
  <c r="B541" i="2"/>
  <c r="B535" i="2"/>
  <c r="B193" i="2"/>
  <c r="B312" i="2"/>
  <c r="B971" i="2"/>
  <c r="B499" i="2"/>
  <c r="B797" i="2"/>
  <c r="B314" i="2"/>
  <c r="B130" i="2"/>
  <c r="B351" i="2"/>
  <c r="B819" i="2"/>
  <c r="B428" i="2"/>
  <c r="B414" i="2"/>
  <c r="B877" i="2"/>
  <c r="B177" i="2"/>
  <c r="B384" i="2"/>
  <c r="B88" i="2"/>
  <c r="B331" i="2"/>
  <c r="B480" i="2"/>
  <c r="B1089" i="2"/>
  <c r="B770" i="2"/>
  <c r="B775" i="2"/>
  <c r="B79" i="2"/>
  <c r="B299" i="2"/>
  <c r="B185" i="2"/>
  <c r="B393" i="2"/>
  <c r="B566" i="2"/>
  <c r="B434" i="2"/>
  <c r="B565" i="2"/>
  <c r="B82" i="2"/>
  <c r="B53" i="2"/>
  <c r="B195" i="2"/>
  <c r="B448" i="2"/>
  <c r="B122" i="2"/>
  <c r="B56" i="2"/>
  <c r="B149" i="2"/>
  <c r="B2375" i="2"/>
  <c r="B2316" i="2"/>
  <c r="B2279" i="2"/>
  <c r="B2275" i="2"/>
  <c r="B2307" i="2"/>
  <c r="B2344" i="2"/>
  <c r="B2340" i="2"/>
  <c r="B2347" i="2"/>
  <c r="B2296" i="2"/>
  <c r="B2224" i="2"/>
  <c r="B2186" i="2"/>
  <c r="B2282" i="2"/>
  <c r="B2063" i="2"/>
  <c r="B2280" i="2"/>
  <c r="B2200" i="2"/>
  <c r="B2352" i="2"/>
  <c r="B2064" i="2"/>
  <c r="B1983" i="2"/>
  <c r="B2229" i="2"/>
  <c r="B2072" i="2"/>
  <c r="B2138" i="2"/>
  <c r="B2032" i="2"/>
  <c r="B1916" i="2"/>
  <c r="B2231" i="2"/>
  <c r="B2149" i="2"/>
  <c r="B2065" i="2"/>
  <c r="B1872" i="2"/>
  <c r="B2332" i="2"/>
  <c r="B1870" i="2"/>
  <c r="B1803" i="2"/>
  <c r="B1824" i="2"/>
  <c r="B1766" i="2"/>
  <c r="B1809" i="2"/>
  <c r="B2094" i="2"/>
  <c r="B1822" i="2"/>
  <c r="B1675" i="2"/>
  <c r="B1696" i="2"/>
  <c r="B2096" i="2"/>
  <c r="B1969" i="2"/>
  <c r="B1680" i="2"/>
  <c r="B1623" i="2"/>
  <c r="B1851" i="2"/>
  <c r="B1818" i="2"/>
  <c r="B1835" i="2"/>
  <c r="B1477" i="2"/>
  <c r="B1538" i="2"/>
  <c r="B1488" i="2"/>
  <c r="B1596" i="2"/>
  <c r="B1505" i="2"/>
  <c r="B1768" i="2"/>
  <c r="B1508" i="2"/>
  <c r="B1571" i="2"/>
  <c r="B1520" i="2"/>
  <c r="B1648" i="2"/>
  <c r="B1606" i="2"/>
  <c r="B1547" i="2"/>
  <c r="B1647" i="2"/>
  <c r="B1240" i="2"/>
  <c r="B1301" i="2"/>
  <c r="B1383" i="2"/>
  <c r="B1462" i="2"/>
  <c r="B1543" i="2"/>
  <c r="B1609" i="2"/>
  <c r="B1281" i="2"/>
  <c r="B1435" i="2"/>
  <c r="B1152" i="2"/>
  <c r="B1126" i="2"/>
  <c r="B1244" i="2"/>
  <c r="B1365" i="2"/>
  <c r="B1204" i="2"/>
  <c r="B1209" i="2"/>
  <c r="B1231" i="2"/>
  <c r="B1109" i="2"/>
  <c r="B1099" i="2"/>
  <c r="B1144" i="2"/>
  <c r="B1199" i="2"/>
  <c r="B1127" i="2"/>
  <c r="B1747" i="2"/>
  <c r="B1422" i="2"/>
  <c r="B965" i="2"/>
  <c r="B1386" i="2"/>
  <c r="B992" i="2"/>
  <c r="B1003" i="2"/>
  <c r="B1275" i="2"/>
  <c r="B854" i="2"/>
  <c r="B939" i="2"/>
  <c r="B1114" i="2"/>
  <c r="B1150" i="2"/>
  <c r="B1169" i="2"/>
  <c r="B950" i="2"/>
  <c r="B666" i="2"/>
  <c r="B979" i="2"/>
  <c r="B608" i="2"/>
  <c r="B788" i="2"/>
  <c r="B1186" i="2"/>
  <c r="B595" i="2"/>
  <c r="B868" i="2"/>
  <c r="B622" i="2"/>
  <c r="B861" i="2"/>
  <c r="B976" i="2"/>
  <c r="B758" i="2"/>
  <c r="B518" i="2"/>
  <c r="B786" i="2"/>
  <c r="B357" i="2"/>
  <c r="B693" i="2"/>
  <c r="B410" i="2"/>
  <c r="B763" i="2"/>
  <c r="B439" i="2"/>
  <c r="B710" i="2"/>
  <c r="B427" i="2"/>
  <c r="B742" i="2"/>
  <c r="B533" i="2"/>
  <c r="B512" i="2"/>
  <c r="B1568" i="2"/>
  <c r="B302" i="2"/>
  <c r="B927" i="2"/>
  <c r="B464" i="2"/>
  <c r="B735" i="2"/>
  <c r="B305" i="2"/>
  <c r="B1014" i="2"/>
  <c r="B316" i="2"/>
  <c r="B774" i="2"/>
  <c r="B409" i="2"/>
  <c r="B343" i="2"/>
  <c r="B799" i="2"/>
  <c r="B165" i="2"/>
  <c r="B324" i="2"/>
  <c r="B80" i="2"/>
  <c r="B290" i="2"/>
  <c r="B307" i="2"/>
  <c r="B935" i="2"/>
  <c r="B734" i="2"/>
  <c r="B754" i="2"/>
  <c r="B77" i="2"/>
  <c r="B291" i="2"/>
  <c r="B168" i="2"/>
  <c r="B338" i="2"/>
  <c r="B559" i="2"/>
  <c r="B376" i="2"/>
  <c r="B470" i="2"/>
  <c r="B573" i="2"/>
  <c r="B1027" i="2"/>
  <c r="B129" i="2"/>
  <c r="B339" i="2"/>
  <c r="B787" i="2"/>
  <c r="B66" i="2"/>
  <c r="B2367" i="2"/>
  <c r="B2314" i="2"/>
  <c r="B2403" i="2"/>
  <c r="B2386" i="2"/>
  <c r="B2271" i="2"/>
  <c r="B2266" i="2"/>
  <c r="B2308" i="2"/>
  <c r="B2329" i="2"/>
  <c r="B2265" i="2"/>
  <c r="B2207" i="2"/>
  <c r="B2178" i="2"/>
  <c r="B2222" i="2"/>
  <c r="B2393" i="2"/>
  <c r="B2226" i="2"/>
  <c r="B2173" i="2"/>
  <c r="B2323" i="2"/>
  <c r="B2041" i="2"/>
  <c r="B2251" i="2"/>
  <c r="B2212" i="2"/>
  <c r="B2066" i="2"/>
  <c r="B2078" i="2"/>
  <c r="B2004" i="2"/>
  <c r="B1908" i="2"/>
  <c r="B2172" i="2"/>
  <c r="B2028" i="2"/>
  <c r="B2021" i="2"/>
  <c r="B2358" i="2"/>
  <c r="B2165" i="2"/>
  <c r="B1866" i="2"/>
  <c r="B1795" i="2"/>
  <c r="B1816" i="2"/>
  <c r="B1758" i="2"/>
  <c r="B1746" i="2"/>
  <c r="B2068" i="2"/>
  <c r="B1812" i="2"/>
  <c r="B1667" i="2"/>
  <c r="B1961" i="2"/>
  <c r="B1959" i="2"/>
  <c r="B1944" i="2"/>
  <c r="B1657" i="2"/>
  <c r="B1615" i="2"/>
  <c r="B1842" i="2"/>
  <c r="B1780" i="2"/>
  <c r="B1733" i="2"/>
  <c r="B1469" i="2"/>
  <c r="B1530" i="2"/>
  <c r="B1480" i="2"/>
  <c r="B1565" i="2"/>
  <c r="B1497" i="2"/>
  <c r="B1719" i="2"/>
  <c r="B1494" i="2"/>
  <c r="B1560" i="2"/>
  <c r="B1511" i="2"/>
  <c r="B1635" i="2"/>
  <c r="B1578" i="2"/>
  <c r="B1526" i="2"/>
  <c r="B1613" i="2"/>
  <c r="B1765" i="2"/>
  <c r="B1293" i="2"/>
  <c r="B1381" i="2"/>
  <c r="B1439" i="2"/>
  <c r="B1484" i="2"/>
  <c r="B1479" i="2"/>
  <c r="B1279" i="2"/>
  <c r="B1412" i="2"/>
  <c r="B2117" i="2"/>
  <c r="B1118" i="2"/>
  <c r="B1242" i="2"/>
  <c r="B1334" i="2"/>
  <c r="B1196" i="2"/>
  <c r="B1688" i="2"/>
  <c r="B1223" i="2"/>
  <c r="B1086" i="2"/>
  <c r="B1091" i="2"/>
  <c r="B1132" i="2"/>
  <c r="B1156" i="2"/>
  <c r="B1125" i="2"/>
  <c r="B1590" i="2"/>
  <c r="B1331" i="2"/>
  <c r="B957" i="2"/>
  <c r="B1306" i="2"/>
  <c r="B990" i="2"/>
  <c r="B968" i="2"/>
  <c r="B1140" i="2"/>
  <c r="B1604" i="2"/>
  <c r="B931" i="2"/>
  <c r="B1092" i="2"/>
  <c r="B1117" i="2"/>
  <c r="B1157" i="2"/>
  <c r="B934" i="2"/>
  <c r="B658" i="2"/>
  <c r="B908" i="2"/>
  <c r="B600" i="2"/>
  <c r="B780" i="2"/>
  <c r="B1101" i="2"/>
  <c r="B587" i="2"/>
  <c r="B837" i="2"/>
  <c r="B614" i="2"/>
  <c r="B849" i="2"/>
  <c r="B905" i="2"/>
  <c r="B755" i="2"/>
  <c r="B510" i="2"/>
  <c r="B783" i="2"/>
  <c r="B349" i="2"/>
  <c r="B688" i="2"/>
  <c r="B402" i="2"/>
  <c r="B675" i="2"/>
  <c r="B431" i="2"/>
  <c r="B705" i="2"/>
  <c r="B419" i="2"/>
  <c r="B739" i="2"/>
  <c r="B525" i="2"/>
  <c r="B507" i="2"/>
  <c r="B887" i="2"/>
  <c r="B294" i="2"/>
  <c r="B919" i="2"/>
  <c r="B424" i="2"/>
  <c r="B632" i="2"/>
  <c r="B297" i="2"/>
  <c r="B852" i="2"/>
  <c r="B310" i="2"/>
  <c r="B726" i="2"/>
  <c r="B374" i="2"/>
  <c r="B295" i="2"/>
  <c r="B717" i="2"/>
  <c r="B142" i="2"/>
  <c r="B288" i="2"/>
  <c r="B72" i="2"/>
  <c r="B267" i="2"/>
  <c r="B292" i="2"/>
  <c r="B750" i="2"/>
  <c r="B641" i="2"/>
  <c r="B813" i="2"/>
  <c r="B71" i="2"/>
  <c r="B182" i="2"/>
  <c r="B134" i="2"/>
  <c r="B261" i="2"/>
  <c r="B543" i="2"/>
  <c r="B355" i="2"/>
  <c r="B413" i="2"/>
  <c r="B445" i="2"/>
  <c r="B889" i="2"/>
  <c r="B127" i="2"/>
  <c r="B283" i="2"/>
  <c r="B327" i="2"/>
  <c r="B40" i="2"/>
  <c r="B211" i="2"/>
  <c r="B132" i="2"/>
  <c r="B1457" i="2"/>
  <c r="B91" i="2"/>
  <c r="B707" i="2"/>
  <c r="B161" i="2"/>
  <c r="B2359" i="2"/>
  <c r="B2312" i="2"/>
  <c r="B2397" i="2"/>
  <c r="B2363" i="2"/>
  <c r="B2257" i="2"/>
  <c r="B2264" i="2"/>
  <c r="B2294" i="2"/>
  <c r="B2293" i="2"/>
  <c r="B2201" i="2"/>
  <c r="B2199" i="2"/>
  <c r="B2170" i="2"/>
  <c r="B2192" i="2"/>
  <c r="B2317" i="2"/>
  <c r="B2158" i="2"/>
  <c r="B2166" i="2"/>
  <c r="B2283" i="2"/>
  <c r="B2033" i="2"/>
  <c r="B2221" i="2"/>
  <c r="B2208" i="2"/>
  <c r="B2047" i="2"/>
  <c r="B1987" i="2"/>
  <c r="B2002" i="2"/>
  <c r="B1900" i="2"/>
  <c r="B2114" i="2"/>
  <c r="B2026" i="2"/>
  <c r="B1991" i="2"/>
  <c r="B2247" i="2"/>
  <c r="B2110" i="2"/>
  <c r="B1861" i="2"/>
  <c r="B1787" i="2"/>
  <c r="B1745" i="2"/>
  <c r="B1750" i="2"/>
  <c r="B1738" i="2"/>
  <c r="B2044" i="2"/>
  <c r="B1781" i="2"/>
  <c r="B1659" i="2"/>
  <c r="B1930" i="2"/>
  <c r="B1903" i="2"/>
  <c r="B1925" i="2"/>
  <c r="B1649" i="2"/>
  <c r="B1607" i="2"/>
  <c r="B1815" i="2"/>
  <c r="B1772" i="2"/>
  <c r="B1691" i="2"/>
  <c r="B1461" i="2"/>
  <c r="B1522" i="2"/>
  <c r="B1472" i="2"/>
  <c r="B1557" i="2"/>
  <c r="B1489" i="2"/>
  <c r="B1710" i="2"/>
  <c r="B1466" i="2"/>
  <c r="B1532" i="2"/>
  <c r="B1478" i="2"/>
  <c r="B1614" i="2"/>
  <c r="B1573" i="2"/>
  <c r="B1512" i="2"/>
  <c r="B1540" i="2"/>
  <c r="B1749" i="2"/>
  <c r="B1285" i="2"/>
  <c r="B1353" i="2"/>
  <c r="B1427" i="2"/>
  <c r="B1467" i="2"/>
  <c r="B1433" i="2"/>
  <c r="B1234" i="2"/>
  <c r="B1375" i="2"/>
  <c r="B1727" i="2"/>
  <c r="B1110" i="2"/>
  <c r="B1203" i="2"/>
  <c r="B1291" i="2"/>
  <c r="B1188" i="2"/>
  <c r="B1632" i="2"/>
  <c r="B1215" i="2"/>
  <c r="B1078" i="2"/>
  <c r="B1028" i="2"/>
  <c r="B1130" i="2"/>
  <c r="B1146" i="2"/>
  <c r="B1082" i="2"/>
  <c r="B1582" i="2"/>
  <c r="B1323" i="2"/>
  <c r="B949" i="2"/>
  <c r="B1252" i="2"/>
  <c r="B986" i="2"/>
  <c r="B960" i="2"/>
  <c r="B1133" i="2"/>
  <c r="B1344" i="2"/>
  <c r="B923" i="2"/>
  <c r="B1084" i="2"/>
  <c r="B1077" i="2"/>
  <c r="B1148" i="2"/>
  <c r="B918" i="2"/>
  <c r="B650" i="2"/>
  <c r="B888" i="2"/>
  <c r="B592" i="2"/>
  <c r="B772" i="2"/>
  <c r="B1079" i="2"/>
  <c r="B579" i="2"/>
  <c r="B802" i="2"/>
  <c r="B1380" i="2"/>
  <c r="B818" i="2"/>
  <c r="B872" i="2"/>
  <c r="B701" i="2"/>
  <c r="B502" i="2"/>
  <c r="B683" i="2"/>
  <c r="B341" i="2"/>
  <c r="B670" i="2"/>
  <c r="B394" i="2"/>
  <c r="B659" i="2"/>
  <c r="B368" i="2"/>
  <c r="B700" i="2"/>
  <c r="B411" i="2"/>
  <c r="B728" i="2"/>
  <c r="B517" i="2"/>
  <c r="B472" i="2"/>
  <c r="B840" i="2"/>
  <c r="B286" i="2"/>
  <c r="B716" i="2"/>
  <c r="B389" i="2"/>
  <c r="B617" i="2"/>
  <c r="B289" i="2"/>
  <c r="B821" i="2"/>
  <c r="B247" i="2"/>
  <c r="B718" i="2"/>
  <c r="B364" i="2"/>
  <c r="B272" i="2"/>
  <c r="B597" i="2"/>
  <c r="B67" i="2"/>
  <c r="B276" i="2"/>
  <c r="B998" i="2"/>
  <c r="B255" i="2"/>
  <c r="B269" i="2"/>
  <c r="B623" i="2"/>
  <c r="B628" i="2"/>
  <c r="B466" i="2"/>
  <c r="B62" i="2"/>
  <c r="B148" i="2"/>
  <c r="B105" i="2"/>
  <c r="B242" i="2"/>
  <c r="B492" i="2"/>
  <c r="B200" i="2"/>
  <c r="B404" i="2"/>
  <c r="B430" i="2"/>
  <c r="B539" i="2"/>
  <c r="B110" i="2"/>
  <c r="B275" i="2"/>
  <c r="B26" i="2"/>
  <c r="B31" i="2"/>
  <c r="B152" i="2"/>
  <c r="B16" i="2"/>
  <c r="B100" i="2"/>
  <c r="B187" i="2"/>
  <c r="B2351" i="2"/>
  <c r="B2310" i="2"/>
  <c r="B2360" i="2"/>
  <c r="B2346" i="2"/>
  <c r="B36" i="2"/>
  <c r="B190" i="2"/>
  <c r="B2380" i="2"/>
  <c r="B2368" i="2"/>
  <c r="B2268" i="2"/>
  <c r="B2388" i="2"/>
  <c r="B2324" i="2"/>
  <c r="B2376" i="2"/>
  <c r="B2217" i="2"/>
  <c r="B2267" i="2"/>
  <c r="B2395" i="2"/>
  <c r="B2196" i="2"/>
  <c r="B2128" i="2"/>
  <c r="B2025" i="2"/>
  <c r="B2091" i="2"/>
  <c r="B1971" i="2"/>
  <c r="B1950" i="2"/>
  <c r="B2061" i="2"/>
  <c r="B1869" i="2"/>
  <c r="B1917" i="2"/>
  <c r="B1821" i="2"/>
  <c r="B2109" i="2"/>
  <c r="B1730" i="2"/>
  <c r="B1863" i="2"/>
  <c r="B1855" i="2"/>
  <c r="B1831" i="2"/>
  <c r="B1633" i="2"/>
  <c r="B1636" i="2"/>
  <c r="B1876" i="2"/>
  <c r="B1698" i="2"/>
  <c r="B1828" i="2"/>
  <c r="B1973" i="2"/>
  <c r="B1553" i="2"/>
  <c r="B1360" i="2"/>
  <c r="B1503" i="2"/>
  <c r="B1692" i="2"/>
  <c r="B1256" i="2"/>
  <c r="B1481" i="2"/>
  <c r="B1320" i="2"/>
  <c r="B1552" i="2"/>
  <c r="B1359" i="2"/>
  <c r="B1213" i="2"/>
  <c r="B1155" i="2"/>
  <c r="B1450" i="2"/>
  <c r="B1486" i="2"/>
  <c r="B1228" i="2"/>
  <c r="B1510" i="2"/>
  <c r="B1042" i="2"/>
  <c r="B1227" i="2"/>
  <c r="B1173" i="2"/>
  <c r="B1345" i="2"/>
  <c r="B981" i="2"/>
  <c r="B828" i="2"/>
  <c r="B1011" i="2"/>
  <c r="B1002" i="2"/>
  <c r="B1151" i="2"/>
  <c r="B1056" i="2"/>
  <c r="B826" i="2"/>
  <c r="B800" i="2"/>
  <c r="B929" i="2"/>
  <c r="B1158" i="2"/>
  <c r="B407" i="2"/>
  <c r="B325" i="2"/>
  <c r="B426" i="2"/>
  <c r="B471" i="2"/>
  <c r="B569" i="2"/>
  <c r="B702" i="2"/>
  <c r="B422" i="2"/>
  <c r="B342" i="2"/>
  <c r="B625" i="2"/>
  <c r="B469" i="2"/>
  <c r="B771" i="2"/>
  <c r="B850" i="2"/>
  <c r="B528" i="2"/>
  <c r="B421" i="2"/>
  <c r="B222" i="2"/>
  <c r="B224" i="2"/>
  <c r="B1404" i="2"/>
  <c r="B326" i="2"/>
  <c r="B30" i="2"/>
  <c r="B65" i="2"/>
  <c r="B1911" i="2"/>
  <c r="B76" i="2"/>
  <c r="B73" i="2"/>
  <c r="B50" i="2"/>
  <c r="B28" i="2"/>
  <c r="B102" i="2"/>
  <c r="B922" i="2"/>
  <c r="B2401" i="2"/>
  <c r="B2299" i="2"/>
  <c r="B2337" i="2"/>
  <c r="B2206" i="2"/>
  <c r="B2191" i="2"/>
  <c r="B2369" i="2"/>
  <c r="B2181" i="2"/>
  <c r="B2088" i="2"/>
  <c r="B2017" i="2"/>
  <c r="B2070" i="2"/>
  <c r="B1939" i="2"/>
  <c r="B1942" i="2"/>
  <c r="B2048" i="2"/>
  <c r="B1928" i="2"/>
  <c r="B1915" i="2"/>
  <c r="B1813" i="2"/>
  <c r="B2035" i="2"/>
  <c r="B1722" i="2"/>
  <c r="B1858" i="2"/>
  <c r="B1797" i="2"/>
  <c r="B1826" i="2"/>
  <c r="B1847" i="2"/>
  <c r="B1801" i="2"/>
  <c r="B1868" i="2"/>
  <c r="B1694" i="2"/>
  <c r="B1794" i="2"/>
  <c r="B1933" i="2"/>
  <c r="B1539" i="2"/>
  <c r="B1584" i="2"/>
  <c r="B1387" i="2"/>
  <c r="B1628" i="2"/>
  <c r="B1556" i="2"/>
  <c r="B1468" i="2"/>
  <c r="B1312" i="2"/>
  <c r="B1528" i="2"/>
  <c r="B1339" i="2"/>
  <c r="B1142" i="2"/>
  <c r="B1443" i="2"/>
  <c r="B1414" i="2"/>
  <c r="B1342" i="2"/>
  <c r="B1020" i="2"/>
  <c r="B1266" i="2"/>
  <c r="B1034" i="2"/>
  <c r="B1183" i="2"/>
  <c r="B1164" i="2"/>
  <c r="B1069" i="2"/>
  <c r="B886" i="2"/>
  <c r="B820" i="2"/>
  <c r="B997" i="2"/>
  <c r="B893" i="2"/>
  <c r="B1061" i="2"/>
  <c r="B1025" i="2"/>
  <c r="B803" i="2"/>
  <c r="B781" i="2"/>
  <c r="B913" i="2"/>
  <c r="B866" i="2"/>
  <c r="B399" i="2"/>
  <c r="B317" i="2"/>
  <c r="B386" i="2"/>
  <c r="B463" i="2"/>
  <c r="B546" i="2"/>
  <c r="B697" i="2"/>
  <c r="B408" i="2"/>
  <c r="B321" i="2"/>
  <c r="B532" i="2"/>
  <c r="B451" i="2"/>
  <c r="B730" i="2"/>
  <c r="B694" i="2"/>
  <c r="B520" i="2"/>
  <c r="B385" i="2"/>
  <c r="B210" i="2"/>
  <c r="B189" i="2"/>
  <c r="B1143" i="2"/>
  <c r="B216" i="2"/>
  <c r="B22" i="2"/>
  <c r="B57" i="2"/>
  <c r="B660" i="2"/>
  <c r="B60" i="2"/>
  <c r="B723" i="2"/>
  <c r="B24" i="2"/>
  <c r="B2390" i="2"/>
  <c r="B2355" i="2"/>
  <c r="B2334" i="2"/>
  <c r="B2198" i="2"/>
  <c r="B2183" i="2"/>
  <c r="B2325" i="2"/>
  <c r="B2086" i="2"/>
  <c r="B2046" i="2"/>
  <c r="B2009" i="2"/>
  <c r="B2167" i="2"/>
  <c r="B1931" i="2"/>
  <c r="B1934" i="2"/>
  <c r="B2020" i="2"/>
  <c r="B1926" i="2"/>
  <c r="B1887" i="2"/>
  <c r="B1718" i="2"/>
  <c r="B2019" i="2"/>
  <c r="B2237" i="2"/>
  <c r="B1743" i="2"/>
  <c r="B1762" i="2"/>
  <c r="B1796" i="2"/>
  <c r="B1820" i="2"/>
  <c r="B1793" i="2"/>
  <c r="B1711" i="2"/>
  <c r="B1605" i="2"/>
  <c r="B1740" i="2"/>
  <c r="B1770" i="2"/>
  <c r="B1460" i="2"/>
  <c r="B1581" i="2"/>
  <c r="B1379" i="2"/>
  <c r="B1624" i="2"/>
  <c r="B1544" i="2"/>
  <c r="B1425" i="2"/>
  <c r="B1280" i="2"/>
  <c r="B1428" i="2"/>
  <c r="B1311" i="2"/>
  <c r="B1102" i="2"/>
  <c r="B1420" i="2"/>
  <c r="B1348" i="2"/>
  <c r="B1321" i="2"/>
  <c r="B1012" i="2"/>
  <c r="B1205" i="2"/>
  <c r="B1247" i="2"/>
  <c r="B1149" i="2"/>
  <c r="B1119" i="2"/>
  <c r="B952" i="2"/>
  <c r="B878" i="2"/>
  <c r="B812" i="2"/>
  <c r="B995" i="2"/>
  <c r="B874" i="2"/>
  <c r="B1047" i="2"/>
  <c r="B890" i="2"/>
  <c r="B793" i="2"/>
  <c r="B773" i="2"/>
  <c r="B784" i="2"/>
  <c r="B858" i="2"/>
  <c r="B391" i="2"/>
  <c r="B1072" i="2"/>
  <c r="B378" i="2"/>
  <c r="B455" i="2"/>
  <c r="B514" i="2"/>
  <c r="B692" i="2"/>
  <c r="B373" i="2"/>
  <c r="B278" i="2"/>
  <c r="B527" i="2"/>
  <c r="B446" i="2"/>
  <c r="B647" i="2"/>
  <c r="B686" i="2"/>
  <c r="B481" i="2"/>
  <c r="B251" i="2"/>
  <c r="B179" i="2"/>
  <c r="B181" i="2"/>
  <c r="B420" i="2"/>
  <c r="B1219" i="2"/>
  <c r="B14" i="2"/>
  <c r="B49" i="2"/>
  <c r="B478" i="2"/>
  <c r="B1044" i="2"/>
  <c r="B51" i="2"/>
  <c r="B681" i="2"/>
  <c r="B176" i="2"/>
  <c r="B2379" i="2"/>
  <c r="B2326" i="2"/>
  <c r="B2300" i="2"/>
  <c r="B2190" i="2"/>
  <c r="B2175" i="2"/>
  <c r="B2124" i="2"/>
  <c r="B2373" i="2"/>
  <c r="B2038" i="2"/>
  <c r="B2001" i="2"/>
  <c r="B2093" i="2"/>
  <c r="B2277" i="2"/>
  <c r="B2049" i="2"/>
  <c r="B2018" i="2"/>
  <c r="B1898" i="2"/>
  <c r="B2074" i="2"/>
  <c r="B2151" i="2"/>
  <c r="B1953" i="2"/>
  <c r="B2121" i="2"/>
  <c r="B1709" i="2"/>
  <c r="B1716" i="2"/>
  <c r="B2162" i="2"/>
  <c r="B1811" i="2"/>
  <c r="B1777" i="2"/>
  <c r="B1689" i="2"/>
  <c r="B1562" i="2"/>
  <c r="B1717" i="2"/>
  <c r="B1759" i="2"/>
  <c r="B1454" i="2"/>
  <c r="B1555" i="2"/>
  <c r="B1347" i="2"/>
  <c r="B1620" i="2"/>
  <c r="B1516" i="2"/>
  <c r="B1351" i="2"/>
  <c r="B1272" i="2"/>
  <c r="B1579" i="2"/>
  <c r="B1257" i="2"/>
  <c r="B1886" i="2"/>
  <c r="B1403" i="2"/>
  <c r="B1282" i="2"/>
  <c r="B1262" i="2"/>
  <c r="B1004" i="2"/>
  <c r="B1094" i="2"/>
  <c r="B1181" i="2"/>
  <c r="B1120" i="2"/>
  <c r="B1106" i="2"/>
  <c r="B944" i="2"/>
  <c r="B870" i="2"/>
  <c r="B1263" i="2"/>
  <c r="B993" i="2"/>
  <c r="B843" i="2"/>
  <c r="B876" i="2"/>
  <c r="B855" i="2"/>
  <c r="B722" i="2"/>
  <c r="B765" i="2"/>
  <c r="B776" i="2"/>
  <c r="B835" i="2"/>
  <c r="B1013" i="2"/>
  <c r="B1021" i="2"/>
  <c r="B370" i="2"/>
  <c r="B360" i="2"/>
  <c r="B506" i="2"/>
  <c r="B665" i="2"/>
  <c r="B363" i="2"/>
  <c r="B270" i="2"/>
  <c r="B504" i="2"/>
  <c r="B358" i="2"/>
  <c r="B575" i="2"/>
  <c r="B627" i="2"/>
  <c r="B260" i="2"/>
  <c r="B243" i="2"/>
  <c r="B156" i="2"/>
  <c r="B158" i="2"/>
  <c r="B412" i="2"/>
  <c r="B943" i="2"/>
  <c r="B41" i="2"/>
  <c r="B397" i="2"/>
  <c r="B791" i="2"/>
  <c r="B1254" i="2"/>
  <c r="B547" i="2"/>
  <c r="B87" i="2"/>
  <c r="B691" i="2"/>
  <c r="B2291" i="2"/>
  <c r="B2303" i="2"/>
  <c r="B2225" i="2"/>
  <c r="B2182" i="2"/>
  <c r="B2389" i="2"/>
  <c r="B2099" i="2"/>
  <c r="B2328" i="2"/>
  <c r="B2006" i="2"/>
  <c r="B1993" i="2"/>
  <c r="B2075" i="2"/>
  <c r="B1985" i="2"/>
  <c r="B1978" i="2"/>
  <c r="B2016" i="2"/>
  <c r="B1896" i="2"/>
  <c r="B2062" i="2"/>
  <c r="B2129" i="2"/>
  <c r="B1798" i="2"/>
  <c r="B1949" i="2"/>
  <c r="B1701" i="2"/>
  <c r="B1918" i="2"/>
  <c r="B2053" i="2"/>
  <c r="B1744" i="2"/>
  <c r="B1626" i="2"/>
  <c r="B2007" i="2"/>
  <c r="B1554" i="2"/>
  <c r="B1643" i="2"/>
  <c r="B1725" i="2"/>
  <c r="B1442" i="2"/>
  <c r="B1476" i="2"/>
  <c r="B1977" i="2"/>
  <c r="B1569" i="2"/>
  <c r="B1459" i="2"/>
  <c r="B1349" i="2"/>
  <c r="B1757" i="2"/>
  <c r="B1449" i="2"/>
  <c r="B1255" i="2"/>
  <c r="B1651" i="2"/>
  <c r="B1289" i="2"/>
  <c r="B1233" i="2"/>
  <c r="B1258" i="2"/>
  <c r="B996" i="2"/>
  <c r="B1023" i="2"/>
  <c r="B1178" i="2"/>
  <c r="B1053" i="2"/>
  <c r="B1103" i="2"/>
  <c r="B936" i="2"/>
  <c r="B1305" i="2"/>
  <c r="B1235" i="2"/>
  <c r="B985" i="2"/>
  <c r="B831" i="2"/>
  <c r="B853" i="2"/>
  <c r="B847" i="2"/>
  <c r="B690" i="2"/>
  <c r="B757" i="2"/>
  <c r="B768" i="2"/>
  <c r="B696" i="2"/>
  <c r="B1006" i="2"/>
  <c r="B972" i="2"/>
  <c r="B1189" i="2"/>
  <c r="B352" i="2"/>
  <c r="B498" i="2"/>
  <c r="B585" i="2"/>
  <c r="B354" i="2"/>
  <c r="B262" i="2"/>
  <c r="B380" i="2"/>
  <c r="B337" i="2"/>
  <c r="B524" i="2"/>
  <c r="B612" i="2"/>
  <c r="B229" i="2"/>
  <c r="B208" i="2"/>
  <c r="B112" i="2"/>
  <c r="B1045" i="2"/>
  <c r="B309" i="2"/>
  <c r="B437" i="2"/>
  <c r="B416" i="2"/>
  <c r="B33" i="2"/>
  <c r="B285" i="2"/>
  <c r="B582" i="2"/>
  <c r="B198" i="2"/>
  <c r="B240" i="2"/>
  <c r="B23" i="2"/>
  <c r="B75" i="2"/>
  <c r="B2284" i="2"/>
  <c r="B2236" i="2"/>
  <c r="B2213" i="2"/>
  <c r="B2087" i="2"/>
  <c r="B2354" i="2"/>
  <c r="B2242" i="2"/>
  <c r="B2147" i="2"/>
  <c r="B1998" i="2"/>
  <c r="B2235" i="2"/>
  <c r="B2058" i="2"/>
  <c r="B1921" i="2"/>
  <c r="B1976" i="2"/>
  <c r="B2150" i="2"/>
  <c r="B1894" i="2"/>
  <c r="B1940" i="2"/>
  <c r="B1779" i="2"/>
  <c r="B1790" i="2"/>
  <c r="B1946" i="2"/>
  <c r="B1693" i="2"/>
  <c r="B1873" i="2"/>
  <c r="B1789" i="2"/>
  <c r="B1712" i="2"/>
  <c r="B1618" i="2"/>
  <c r="B1846" i="2"/>
  <c r="B1514" i="2"/>
  <c r="B1621" i="2"/>
  <c r="B1656" i="2"/>
  <c r="B1434" i="2"/>
  <c r="B1474" i="2"/>
  <c r="B1702" i="2"/>
  <c r="B1492" i="2"/>
  <c r="B1451" i="2"/>
  <c r="B1338" i="2"/>
  <c r="B1441" i="2"/>
  <c r="B1417" i="2"/>
  <c r="B1253" i="2"/>
  <c r="B1638" i="2"/>
  <c r="B1287" i="2"/>
  <c r="B1225" i="2"/>
  <c r="B1191" i="2"/>
  <c r="B1507" i="2"/>
  <c r="B1015" i="2"/>
  <c r="B1495" i="2"/>
  <c r="B1039" i="2"/>
  <c r="B1098" i="2"/>
  <c r="B928" i="2"/>
  <c r="B1265" i="2"/>
  <c r="B1162" i="2"/>
  <c r="B898" i="2"/>
  <c r="B808" i="2"/>
  <c r="B845" i="2"/>
  <c r="B764" i="2"/>
  <c r="B682" i="2"/>
  <c r="B749" i="2"/>
  <c r="B760" i="2"/>
  <c r="B678" i="2"/>
  <c r="B911" i="2"/>
  <c r="B789" i="2"/>
  <c r="B1108" i="2"/>
  <c r="B344" i="2"/>
  <c r="B403" i="2"/>
  <c r="B564" i="2"/>
  <c r="B319" i="2"/>
  <c r="B254" i="2"/>
  <c r="B335" i="2"/>
  <c r="B323" i="2"/>
  <c r="B456" i="2"/>
  <c r="B588" i="2"/>
  <c r="B206" i="2"/>
  <c r="B1193" i="2"/>
  <c r="B104" i="2"/>
  <c r="B751" i="2"/>
  <c r="B306" i="2"/>
  <c r="B400" i="2"/>
  <c r="B332" i="2"/>
  <c r="B25" i="2"/>
  <c r="B277" i="2"/>
  <c r="B264" i="2"/>
  <c r="B97" i="2"/>
  <c r="B232" i="2"/>
  <c r="B27" i="2"/>
  <c r="B2276" i="2"/>
  <c r="B2406" i="2"/>
  <c r="B2285" i="2"/>
  <c r="B2381" i="2"/>
  <c r="B2278" i="2"/>
  <c r="B2230" i="2"/>
  <c r="B2136" i="2"/>
  <c r="B1990" i="2"/>
  <c r="B2130" i="2"/>
  <c r="B2315" i="2"/>
  <c r="B1913" i="2"/>
  <c r="B1892" i="2"/>
  <c r="B2073" i="2"/>
  <c r="B1867" i="2"/>
  <c r="B1938" i="2"/>
  <c r="B1771" i="2"/>
  <c r="B1782" i="2"/>
  <c r="B1865" i="2"/>
  <c r="B2152" i="2"/>
  <c r="B1799" i="2"/>
  <c r="B1888" i="2"/>
  <c r="B1699" i="2"/>
  <c r="B1610" i="2"/>
  <c r="B1807" i="2"/>
  <c r="B2005" i="2"/>
  <c r="B1612" i="2"/>
  <c r="B1595" i="2"/>
  <c r="B1426" i="2"/>
  <c r="B1452" i="2"/>
  <c r="B1550" i="2"/>
  <c r="B1922" i="2"/>
  <c r="B1446" i="2"/>
  <c r="B1330" i="2"/>
  <c r="B1374" i="2"/>
  <c r="B1337" i="2"/>
  <c r="B1184" i="2"/>
  <c r="B1551" i="2"/>
  <c r="B1232" i="2"/>
  <c r="B1592" i="2"/>
  <c r="B1161" i="2"/>
  <c r="B1415" i="2"/>
  <c r="B1007" i="2"/>
  <c r="B1393" i="2"/>
  <c r="B1022" i="2"/>
  <c r="B1024" i="2"/>
  <c r="B920" i="2"/>
  <c r="B1206" i="2"/>
  <c r="B1075" i="2"/>
  <c r="B1373" i="2"/>
  <c r="B785" i="2"/>
  <c r="B810" i="2"/>
  <c r="B756" i="2"/>
  <c r="B674" i="2"/>
  <c r="B654" i="2"/>
  <c r="B752" i="2"/>
  <c r="B673" i="2"/>
  <c r="B657" i="2"/>
  <c r="B746" i="2"/>
  <c r="B1087" i="2"/>
  <c r="B336" i="2"/>
  <c r="B395" i="2"/>
  <c r="B551" i="2"/>
  <c r="B217" i="2"/>
  <c r="B183" i="2"/>
  <c r="B244" i="2"/>
  <c r="B281" i="2"/>
  <c r="B405" i="2"/>
  <c r="B581" i="2"/>
  <c r="B194" i="2"/>
  <c r="B1095" i="2"/>
  <c r="B96" i="2"/>
  <c r="B523" i="2"/>
  <c r="B280" i="2"/>
  <c r="B345" i="2"/>
  <c r="B303" i="2"/>
  <c r="B508" i="2"/>
  <c r="B246" i="2"/>
  <c r="B256" i="2"/>
  <c r="B94" i="2"/>
  <c r="B1214" i="2"/>
  <c r="B465" i="2"/>
  <c r="B12" i="2"/>
  <c r="B98" i="2"/>
  <c r="B63" i="2"/>
  <c r="B2343" i="2"/>
  <c r="B2349" i="2"/>
  <c r="B2241" i="2"/>
  <c r="B2193" i="2"/>
  <c r="B2214" i="2"/>
  <c r="B2155" i="2"/>
  <c r="B2341" i="2"/>
  <c r="B2139" i="2"/>
  <c r="B2069" i="2"/>
  <c r="B2204" i="2"/>
  <c r="B1897" i="2"/>
  <c r="B2261" i="2"/>
  <c r="B2024" i="2"/>
  <c r="B1943" i="2"/>
  <c r="B2127" i="2"/>
  <c r="B1755" i="2"/>
  <c r="B2003" i="2"/>
  <c r="B1914" i="2"/>
  <c r="B1769" i="2"/>
  <c r="B1776" i="2"/>
  <c r="B1874" i="2"/>
  <c r="B1599" i="2"/>
  <c r="B1989" i="2"/>
  <c r="B1728" i="2"/>
  <c r="B1902" i="2"/>
  <c r="B1541" i="2"/>
  <c r="B1920" i="2"/>
  <c r="B1823" i="2"/>
  <c r="B1437" i="2"/>
  <c r="B1527" i="2"/>
  <c r="B1524" i="2"/>
  <c r="B1325" i="2"/>
  <c r="B1259" i="2"/>
  <c r="B1370" i="2"/>
  <c r="B1218" i="2"/>
  <c r="B1168" i="2"/>
  <c r="B1332" i="2"/>
  <c r="B1216" i="2"/>
  <c r="B1482" i="2"/>
  <c r="B1070" i="2"/>
  <c r="B1185" i="2"/>
  <c r="B991" i="2"/>
  <c r="B1326" i="2"/>
  <c r="B933" i="2"/>
  <c r="B1001" i="2"/>
  <c r="B817" i="2"/>
  <c r="B1093" i="2"/>
  <c r="B1018" i="2"/>
  <c r="B1141" i="2"/>
  <c r="B745" i="2"/>
  <c r="B727" i="2"/>
  <c r="B740" i="2"/>
  <c r="B563" i="2"/>
  <c r="B638" i="2"/>
  <c r="B1121" i="2"/>
  <c r="B655" i="2"/>
  <c r="B591" i="2"/>
  <c r="B636" i="2"/>
  <c r="B842" i="2"/>
  <c r="B320" i="2"/>
  <c r="B379" i="2"/>
  <c r="B501" i="2"/>
  <c r="B201" i="2"/>
  <c r="B143" i="2"/>
  <c r="B228" i="2"/>
  <c r="B265" i="2"/>
  <c r="B239" i="2"/>
  <c r="B495" i="2"/>
  <c r="B140" i="2"/>
  <c r="B807" i="2"/>
  <c r="B885" i="2"/>
  <c r="B488" i="2"/>
  <c r="B1271" i="2"/>
  <c r="B258" i="2"/>
  <c r="B126" i="2"/>
  <c r="B398" i="2"/>
  <c r="B639" i="2"/>
  <c r="B347" i="2"/>
  <c r="B304" i="2"/>
  <c r="B596" i="2"/>
  <c r="B21" i="2"/>
  <c r="B2339" i="2"/>
  <c r="B2405" i="2"/>
  <c r="B2234" i="2"/>
  <c r="B2185" i="2"/>
  <c r="B2202" i="2"/>
  <c r="B2113" i="2"/>
  <c r="B2309" i="2"/>
  <c r="B2125" i="2"/>
  <c r="B2195" i="2"/>
  <c r="B2197" i="2"/>
  <c r="B1889" i="2"/>
  <c r="B2187" i="2"/>
  <c r="B1996" i="2"/>
  <c r="B1941" i="2"/>
  <c r="B1960" i="2"/>
  <c r="B2336" i="2"/>
  <c r="B1984" i="2"/>
  <c r="B1951" i="2"/>
  <c r="B1760" i="2"/>
  <c r="B1724" i="2"/>
  <c r="B1810" i="2"/>
  <c r="B1591" i="2"/>
  <c r="B1964" i="2"/>
  <c r="B1572" i="2"/>
  <c r="B1871" i="2"/>
  <c r="B1533" i="2"/>
  <c r="B1677" i="2"/>
  <c r="B1631" i="2"/>
  <c r="B1429" i="2"/>
  <c r="B1491" i="2"/>
  <c r="B1506" i="2"/>
  <c r="B1317" i="2"/>
  <c r="B1891" i="2"/>
  <c r="B1341" i="2"/>
  <c r="B1210" i="2"/>
  <c r="B1378" i="2"/>
  <c r="B1327" i="2"/>
  <c r="B1145" i="2"/>
  <c r="B1436" i="2"/>
  <c r="B1062" i="2"/>
  <c r="B1182" i="2"/>
  <c r="B1201" i="2"/>
  <c r="B1299" i="2"/>
  <c r="B925" i="2"/>
  <c r="B978" i="2"/>
  <c r="B809" i="2"/>
  <c r="B1085" i="2"/>
  <c r="B1009" i="2"/>
  <c r="B1060" i="2"/>
  <c r="B737" i="2"/>
  <c r="B695" i="2"/>
  <c r="B732" i="2"/>
  <c r="B555" i="2"/>
  <c r="B1361" i="2"/>
  <c r="B1097" i="2"/>
  <c r="B620" i="2"/>
  <c r="B577" i="2"/>
  <c r="B605" i="2"/>
  <c r="B834" i="2"/>
  <c r="B864" i="2"/>
  <c r="B371" i="2"/>
  <c r="B493" i="2"/>
  <c r="B767" i="2"/>
  <c r="B135" i="2"/>
  <c r="B220" i="2"/>
  <c r="B257" i="2"/>
  <c r="B231" i="2"/>
  <c r="B432" i="2"/>
  <c r="B101" i="2"/>
  <c r="B782" i="2"/>
  <c r="B832" i="2"/>
  <c r="B238" i="2"/>
  <c r="B1250" i="2"/>
  <c r="B235" i="2"/>
  <c r="B103" i="2"/>
  <c r="B234" i="2"/>
  <c r="B606" i="2"/>
  <c r="B271" i="2"/>
  <c r="B287" i="2"/>
  <c r="B248" i="2"/>
  <c r="B43" i="2"/>
  <c r="B2396" i="2"/>
  <c r="B483" i="2"/>
  <c r="B55" i="2"/>
  <c r="N663" i="2"/>
  <c r="K663" i="2" s="1"/>
  <c r="L663" i="2" s="1"/>
  <c r="M663" i="2" s="1"/>
  <c r="E663" i="2"/>
  <c r="J663" i="2"/>
  <c r="I663" i="2"/>
  <c r="H663" i="2"/>
  <c r="F663" i="2"/>
  <c r="H198" i="2"/>
  <c r="I198" i="2" s="1"/>
  <c r="F198" i="2"/>
  <c r="N198" i="2" s="1"/>
  <c r="K198" i="2" s="1"/>
  <c r="L198" i="2" s="1"/>
  <c r="M198" i="2" s="1"/>
  <c r="B805" i="2"/>
  <c r="B738" i="2"/>
  <c r="B387" i="2"/>
  <c r="B1010" i="2"/>
  <c r="B1398" i="2"/>
  <c r="B1453" i="2"/>
  <c r="B1904" i="2"/>
  <c r="B2111" i="2"/>
  <c r="N2225" i="2"/>
  <c r="K2225" i="2" s="1"/>
  <c r="L2225" i="2" s="1"/>
  <c r="M2225" i="2" s="1"/>
  <c r="H2225" i="2"/>
  <c r="E2225" i="2"/>
  <c r="J2225" i="2"/>
  <c r="I2225" i="2"/>
  <c r="F2225" i="2"/>
  <c r="J2092" i="2"/>
  <c r="I2092" i="2"/>
  <c r="H2092" i="2"/>
  <c r="F2092" i="2"/>
  <c r="E2092" i="2"/>
  <c r="N2092" i="2"/>
  <c r="K2092" i="2" s="1"/>
  <c r="L2092" i="2" s="1"/>
  <c r="M2092" i="2" s="1"/>
  <c r="N1236" i="2"/>
  <c r="K1236" i="2" s="1"/>
  <c r="L1236" i="2" s="1"/>
  <c r="M1236" i="2" s="1"/>
  <c r="H1236" i="2"/>
  <c r="F1236" i="2"/>
  <c r="E1236" i="2"/>
  <c r="J1236" i="2"/>
  <c r="I1236" i="2"/>
  <c r="F1270" i="2"/>
  <c r="N1270" i="2" s="1"/>
  <c r="K1270" i="2" s="1"/>
  <c r="J1291" i="2"/>
  <c r="I1291" i="2"/>
  <c r="H1291" i="2"/>
  <c r="F1291" i="2"/>
  <c r="E1291" i="2"/>
  <c r="N1291" i="2"/>
  <c r="K1291" i="2" s="1"/>
  <c r="L1291" i="2" s="1"/>
  <c r="M1291" i="2" s="1"/>
  <c r="N1321" i="2"/>
  <c r="K1321" i="2" s="1"/>
  <c r="L1321" i="2" s="1"/>
  <c r="M1321" i="2" s="1"/>
  <c r="J1321" i="2"/>
  <c r="F1321" i="2"/>
  <c r="E1321" i="2"/>
  <c r="H1321" i="2"/>
  <c r="I1321" i="2"/>
  <c r="J709" i="2"/>
  <c r="I709" i="2"/>
  <c r="H709" i="2"/>
  <c r="F709" i="2"/>
  <c r="N709" i="2"/>
  <c r="K709" i="2" s="1"/>
  <c r="L709" i="2" s="1"/>
  <c r="M709" i="2" s="1"/>
  <c r="E709" i="2"/>
  <c r="J300" i="2"/>
  <c r="I300" i="2"/>
  <c r="H300" i="2"/>
  <c r="E300" i="2"/>
  <c r="N300" i="2"/>
  <c r="K300" i="2" s="1"/>
  <c r="L300" i="2" s="1"/>
  <c r="M300" i="2" s="1"/>
  <c r="B111" i="2"/>
  <c r="B897" i="2"/>
  <c r="B646" i="2"/>
  <c r="B1046" i="2"/>
  <c r="B1700" i="2"/>
  <c r="B2067" i="2"/>
  <c r="F2169" i="2"/>
  <c r="J2169" i="2"/>
  <c r="I2169" i="2"/>
  <c r="H2169" i="2"/>
  <c r="E2169" i="2"/>
  <c r="N2169" i="2"/>
  <c r="K2169" i="2" s="1"/>
  <c r="L2169" i="2" s="1"/>
  <c r="M2169" i="2" s="1"/>
  <c r="I1699" i="2"/>
  <c r="H1699" i="2"/>
  <c r="F1699" i="2"/>
  <c r="E1699" i="2"/>
  <c r="J1699" i="2"/>
  <c r="N1699" i="2"/>
  <c r="K1699" i="2" s="1"/>
  <c r="L1699" i="2" s="1"/>
  <c r="M1699" i="2" s="1"/>
  <c r="E1530" i="2"/>
  <c r="N1530" i="2"/>
  <c r="K1530" i="2" s="1"/>
  <c r="L1530" i="2" s="1"/>
  <c r="M1530" i="2" s="1"/>
  <c r="F1530" i="2"/>
  <c r="J1530" i="2"/>
  <c r="I1530" i="2"/>
  <c r="H1530" i="2"/>
  <c r="N1292" i="2"/>
  <c r="K1292" i="2" s="1"/>
  <c r="L1292" i="2" s="1"/>
  <c r="M1292" i="2" s="1"/>
  <c r="J1292" i="2"/>
  <c r="I1292" i="2"/>
  <c r="H1292" i="2"/>
  <c r="E1292" i="2"/>
  <c r="F1292" i="2"/>
  <c r="N1311" i="2"/>
  <c r="K1311" i="2" s="1"/>
  <c r="L1311" i="2" s="1"/>
  <c r="M1311" i="2" s="1"/>
  <c r="E1311" i="2"/>
  <c r="H1311" i="2"/>
  <c r="J1311" i="2"/>
  <c r="I1311" i="2"/>
  <c r="F1311" i="2"/>
  <c r="H693" i="2"/>
  <c r="F693" i="2"/>
  <c r="N693" i="2" s="1"/>
  <c r="K693" i="2" s="1"/>
  <c r="L693" i="2" s="1"/>
  <c r="M693" i="2" s="1"/>
  <c r="J1104" i="2"/>
  <c r="I1104" i="2"/>
  <c r="H1104" i="2"/>
  <c r="F1104" i="2"/>
  <c r="E1104" i="2"/>
  <c r="N1104" i="2"/>
  <c r="K1104" i="2" s="1"/>
  <c r="L1104" i="2" s="1"/>
  <c r="M1104" i="2" s="1"/>
  <c r="F755" i="2"/>
  <c r="N755" i="2" s="1"/>
  <c r="K755" i="2" s="1"/>
  <c r="H755" i="2"/>
  <c r="I755" i="2" s="1"/>
  <c r="F618" i="2"/>
  <c r="N618" i="2" s="1"/>
  <c r="K618" i="2" s="1"/>
  <c r="L618" i="2" s="1"/>
  <c r="M618" i="2" s="1"/>
  <c r="F253" i="2"/>
  <c r="N253" i="2" s="1"/>
  <c r="K253" i="2" s="1"/>
  <c r="L253" i="2" s="1"/>
  <c r="M253" i="2" s="1"/>
  <c r="H253" i="2"/>
  <c r="I253" i="2" s="1"/>
  <c r="B119" i="2"/>
  <c r="B552" i="2"/>
  <c r="B1600" i="2"/>
  <c r="B1997" i="2"/>
  <c r="J2336" i="2"/>
  <c r="H2336" i="2"/>
  <c r="N2336" i="2"/>
  <c r="K2336" i="2" s="1"/>
  <c r="L2336" i="2" s="1"/>
  <c r="M2336" i="2" s="1"/>
  <c r="I2336" i="2"/>
  <c r="F2336" i="2"/>
  <c r="E2336" i="2"/>
  <c r="F2202" i="2"/>
  <c r="N2202" i="2"/>
  <c r="K2202" i="2" s="1"/>
  <c r="L2202" i="2" s="1"/>
  <c r="M2202" i="2" s="1"/>
  <c r="J2202" i="2"/>
  <c r="I2202" i="2"/>
  <c r="H2202" i="2"/>
  <c r="E2202" i="2"/>
  <c r="I2036" i="2"/>
  <c r="H2036" i="2"/>
  <c r="F2036" i="2"/>
  <c r="E2036" i="2"/>
  <c r="J2036" i="2"/>
  <c r="N2036" i="2"/>
  <c r="K2036" i="2" s="1"/>
  <c r="L2036" i="2" s="1"/>
  <c r="M2036" i="2" s="1"/>
  <c r="N982" i="2"/>
  <c r="K982" i="2" s="1"/>
  <c r="L982" i="2" s="1"/>
  <c r="M982" i="2" s="1"/>
  <c r="J982" i="2"/>
  <c r="E982" i="2"/>
  <c r="F982" i="2"/>
  <c r="I982" i="2"/>
  <c r="H982" i="2"/>
  <c r="F677" i="2"/>
  <c r="N677" i="2" s="1"/>
  <c r="K677" i="2" s="1"/>
  <c r="L677" i="2" s="1"/>
  <c r="M677" i="2" s="1"/>
  <c r="B649" i="2"/>
  <c r="B1131" i="2"/>
  <c r="B1999" i="2"/>
  <c r="B2345" i="2"/>
  <c r="E2376" i="2"/>
  <c r="N2376" i="2"/>
  <c r="K2376" i="2" s="1"/>
  <c r="L2376" i="2" s="1"/>
  <c r="M2376" i="2" s="1"/>
  <c r="F2376" i="2"/>
  <c r="J2376" i="2"/>
  <c r="H2376" i="2"/>
  <c r="I2376" i="2"/>
  <c r="I2357" i="2"/>
  <c r="J2357" i="2"/>
  <c r="H2357" i="2"/>
  <c r="F2357" i="2"/>
  <c r="E2357" i="2"/>
  <c r="N2357" i="2"/>
  <c r="K2357" i="2" s="1"/>
  <c r="L2357" i="2" s="1"/>
  <c r="M2357" i="2" s="1"/>
  <c r="J2299" i="2"/>
  <c r="H2299" i="2"/>
  <c r="N2299" i="2"/>
  <c r="K2299" i="2" s="1"/>
  <c r="L2299" i="2" s="1"/>
  <c r="M2299" i="2" s="1"/>
  <c r="I2299" i="2"/>
  <c r="F2299" i="2"/>
  <c r="E2299" i="2"/>
  <c r="N2321" i="2"/>
  <c r="K2321" i="2" s="1"/>
  <c r="L2321" i="2" s="1"/>
  <c r="M2321" i="2" s="1"/>
  <c r="E2321" i="2"/>
  <c r="J2321" i="2"/>
  <c r="I2321" i="2"/>
  <c r="F2321" i="2"/>
  <c r="H2321" i="2"/>
  <c r="N2310" i="2"/>
  <c r="K2310" i="2" s="1"/>
  <c r="L2310" i="2" s="1"/>
  <c r="M2310" i="2" s="1"/>
  <c r="E2310" i="2"/>
  <c r="H2310" i="2"/>
  <c r="F2310" i="2"/>
  <c r="J2310" i="2"/>
  <c r="I2310" i="2"/>
  <c r="I2204" i="2"/>
  <c r="F2204" i="2"/>
  <c r="N2204" i="2"/>
  <c r="K2204" i="2" s="1"/>
  <c r="L2204" i="2" s="1"/>
  <c r="M2204" i="2" s="1"/>
  <c r="J2204" i="2"/>
  <c r="E2204" i="2"/>
  <c r="H2204" i="2"/>
  <c r="H2211" i="2"/>
  <c r="E2211" i="2"/>
  <c r="J2211" i="2"/>
  <c r="I2211" i="2"/>
  <c r="F2211" i="2"/>
  <c r="N2211" i="2"/>
  <c r="K2211" i="2" s="1"/>
  <c r="L2211" i="2" s="1"/>
  <c r="M2211" i="2" s="1"/>
  <c r="I2191" i="2"/>
  <c r="N2191" i="2"/>
  <c r="K2191" i="2" s="1"/>
  <c r="L2191" i="2" s="1"/>
  <c r="M2191" i="2" s="1"/>
  <c r="E2191" i="2"/>
  <c r="J2191" i="2"/>
  <c r="F2191" i="2"/>
  <c r="H2191" i="2"/>
  <c r="J2062" i="2"/>
  <c r="I2062" i="2"/>
  <c r="H2062" i="2"/>
  <c r="F2062" i="2"/>
  <c r="E2062" i="2"/>
  <c r="N2062" i="2"/>
  <c r="K2062" i="2" s="1"/>
  <c r="L2062" i="2" s="1"/>
  <c r="M2062" i="2" s="1"/>
  <c r="N1904" i="2"/>
  <c r="K1904" i="2" s="1"/>
  <c r="L1904" i="2" s="1"/>
  <c r="M1904" i="2" s="1"/>
  <c r="J1904" i="2"/>
  <c r="I1904" i="2"/>
  <c r="H1904" i="2"/>
  <c r="F1904" i="2"/>
  <c r="E1904" i="2"/>
  <c r="N2014" i="2"/>
  <c r="K2014" i="2" s="1"/>
  <c r="L2014" i="2" s="1"/>
  <c r="M2014" i="2" s="1"/>
  <c r="F2014" i="2"/>
  <c r="J2014" i="2"/>
  <c r="H2014" i="2"/>
  <c r="E2014" i="2"/>
  <c r="I2014" i="2"/>
  <c r="N1930" i="2"/>
  <c r="K1930" i="2" s="1"/>
  <c r="L1930" i="2" s="1"/>
  <c r="M1930" i="2" s="1"/>
  <c r="I1930" i="2"/>
  <c r="H1930" i="2"/>
  <c r="F1930" i="2"/>
  <c r="E1930" i="2"/>
  <c r="J1930" i="2"/>
  <c r="J1809" i="2"/>
  <c r="N1809" i="2"/>
  <c r="K1809" i="2" s="1"/>
  <c r="L1809" i="2" s="1"/>
  <c r="M1809" i="2" s="1"/>
  <c r="I1809" i="2"/>
  <c r="H1809" i="2"/>
  <c r="F1809" i="2"/>
  <c r="E1809" i="2"/>
  <c r="F1832" i="2"/>
  <c r="E1832" i="2"/>
  <c r="N1832" i="2"/>
  <c r="K1832" i="2" s="1"/>
  <c r="L1832" i="2" s="1"/>
  <c r="M1832" i="2" s="1"/>
  <c r="I1832" i="2"/>
  <c r="H1832" i="2"/>
  <c r="J1832" i="2"/>
  <c r="J1497" i="2"/>
  <c r="H1497" i="2"/>
  <c r="F1497" i="2"/>
  <c r="E1497" i="2"/>
  <c r="N1497" i="2"/>
  <c r="K1497" i="2" s="1"/>
  <c r="L1497" i="2" s="1"/>
  <c r="M1497" i="2" s="1"/>
  <c r="I1497" i="2"/>
  <c r="F2300" i="2"/>
  <c r="E2300" i="2"/>
  <c r="I2300" i="2"/>
  <c r="N2300" i="2"/>
  <c r="K2300" i="2" s="1"/>
  <c r="L2300" i="2" s="1"/>
  <c r="M2300" i="2" s="1"/>
  <c r="J2300" i="2"/>
  <c r="H2300" i="2"/>
  <c r="J2315" i="2"/>
  <c r="H2315" i="2"/>
  <c r="F2315" i="2"/>
  <c r="N2315" i="2"/>
  <c r="K2315" i="2" s="1"/>
  <c r="L2315" i="2" s="1"/>
  <c r="M2315" i="2" s="1"/>
  <c r="I2315" i="2"/>
  <c r="E2315" i="2"/>
  <c r="N2342" i="2"/>
  <c r="K2342" i="2" s="1"/>
  <c r="L2342" i="2" s="1"/>
  <c r="M2342" i="2" s="1"/>
  <c r="J2342" i="2"/>
  <c r="E2342" i="2"/>
  <c r="I2342" i="2"/>
  <c r="H2342" i="2"/>
  <c r="F2342" i="2"/>
  <c r="N2326" i="2"/>
  <c r="K2326" i="2" s="1"/>
  <c r="L2326" i="2" s="1"/>
  <c r="M2326" i="2" s="1"/>
  <c r="J2326" i="2"/>
  <c r="F2326" i="2"/>
  <c r="I2326" i="2"/>
  <c r="H2326" i="2"/>
  <c r="E2326" i="2"/>
  <c r="F2177" i="2"/>
  <c r="H2177" i="2"/>
  <c r="E2177" i="2"/>
  <c r="N2177" i="2"/>
  <c r="K2177" i="2" s="1"/>
  <c r="L2177" i="2" s="1"/>
  <c r="M2177" i="2" s="1"/>
  <c r="J2177" i="2"/>
  <c r="I2177" i="2"/>
  <c r="I2172" i="2"/>
  <c r="F2172" i="2"/>
  <c r="N2172" i="2"/>
  <c r="K2172" i="2" s="1"/>
  <c r="L2172" i="2" s="1"/>
  <c r="M2172" i="2" s="1"/>
  <c r="J2172" i="2"/>
  <c r="H2172" i="2"/>
  <c r="E2172" i="2"/>
  <c r="I2207" i="2"/>
  <c r="E2207" i="2"/>
  <c r="N2207" i="2"/>
  <c r="K2207" i="2" s="1"/>
  <c r="L2207" i="2" s="1"/>
  <c r="M2207" i="2" s="1"/>
  <c r="F2207" i="2"/>
  <c r="J2207" i="2"/>
  <c r="H2207" i="2"/>
  <c r="J2103" i="2"/>
  <c r="H2103" i="2"/>
  <c r="F2103" i="2"/>
  <c r="I2103" i="2"/>
  <c r="E2103" i="2"/>
  <c r="N2103" i="2"/>
  <c r="K2103" i="2" s="1"/>
  <c r="L2103" i="2" s="1"/>
  <c r="M2103" i="2" s="1"/>
  <c r="F2030" i="2"/>
  <c r="E2030" i="2"/>
  <c r="I2030" i="2"/>
  <c r="H2030" i="2"/>
  <c r="J2030" i="2"/>
  <c r="N2030" i="2"/>
  <c r="K2030" i="2" s="1"/>
  <c r="L2030" i="2" s="1"/>
  <c r="M2030" i="2" s="1"/>
  <c r="E1894" i="2"/>
  <c r="N1894" i="2"/>
  <c r="K1894" i="2" s="1"/>
  <c r="L1894" i="2" s="1"/>
  <c r="M1894" i="2" s="1"/>
  <c r="J1894" i="2"/>
  <c r="I1894" i="2"/>
  <c r="F1894" i="2"/>
  <c r="H1894" i="2"/>
  <c r="N1920" i="2"/>
  <c r="K1920" i="2" s="1"/>
  <c r="L1920" i="2" s="1"/>
  <c r="M1920" i="2" s="1"/>
  <c r="J1920" i="2"/>
  <c r="H1920" i="2"/>
  <c r="E1920" i="2"/>
  <c r="I1920" i="2"/>
  <c r="F1920" i="2"/>
  <c r="F1998" i="2"/>
  <c r="E1998" i="2"/>
  <c r="I1998" i="2"/>
  <c r="H1998" i="2"/>
  <c r="N1998" i="2"/>
  <c r="K1998" i="2" s="1"/>
  <c r="L1998" i="2" s="1"/>
  <c r="M1998" i="2" s="1"/>
  <c r="J1998" i="2"/>
  <c r="J2038" i="2"/>
  <c r="I2038" i="2"/>
  <c r="H2038" i="2"/>
  <c r="F2038" i="2"/>
  <c r="E2038" i="2"/>
  <c r="N2038" i="2"/>
  <c r="K2038" i="2" s="1"/>
  <c r="L2038" i="2" s="1"/>
  <c r="M2038" i="2" s="1"/>
  <c r="J2002" i="2"/>
  <c r="F2002" i="2"/>
  <c r="E2002" i="2"/>
  <c r="I2002" i="2"/>
  <c r="H2002" i="2"/>
  <c r="N2002" i="2"/>
  <c r="K2002" i="2" s="1"/>
  <c r="L2002" i="2" s="1"/>
  <c r="M2002" i="2" s="1"/>
  <c r="I1960" i="2"/>
  <c r="H1960" i="2"/>
  <c r="F1960" i="2"/>
  <c r="E1960" i="2"/>
  <c r="N1960" i="2"/>
  <c r="K1960" i="2" s="1"/>
  <c r="L1960" i="2" s="1"/>
  <c r="M1960" i="2" s="1"/>
  <c r="J1960" i="2"/>
  <c r="I1928" i="2"/>
  <c r="H1928" i="2"/>
  <c r="F1928" i="2"/>
  <c r="E1928" i="2"/>
  <c r="N1928" i="2"/>
  <c r="K1928" i="2" s="1"/>
  <c r="L1928" i="2" s="1"/>
  <c r="M1928" i="2" s="1"/>
  <c r="J1928" i="2"/>
  <c r="I1953" i="2"/>
  <c r="H1953" i="2"/>
  <c r="F1953" i="2"/>
  <c r="E1953" i="2"/>
  <c r="N1953" i="2"/>
  <c r="K1953" i="2" s="1"/>
  <c r="L1953" i="2" s="1"/>
  <c r="M1953" i="2" s="1"/>
  <c r="J1953" i="2"/>
  <c r="N1700" i="2"/>
  <c r="K1700" i="2" s="1"/>
  <c r="L1700" i="2" s="1"/>
  <c r="M1700" i="2" s="1"/>
  <c r="H1700" i="2"/>
  <c r="F1700" i="2"/>
  <c r="I1700" i="2"/>
  <c r="E1700" i="2"/>
  <c r="J1700" i="2"/>
  <c r="N1587" i="2"/>
  <c r="K1587" i="2" s="1"/>
  <c r="L1587" i="2" s="1"/>
  <c r="M1587" i="2" s="1"/>
  <c r="J1587" i="2"/>
  <c r="I1587" i="2"/>
  <c r="H1587" i="2"/>
  <c r="F1587" i="2"/>
  <c r="E1587" i="2"/>
  <c r="J1630" i="2"/>
  <c r="I1630" i="2"/>
  <c r="N1630" i="2"/>
  <c r="K1630" i="2" s="1"/>
  <c r="L1630" i="2" s="1"/>
  <c r="M1630" i="2" s="1"/>
  <c r="E1630" i="2"/>
  <c r="F1630" i="2"/>
  <c r="H1630" i="2"/>
  <c r="H1670" i="2"/>
  <c r="F1670" i="2"/>
  <c r="E1670" i="2"/>
  <c r="N1670" i="2"/>
  <c r="K1670" i="2" s="1"/>
  <c r="L1670" i="2" s="1"/>
  <c r="M1670" i="2" s="1"/>
  <c r="I1670" i="2"/>
  <c r="J1670" i="2"/>
  <c r="N1545" i="2"/>
  <c r="K1545" i="2" s="1"/>
  <c r="L1545" i="2" s="1"/>
  <c r="M1545" i="2" s="1"/>
  <c r="H1545" i="2"/>
  <c r="J1545" i="2"/>
  <c r="I1545" i="2"/>
  <c r="F1545" i="2"/>
  <c r="E1545" i="2"/>
  <c r="N1627" i="2"/>
  <c r="K1627" i="2" s="1"/>
  <c r="L1627" i="2" s="1"/>
  <c r="M1627" i="2" s="1"/>
  <c r="E1627" i="2"/>
  <c r="H1627" i="2"/>
  <c r="F1627" i="2"/>
  <c r="I1627" i="2"/>
  <c r="J1627" i="2"/>
  <c r="J1854" i="2"/>
  <c r="I1854" i="2"/>
  <c r="H1854" i="2"/>
  <c r="N1854" i="2"/>
  <c r="K1854" i="2" s="1"/>
  <c r="L1854" i="2" s="1"/>
  <c r="M1854" i="2" s="1"/>
  <c r="F1854" i="2"/>
  <c r="E1854" i="2"/>
  <c r="J1857" i="2"/>
  <c r="N1857" i="2"/>
  <c r="K1857" i="2" s="1"/>
  <c r="L1857" i="2" s="1"/>
  <c r="M1857" i="2" s="1"/>
  <c r="I1857" i="2"/>
  <c r="H1857" i="2"/>
  <c r="F1857" i="2"/>
  <c r="E1857" i="2"/>
  <c r="J1850" i="2"/>
  <c r="F1850" i="2"/>
  <c r="E1850" i="2"/>
  <c r="H1850" i="2"/>
  <c r="I1850" i="2"/>
  <c r="N1850" i="2"/>
  <c r="K1850" i="2" s="1"/>
  <c r="L1850" i="2" s="1"/>
  <c r="M1850" i="2" s="1"/>
  <c r="J1481" i="2"/>
  <c r="H1481" i="2"/>
  <c r="F1481" i="2"/>
  <c r="E1481" i="2"/>
  <c r="N1481" i="2"/>
  <c r="K1481" i="2" s="1"/>
  <c r="L1481" i="2" s="1"/>
  <c r="M1481" i="2" s="1"/>
  <c r="I1481" i="2"/>
  <c r="F1328" i="2"/>
  <c r="N1328" i="2" s="1"/>
  <c r="K1328" i="2" s="1"/>
  <c r="L1328" i="2" s="1"/>
  <c r="M1328" i="2" s="1"/>
  <c r="F1390" i="2"/>
  <c r="N1390" i="2" s="1"/>
  <c r="K1390" i="2" s="1"/>
  <c r="E1168" i="2"/>
  <c r="I1168" i="2"/>
  <c r="H1168" i="2"/>
  <c r="F1168" i="2"/>
  <c r="J1168" i="2"/>
  <c r="N1168" i="2"/>
  <c r="K1168" i="2" s="1"/>
  <c r="L1168" i="2" s="1"/>
  <c r="M1168" i="2" s="1"/>
  <c r="N1199" i="2"/>
  <c r="K1199" i="2" s="1"/>
  <c r="L1199" i="2" s="1"/>
  <c r="M1199" i="2" s="1"/>
  <c r="F1199" i="2"/>
  <c r="E1199" i="2"/>
  <c r="J1199" i="2"/>
  <c r="I1199" i="2"/>
  <c r="H1199" i="2"/>
  <c r="I1400" i="2"/>
  <c r="H1400" i="2"/>
  <c r="F1400" i="2"/>
  <c r="E1400" i="2"/>
  <c r="J1400" i="2"/>
  <c r="N1400" i="2"/>
  <c r="K1400" i="2" s="1"/>
  <c r="L1400" i="2" s="1"/>
  <c r="M1400" i="2" s="1"/>
  <c r="N1441" i="2"/>
  <c r="K1441" i="2" s="1"/>
  <c r="L1441" i="2" s="1"/>
  <c r="M1441" i="2" s="1"/>
  <c r="I1441" i="2"/>
  <c r="H1441" i="2"/>
  <c r="F1441" i="2"/>
  <c r="E1441" i="2"/>
  <c r="J1441" i="2"/>
  <c r="J1166" i="2"/>
  <c r="I1166" i="2"/>
  <c r="H1166" i="2"/>
  <c r="F1166" i="2"/>
  <c r="E1166" i="2"/>
  <c r="N1166" i="2"/>
  <c r="K1166" i="2" s="1"/>
  <c r="L1166" i="2" s="1"/>
  <c r="M1166" i="2" s="1"/>
  <c r="J1197" i="2"/>
  <c r="E1197" i="2"/>
  <c r="H1197" i="2"/>
  <c r="F1197" i="2"/>
  <c r="I1197" i="2"/>
  <c r="N1197" i="2"/>
  <c r="K1197" i="2" s="1"/>
  <c r="L1197" i="2" s="1"/>
  <c r="M1197" i="2" s="1"/>
  <c r="N1245" i="2"/>
  <c r="K1245" i="2" s="1"/>
  <c r="L1245" i="2" s="1"/>
  <c r="M1245" i="2" s="1"/>
  <c r="I1245" i="2"/>
  <c r="H1245" i="2"/>
  <c r="F1245" i="2"/>
  <c r="E1245" i="2"/>
  <c r="J1245" i="2"/>
  <c r="J1222" i="2"/>
  <c r="I1222" i="2"/>
  <c r="E1222" i="2"/>
  <c r="F1222" i="2"/>
  <c r="N1222" i="2"/>
  <c r="K1222" i="2" s="1"/>
  <c r="L1222" i="2" s="1"/>
  <c r="M1222" i="2" s="1"/>
  <c r="H1222" i="2"/>
  <c r="F1276" i="2"/>
  <c r="N1276" i="2" s="1"/>
  <c r="K1276" i="2" s="1"/>
  <c r="F1271" i="2"/>
  <c r="N1271" i="2" s="1"/>
  <c r="K1271" i="2" s="1"/>
  <c r="J983" i="2"/>
  <c r="I983" i="2"/>
  <c r="H983" i="2"/>
  <c r="N983" i="2"/>
  <c r="K983" i="2" s="1"/>
  <c r="L983" i="2" s="1"/>
  <c r="M983" i="2" s="1"/>
  <c r="F983" i="2"/>
  <c r="E983" i="2"/>
  <c r="H802" i="2"/>
  <c r="I802" i="2" s="1"/>
  <c r="F802" i="2"/>
  <c r="N802" i="2" s="1"/>
  <c r="K802" i="2" s="1"/>
  <c r="F936" i="2"/>
  <c r="N936" i="2" s="1"/>
  <c r="K936" i="2" s="1"/>
  <c r="L936" i="2" s="1"/>
  <c r="M936" i="2" s="1"/>
  <c r="H936" i="2"/>
  <c r="I936" i="2" s="1"/>
  <c r="N967" i="2"/>
  <c r="K967" i="2" s="1"/>
  <c r="L967" i="2" s="1"/>
  <c r="M967" i="2" s="1"/>
  <c r="F967" i="2"/>
  <c r="E967" i="2"/>
  <c r="I967" i="2"/>
  <c r="J967" i="2"/>
  <c r="H967" i="2"/>
  <c r="F960" i="2"/>
  <c r="E960" i="2"/>
  <c r="H960" i="2"/>
  <c r="J960" i="2"/>
  <c r="N960" i="2"/>
  <c r="K960" i="2" s="1"/>
  <c r="L960" i="2" s="1"/>
  <c r="M960" i="2" s="1"/>
  <c r="I960" i="2"/>
  <c r="F1142" i="2"/>
  <c r="E1142" i="2"/>
  <c r="N1142" i="2"/>
  <c r="K1142" i="2" s="1"/>
  <c r="L1142" i="2" s="1"/>
  <c r="M1142" i="2" s="1"/>
  <c r="J1142" i="2"/>
  <c r="I1142" i="2"/>
  <c r="H1142" i="2"/>
  <c r="J1107" i="2"/>
  <c r="I1107" i="2"/>
  <c r="H1107" i="2"/>
  <c r="F1107" i="2"/>
  <c r="N1107" i="2"/>
  <c r="K1107" i="2" s="1"/>
  <c r="L1107" i="2" s="1"/>
  <c r="M1107" i="2" s="1"/>
  <c r="E1107" i="2"/>
  <c r="F1097" i="2"/>
  <c r="N1097" i="2" s="1"/>
  <c r="K1097" i="2" s="1"/>
  <c r="L1097" i="2" s="1"/>
  <c r="M1097" i="2" s="1"/>
  <c r="J1047" i="2"/>
  <c r="I1047" i="2"/>
  <c r="H1047" i="2"/>
  <c r="N1047" i="2"/>
  <c r="K1047" i="2" s="1"/>
  <c r="L1047" i="2" s="1"/>
  <c r="M1047" i="2" s="1"/>
  <c r="E1047" i="2"/>
  <c r="F1047" i="2"/>
  <c r="N1054" i="2"/>
  <c r="K1054" i="2" s="1"/>
  <c r="L1054" i="2" s="1"/>
  <c r="M1054" i="2" s="1"/>
  <c r="E1054" i="2"/>
  <c r="H1054" i="2"/>
  <c r="J1054" i="2"/>
  <c r="I1054" i="2"/>
  <c r="F1054" i="2"/>
  <c r="F1057" i="2"/>
  <c r="E1057" i="2"/>
  <c r="J1057" i="2"/>
  <c r="I1057" i="2"/>
  <c r="H1057" i="2"/>
  <c r="N1057" i="2"/>
  <c r="K1057" i="2" s="1"/>
  <c r="L1057" i="2" s="1"/>
  <c r="M1057" i="2" s="1"/>
  <c r="H757" i="2"/>
  <c r="I757" i="2" s="1"/>
  <c r="F757" i="2"/>
  <c r="N757" i="2" s="1"/>
  <c r="K757" i="2" s="1"/>
  <c r="H765" i="2"/>
  <c r="F765" i="2"/>
  <c r="N765" i="2" s="1"/>
  <c r="K765" i="2" s="1"/>
  <c r="L765" i="2" s="1"/>
  <c r="M765" i="2" s="1"/>
  <c r="J113" i="2"/>
  <c r="I113" i="2"/>
  <c r="N113" i="2"/>
  <c r="K113" i="2" s="1"/>
  <c r="L113" i="2" s="1"/>
  <c r="M113" i="2" s="1"/>
  <c r="E113" i="2"/>
  <c r="H113" i="2"/>
  <c r="F113" i="2"/>
  <c r="F17" i="2"/>
  <c r="N17" i="2" s="1"/>
  <c r="K17" i="2" s="1"/>
  <c r="L17" i="2" s="1"/>
  <c r="M17" i="2" s="1"/>
  <c r="I17" i="2"/>
  <c r="B263" i="2"/>
  <c r="B473" i="2"/>
  <c r="B348" i="2"/>
  <c r="B361" i="2"/>
  <c r="B85" i="2"/>
  <c r="B396" i="2"/>
  <c r="B684" i="2"/>
  <c r="B823" i="2"/>
  <c r="B856" i="2"/>
  <c r="B333" i="2"/>
  <c r="B795" i="2"/>
  <c r="B1090" i="2"/>
  <c r="B790" i="2"/>
  <c r="B1455" i="2"/>
  <c r="B1083" i="2"/>
  <c r="B917" i="2"/>
  <c r="B1049" i="2"/>
  <c r="B1292" i="2"/>
  <c r="B1195" i="2"/>
  <c r="B1226" i="2"/>
  <c r="B1764" i="2"/>
  <c r="B1844" i="2"/>
  <c r="B1627" i="2"/>
  <c r="B1456" i="2"/>
  <c r="B1664" i="2"/>
  <c r="B1788" i="2"/>
  <c r="B2040" i="2"/>
  <c r="B1737" i="2"/>
  <c r="B2100" i="2"/>
  <c r="B2180" i="2"/>
  <c r="B2140" i="2"/>
  <c r="B2263" i="2"/>
  <c r="B2249" i="2"/>
  <c r="B2250" i="2"/>
  <c r="J519" i="2"/>
  <c r="I519" i="2"/>
  <c r="H519" i="2"/>
  <c r="F519" i="2"/>
  <c r="E519" i="2"/>
  <c r="N519" i="2"/>
  <c r="K519" i="2" s="1"/>
  <c r="L519" i="2" s="1"/>
  <c r="M519" i="2" s="1"/>
  <c r="B172" i="2"/>
  <c r="B963" i="2"/>
  <c r="I2189" i="2"/>
  <c r="F2189" i="2"/>
  <c r="N2189" i="2"/>
  <c r="K2189" i="2" s="1"/>
  <c r="L2189" i="2" s="1"/>
  <c r="M2189" i="2" s="1"/>
  <c r="J2189" i="2"/>
  <c r="H2189" i="2"/>
  <c r="E2189" i="2"/>
  <c r="J2031" i="2"/>
  <c r="I2031" i="2"/>
  <c r="H2031" i="2"/>
  <c r="N2031" i="2"/>
  <c r="K2031" i="2" s="1"/>
  <c r="L2031" i="2" s="1"/>
  <c r="M2031" i="2" s="1"/>
  <c r="F2031" i="2"/>
  <c r="E2031" i="2"/>
  <c r="I523" i="2"/>
  <c r="F523" i="2"/>
  <c r="J523" i="2"/>
  <c r="H523" i="2"/>
  <c r="E523" i="2"/>
  <c r="N523" i="2"/>
  <c r="K523" i="2" s="1"/>
  <c r="L523" i="2" s="1"/>
  <c r="M523" i="2" s="1"/>
  <c r="H2221" i="2"/>
  <c r="F2221" i="2"/>
  <c r="N2221" i="2"/>
  <c r="K2221" i="2" s="1"/>
  <c r="L2221" i="2" s="1"/>
  <c r="M2221" i="2" s="1"/>
  <c r="J2221" i="2"/>
  <c r="I2221" i="2"/>
  <c r="E2221" i="2"/>
  <c r="F1848" i="2"/>
  <c r="E1848" i="2"/>
  <c r="N1848" i="2"/>
  <c r="K1848" i="2" s="1"/>
  <c r="L1848" i="2" s="1"/>
  <c r="M1848" i="2" s="1"/>
  <c r="J1848" i="2"/>
  <c r="I1848" i="2"/>
  <c r="H1848" i="2"/>
  <c r="F780" i="2"/>
  <c r="E780" i="2"/>
  <c r="H780" i="2"/>
  <c r="J780" i="2"/>
  <c r="I780" i="2"/>
  <c r="N780" i="2"/>
  <c r="K780" i="2" s="1"/>
  <c r="L780" i="2" s="1"/>
  <c r="M780" i="2" s="1"/>
  <c r="N2400" i="2"/>
  <c r="K2400" i="2" s="1"/>
  <c r="L2400" i="2" s="1"/>
  <c r="M2400" i="2" s="1"/>
  <c r="E2400" i="2"/>
  <c r="F2400" i="2"/>
  <c r="J2400" i="2"/>
  <c r="H2400" i="2"/>
  <c r="I2400" i="2"/>
  <c r="I2406" i="2"/>
  <c r="F2406" i="2"/>
  <c r="J2406" i="2"/>
  <c r="E2406" i="2"/>
  <c r="H2406" i="2"/>
  <c r="N2406" i="2"/>
  <c r="K2406" i="2" s="1"/>
  <c r="L2406" i="2" s="1"/>
  <c r="M2406" i="2" s="1"/>
  <c r="N2345" i="2"/>
  <c r="K2345" i="2" s="1"/>
  <c r="L2345" i="2" s="1"/>
  <c r="M2345" i="2" s="1"/>
  <c r="F2345" i="2"/>
  <c r="H2345" i="2"/>
  <c r="J2345" i="2"/>
  <c r="E2345" i="2"/>
  <c r="I2345" i="2"/>
  <c r="N2037" i="2"/>
  <c r="K2037" i="2" s="1"/>
  <c r="L2037" i="2" s="1"/>
  <c r="M2037" i="2" s="1"/>
  <c r="I2037" i="2"/>
  <c r="F2037" i="2"/>
  <c r="E2037" i="2"/>
  <c r="H2037" i="2"/>
  <c r="J2037" i="2"/>
  <c r="F2033" i="2"/>
  <c r="E2033" i="2"/>
  <c r="N2033" i="2"/>
  <c r="K2033" i="2" s="1"/>
  <c r="L2033" i="2" s="1"/>
  <c r="M2033" i="2" s="1"/>
  <c r="I2033" i="2"/>
  <c r="H2033" i="2"/>
  <c r="J2033" i="2"/>
  <c r="N1970" i="2"/>
  <c r="K1970" i="2" s="1"/>
  <c r="L1970" i="2" s="1"/>
  <c r="M1970" i="2" s="1"/>
  <c r="I1970" i="2"/>
  <c r="H1970" i="2"/>
  <c r="F1970" i="2"/>
  <c r="E1970" i="2"/>
  <c r="J1970" i="2"/>
  <c r="J1747" i="2"/>
  <c r="I1747" i="2"/>
  <c r="H1747" i="2"/>
  <c r="N1747" i="2"/>
  <c r="K1747" i="2" s="1"/>
  <c r="L1747" i="2" s="1"/>
  <c r="M1747" i="2" s="1"/>
  <c r="F1747" i="2"/>
  <c r="E1747" i="2"/>
  <c r="F1652" i="2"/>
  <c r="E1652" i="2"/>
  <c r="N1652" i="2"/>
  <c r="K1652" i="2" s="1"/>
  <c r="L1652" i="2" s="1"/>
  <c r="M1652" i="2" s="1"/>
  <c r="J1652" i="2"/>
  <c r="I1652" i="2"/>
  <c r="H1652" i="2"/>
  <c r="N1561" i="2"/>
  <c r="K1561" i="2" s="1"/>
  <c r="L1561" i="2" s="1"/>
  <c r="M1561" i="2" s="1"/>
  <c r="H1561" i="2"/>
  <c r="I1561" i="2"/>
  <c r="E1561" i="2"/>
  <c r="J1561" i="2"/>
  <c r="F1561" i="2"/>
  <c r="J1834" i="2"/>
  <c r="I1834" i="2"/>
  <c r="H1834" i="2"/>
  <c r="N1834" i="2"/>
  <c r="K1834" i="2" s="1"/>
  <c r="L1834" i="2" s="1"/>
  <c r="M1834" i="2" s="1"/>
  <c r="F1834" i="2"/>
  <c r="E1834" i="2"/>
  <c r="I2365" i="2"/>
  <c r="N2365" i="2"/>
  <c r="K2365" i="2" s="1"/>
  <c r="L2365" i="2" s="1"/>
  <c r="M2365" i="2" s="1"/>
  <c r="H2365" i="2"/>
  <c r="J2365" i="2"/>
  <c r="E2365" i="2"/>
  <c r="F2365" i="2"/>
  <c r="I2373" i="2"/>
  <c r="J2373" i="2"/>
  <c r="E2373" i="2"/>
  <c r="N2373" i="2"/>
  <c r="K2373" i="2" s="1"/>
  <c r="L2373" i="2" s="1"/>
  <c r="M2373" i="2" s="1"/>
  <c r="H2373" i="2"/>
  <c r="F2373" i="2"/>
  <c r="J2079" i="2"/>
  <c r="I2079" i="2"/>
  <c r="H2079" i="2"/>
  <c r="E2079" i="2"/>
  <c r="N2079" i="2"/>
  <c r="K2079" i="2" s="1"/>
  <c r="L2079" i="2" s="1"/>
  <c r="M2079" i="2" s="1"/>
  <c r="F2079" i="2"/>
  <c r="H86" i="2"/>
  <c r="I86" i="2" s="1"/>
  <c r="F86" i="2"/>
  <c r="N86" i="2" s="1"/>
  <c r="K86" i="2" s="1"/>
  <c r="B811" i="2"/>
  <c r="B197" i="2"/>
  <c r="B372" i="2"/>
  <c r="B631" i="2"/>
  <c r="B93" i="2"/>
  <c r="B815" i="2"/>
  <c r="B704" i="2"/>
  <c r="B903" i="2"/>
  <c r="B328" i="2"/>
  <c r="B436" i="2"/>
  <c r="B829" i="2"/>
  <c r="B1190" i="2"/>
  <c r="B1377" i="2"/>
  <c r="B916" i="2"/>
  <c r="B1100" i="2"/>
  <c r="B941" i="2"/>
  <c r="B1057" i="2"/>
  <c r="B1294" i="2"/>
  <c r="B1315" i="2"/>
  <c r="B1585" i="2"/>
  <c r="B1784" i="2"/>
  <c r="B1440" i="2"/>
  <c r="B1418" i="2"/>
  <c r="B1464" i="2"/>
  <c r="B1666" i="2"/>
  <c r="B1802" i="2"/>
  <c r="B1906" i="2"/>
  <c r="B1840" i="2"/>
  <c r="B2123" i="2"/>
  <c r="B2362" i="2"/>
  <c r="B2205" i="2"/>
  <c r="B2134" i="2"/>
  <c r="B2274" i="2"/>
  <c r="B2258" i="2"/>
  <c r="B298" i="2"/>
  <c r="H2308" i="2"/>
  <c r="E2308" i="2"/>
  <c r="I2308" i="2"/>
  <c r="J2308" i="2"/>
  <c r="N2308" i="2"/>
  <c r="K2308" i="2" s="1"/>
  <c r="L2308" i="2" s="1"/>
  <c r="M2308" i="2" s="1"/>
  <c r="F2308" i="2"/>
  <c r="H1766" i="2"/>
  <c r="F1766" i="2"/>
  <c r="E1766" i="2"/>
  <c r="N1766" i="2"/>
  <c r="K1766" i="2" s="1"/>
  <c r="L1766" i="2" s="1"/>
  <c r="M1766" i="2" s="1"/>
  <c r="I1766" i="2"/>
  <c r="J1766" i="2"/>
  <c r="J1143" i="2"/>
  <c r="I1143" i="2"/>
  <c r="N1143" i="2"/>
  <c r="K1143" i="2" s="1"/>
  <c r="L1143" i="2" s="1"/>
  <c r="M1143" i="2" s="1"/>
  <c r="H1143" i="2"/>
  <c r="F1143" i="2"/>
  <c r="E1143" i="2"/>
  <c r="J659" i="2"/>
  <c r="I659" i="2"/>
  <c r="H659" i="2"/>
  <c r="F659" i="2"/>
  <c r="E659" i="2"/>
  <c r="N659" i="2"/>
  <c r="K659" i="2" s="1"/>
  <c r="L659" i="2" s="1"/>
  <c r="M659" i="2" s="1"/>
  <c r="N1284" i="2"/>
  <c r="K1284" i="2" s="1"/>
  <c r="L1284" i="2" s="1"/>
  <c r="M1284" i="2" s="1"/>
  <c r="E1284" i="2"/>
  <c r="F1284" i="2"/>
  <c r="H1284" i="2"/>
  <c r="J1284" i="2"/>
  <c r="I1284" i="2"/>
  <c r="N525" i="2"/>
  <c r="K525" i="2" s="1"/>
  <c r="L525" i="2" s="1"/>
  <c r="M525" i="2" s="1"/>
  <c r="F525" i="2"/>
  <c r="J525" i="2"/>
  <c r="I525" i="2"/>
  <c r="H525" i="2"/>
  <c r="E525" i="2"/>
  <c r="B667" i="2"/>
  <c r="B444" i="2"/>
  <c r="B571" i="2"/>
  <c r="B610" i="2"/>
  <c r="B801" i="2"/>
  <c r="B1065" i="2"/>
  <c r="B1519" i="2"/>
  <c r="B1800" i="2"/>
  <c r="B1603" i="2"/>
  <c r="B1878" i="2"/>
  <c r="J651" i="2"/>
  <c r="I651" i="2"/>
  <c r="H651" i="2"/>
  <c r="F651" i="2"/>
  <c r="E651" i="2"/>
  <c r="N651" i="2"/>
  <c r="K651" i="2" s="1"/>
  <c r="L651" i="2" s="1"/>
  <c r="M651" i="2" s="1"/>
  <c r="F645" i="2"/>
  <c r="N645" i="2" s="1"/>
  <c r="K645" i="2" s="1"/>
  <c r="L645" i="2" s="1"/>
  <c r="M645" i="2" s="1"/>
  <c r="H645" i="2"/>
  <c r="I645" i="2" s="1"/>
  <c r="J654" i="2"/>
  <c r="N654" i="2"/>
  <c r="K654" i="2" s="1"/>
  <c r="L654" i="2" s="1"/>
  <c r="M654" i="2" s="1"/>
  <c r="I654" i="2"/>
  <c r="H654" i="2"/>
  <c r="F654" i="2"/>
  <c r="E654" i="2"/>
  <c r="F537" i="2"/>
  <c r="E537" i="2"/>
  <c r="J537" i="2"/>
  <c r="I537" i="2"/>
  <c r="H537" i="2"/>
  <c r="N537" i="2"/>
  <c r="K537" i="2" s="1"/>
  <c r="L537" i="2" s="1"/>
  <c r="M537" i="2" s="1"/>
  <c r="J176" i="2"/>
  <c r="I176" i="2"/>
  <c r="H176" i="2"/>
  <c r="N176" i="2"/>
  <c r="K176" i="2" s="1"/>
  <c r="L176" i="2" s="1"/>
  <c r="M176" i="2" s="1"/>
  <c r="F176" i="2"/>
  <c r="E176" i="2"/>
  <c r="H143" i="2"/>
  <c r="F143" i="2"/>
  <c r="N143" i="2" s="1"/>
  <c r="K143" i="2" s="1"/>
  <c r="F505" i="2"/>
  <c r="N505" i="2" s="1"/>
  <c r="K505" i="2" s="1"/>
  <c r="H505" i="2"/>
  <c r="I505" i="2" s="1"/>
  <c r="N541" i="2"/>
  <c r="K541" i="2" s="1"/>
  <c r="L541" i="2" s="1"/>
  <c r="M541" i="2" s="1"/>
  <c r="F541" i="2"/>
  <c r="E541" i="2"/>
  <c r="J541" i="2"/>
  <c r="I541" i="2"/>
  <c r="H541" i="2"/>
  <c r="F236" i="2"/>
  <c r="E236" i="2"/>
  <c r="H236" i="2"/>
  <c r="N236" i="2"/>
  <c r="K236" i="2" s="1"/>
  <c r="L236" i="2" s="1"/>
  <c r="M236" i="2" s="1"/>
  <c r="J236" i="2"/>
  <c r="I236" i="2"/>
  <c r="F853" i="2"/>
  <c r="N853" i="2" s="1"/>
  <c r="K853" i="2" s="1"/>
  <c r="H876" i="2"/>
  <c r="I876" i="2" s="1"/>
  <c r="F876" i="2"/>
  <c r="N876" i="2" s="1"/>
  <c r="K876" i="2" s="1"/>
  <c r="L876" i="2" s="1"/>
  <c r="M876" i="2" s="1"/>
  <c r="H884" i="2"/>
  <c r="I884" i="2" s="1"/>
  <c r="F884" i="2"/>
  <c r="N884" i="2" s="1"/>
  <c r="K884" i="2" s="1"/>
  <c r="L884" i="2" s="1"/>
  <c r="M884" i="2" s="1"/>
  <c r="H873" i="2"/>
  <c r="I873" i="2" s="1"/>
  <c r="F873" i="2"/>
  <c r="N873" i="2" s="1"/>
  <c r="K873" i="2" s="1"/>
  <c r="L873" i="2" s="1"/>
  <c r="M873" i="2" s="1"/>
  <c r="E460" i="2"/>
  <c r="N460" i="2"/>
  <c r="K460" i="2" s="1"/>
  <c r="L460" i="2" s="1"/>
  <c r="M460" i="2" s="1"/>
  <c r="H460" i="2"/>
  <c r="I460" i="2"/>
  <c r="J460" i="2"/>
  <c r="N464" i="2"/>
  <c r="K464" i="2" s="1"/>
  <c r="L464" i="2" s="1"/>
  <c r="M464" i="2" s="1"/>
  <c r="E464" i="2"/>
  <c r="H464" i="2"/>
  <c r="J464" i="2"/>
  <c r="I464" i="2"/>
  <c r="N472" i="2"/>
  <c r="K472" i="2" s="1"/>
  <c r="L472" i="2" s="1"/>
  <c r="M472" i="2" s="1"/>
  <c r="E472" i="2"/>
  <c r="J472" i="2"/>
  <c r="I472" i="2"/>
  <c r="H472" i="2"/>
  <c r="B438" i="2"/>
  <c r="B462" i="2"/>
  <c r="B677" i="2"/>
  <c r="B116" i="2"/>
  <c r="B429" i="2"/>
  <c r="B433" i="2"/>
  <c r="B721" i="2"/>
  <c r="B699" i="2"/>
  <c r="B146" i="2"/>
  <c r="B712" i="2"/>
  <c r="B509" i="2"/>
  <c r="B572" i="2"/>
  <c r="B452" i="2"/>
  <c r="B1080" i="2"/>
  <c r="B857" i="2"/>
  <c r="B618" i="2"/>
  <c r="B956" i="2"/>
  <c r="B912" i="2"/>
  <c r="B1276" i="2"/>
  <c r="B1073" i="2"/>
  <c r="B1408" i="2"/>
  <c r="B1221" i="2"/>
  <c r="B1739" i="2"/>
  <c r="B1269" i="2"/>
  <c r="B1536" i="2"/>
  <c r="B1564" i="2"/>
  <c r="B1575" i="2"/>
  <c r="B1756" i="2"/>
  <c r="B1836" i="2"/>
  <c r="B1881" i="2"/>
  <c r="B1856" i="2"/>
  <c r="B1945" i="2"/>
  <c r="B1966" i="2"/>
  <c r="B2246" i="2"/>
  <c r="B2272" i="2"/>
  <c r="B2270" i="2"/>
  <c r="B2302" i="2"/>
  <c r="H634" i="2"/>
  <c r="I634" i="2" s="1"/>
  <c r="F634" i="2"/>
  <c r="N634" i="2" s="1"/>
  <c r="K634" i="2" s="1"/>
  <c r="I115" i="2"/>
  <c r="H115" i="2"/>
  <c r="F115" i="2"/>
  <c r="E115" i="2"/>
  <c r="J115" i="2"/>
  <c r="N115" i="2"/>
  <c r="K115" i="2" s="1"/>
  <c r="L115" i="2" s="1"/>
  <c r="M115" i="2" s="1"/>
  <c r="B863" i="2"/>
  <c r="B534" i="2"/>
  <c r="B1038" i="2"/>
  <c r="B1465" i="2"/>
  <c r="B1583" i="2"/>
  <c r="B2055" i="2"/>
  <c r="B2238" i="2"/>
  <c r="E2332" i="2"/>
  <c r="N2332" i="2"/>
  <c r="K2332" i="2" s="1"/>
  <c r="L2332" i="2" s="1"/>
  <c r="M2332" i="2" s="1"/>
  <c r="F2332" i="2"/>
  <c r="I2332" i="2"/>
  <c r="J2332" i="2"/>
  <c r="H2332" i="2"/>
  <c r="I1707" i="2"/>
  <c r="H1707" i="2"/>
  <c r="F1707" i="2"/>
  <c r="E1707" i="2"/>
  <c r="N1707" i="2"/>
  <c r="K1707" i="2" s="1"/>
  <c r="L1707" i="2" s="1"/>
  <c r="M1707" i="2" s="1"/>
  <c r="J1707" i="2"/>
  <c r="I1418" i="2"/>
  <c r="H1418" i="2"/>
  <c r="F1418" i="2"/>
  <c r="E1418" i="2"/>
  <c r="N1418" i="2"/>
  <c r="K1418" i="2" s="1"/>
  <c r="L1418" i="2" s="1"/>
  <c r="M1418" i="2" s="1"/>
  <c r="J1418" i="2"/>
  <c r="H939" i="2"/>
  <c r="I939" i="2" s="1"/>
  <c r="F939" i="2"/>
  <c r="N939" i="2" s="1"/>
  <c r="K939" i="2" s="1"/>
  <c r="H691" i="2"/>
  <c r="I691" i="2" s="1"/>
  <c r="F691" i="2"/>
  <c r="N691" i="2" s="1"/>
  <c r="K691" i="2" s="1"/>
  <c r="F1029" i="2"/>
  <c r="N1029" i="2" s="1"/>
  <c r="K1029" i="2" s="1"/>
  <c r="L1029" i="2" s="1"/>
  <c r="M1029" i="2" s="1"/>
  <c r="F1091" i="2"/>
  <c r="N1091" i="2" s="1"/>
  <c r="K1091" i="2" s="1"/>
  <c r="L1091" i="2" s="1"/>
  <c r="M1091" i="2" s="1"/>
  <c r="N1077" i="2"/>
  <c r="K1077" i="2" s="1"/>
  <c r="L1077" i="2" s="1"/>
  <c r="M1077" i="2" s="1"/>
  <c r="F1077" i="2"/>
  <c r="E1077" i="2"/>
  <c r="I1077" i="2"/>
  <c r="J1077" i="2"/>
  <c r="H1077" i="2"/>
  <c r="N311" i="2"/>
  <c r="K311" i="2" s="1"/>
  <c r="J535" i="2"/>
  <c r="I535" i="2"/>
  <c r="H535" i="2"/>
  <c r="N535" i="2"/>
  <c r="K535" i="2" s="1"/>
  <c r="L535" i="2" s="1"/>
  <c r="M535" i="2" s="1"/>
  <c r="F535" i="2"/>
  <c r="E535" i="2"/>
  <c r="B980" i="2"/>
  <c r="B731" i="2"/>
  <c r="B983" i="2"/>
  <c r="B1706" i="2"/>
  <c r="B1493" i="2"/>
  <c r="B2015" i="2"/>
  <c r="F2106" i="2"/>
  <c r="J2106" i="2"/>
  <c r="I2106" i="2"/>
  <c r="H2106" i="2"/>
  <c r="E2106" i="2"/>
  <c r="N2106" i="2"/>
  <c r="K2106" i="2" s="1"/>
  <c r="L2106" i="2" s="1"/>
  <c r="M2106" i="2" s="1"/>
  <c r="H1750" i="2"/>
  <c r="F1750" i="2"/>
  <c r="E1750" i="2"/>
  <c r="J1750" i="2"/>
  <c r="I1750" i="2"/>
  <c r="N1750" i="2"/>
  <c r="K1750" i="2" s="1"/>
  <c r="L1750" i="2" s="1"/>
  <c r="M1750" i="2" s="1"/>
  <c r="H1790" i="2"/>
  <c r="F1790" i="2"/>
  <c r="E1790" i="2"/>
  <c r="I1790" i="2"/>
  <c r="J1790" i="2"/>
  <c r="N1790" i="2"/>
  <c r="K1790" i="2" s="1"/>
  <c r="L1790" i="2" s="1"/>
  <c r="M1790" i="2" s="1"/>
  <c r="I1945" i="2"/>
  <c r="H1945" i="2"/>
  <c r="F1945" i="2"/>
  <c r="E1945" i="2"/>
  <c r="J1945" i="2"/>
  <c r="N1945" i="2"/>
  <c r="K1945" i="2" s="1"/>
  <c r="L1945" i="2" s="1"/>
  <c r="M1945" i="2" s="1"/>
  <c r="F1688" i="2"/>
  <c r="E1688" i="2"/>
  <c r="J1688" i="2"/>
  <c r="I1688" i="2"/>
  <c r="H1688" i="2"/>
  <c r="N1688" i="2"/>
  <c r="K1688" i="2" s="1"/>
  <c r="L1688" i="2" s="1"/>
  <c r="M1688" i="2" s="1"/>
  <c r="H1678" i="2"/>
  <c r="F1678" i="2"/>
  <c r="E1678" i="2"/>
  <c r="I1678" i="2"/>
  <c r="N1678" i="2"/>
  <c r="K1678" i="2" s="1"/>
  <c r="L1678" i="2" s="1"/>
  <c r="M1678" i="2" s="1"/>
  <c r="J1678" i="2"/>
  <c r="J1616" i="2"/>
  <c r="I1616" i="2"/>
  <c r="N1616" i="2"/>
  <c r="K1616" i="2" s="1"/>
  <c r="L1616" i="2" s="1"/>
  <c r="M1616" i="2" s="1"/>
  <c r="H1616" i="2"/>
  <c r="E1616" i="2"/>
  <c r="F1616" i="2"/>
  <c r="J998" i="2"/>
  <c r="I998" i="2"/>
  <c r="H998" i="2"/>
  <c r="F998" i="2"/>
  <c r="E998" i="2"/>
  <c r="N998" i="2"/>
  <c r="K998" i="2" s="1"/>
  <c r="L998" i="2" s="1"/>
  <c r="M998" i="2" s="1"/>
  <c r="F772" i="2"/>
  <c r="E772" i="2"/>
  <c r="H772" i="2"/>
  <c r="J772" i="2"/>
  <c r="I772" i="2"/>
  <c r="N772" i="2"/>
  <c r="K772" i="2" s="1"/>
  <c r="L772" i="2" s="1"/>
  <c r="M772" i="2" s="1"/>
  <c r="B537" i="2"/>
  <c r="B1163" i="2"/>
  <c r="B1936" i="2"/>
  <c r="J2387" i="2"/>
  <c r="H2387" i="2"/>
  <c r="F2387" i="2"/>
  <c r="E2387" i="2"/>
  <c r="N2387" i="2"/>
  <c r="K2387" i="2" s="1"/>
  <c r="L2387" i="2" s="1"/>
  <c r="M2387" i="2" s="1"/>
  <c r="I2387" i="2"/>
  <c r="J2344" i="2"/>
  <c r="H2344" i="2"/>
  <c r="N2344" i="2"/>
  <c r="K2344" i="2" s="1"/>
  <c r="L2344" i="2" s="1"/>
  <c r="M2344" i="2" s="1"/>
  <c r="I2344" i="2"/>
  <c r="E2344" i="2"/>
  <c r="F2344" i="2"/>
  <c r="F1872" i="2"/>
  <c r="E1872" i="2"/>
  <c r="I1872" i="2"/>
  <c r="H1872" i="2"/>
  <c r="J1872" i="2"/>
  <c r="N1872" i="2"/>
  <c r="K1872" i="2" s="1"/>
  <c r="L1872" i="2" s="1"/>
  <c r="M1872" i="2" s="1"/>
  <c r="J1600" i="2"/>
  <c r="I1600" i="2"/>
  <c r="H1600" i="2"/>
  <c r="F1600" i="2"/>
  <c r="E1600" i="2"/>
  <c r="N1600" i="2"/>
  <c r="K1600" i="2" s="1"/>
  <c r="L1600" i="2" s="1"/>
  <c r="M1600" i="2" s="1"/>
  <c r="N1375" i="2"/>
  <c r="K1375" i="2" s="1"/>
  <c r="L1375" i="2" s="1"/>
  <c r="M1375" i="2" s="1"/>
  <c r="H1375" i="2"/>
  <c r="E1375" i="2"/>
  <c r="I1375" i="2"/>
  <c r="J1375" i="2"/>
  <c r="F1375" i="2"/>
  <c r="F912" i="2"/>
  <c r="N912" i="2" s="1"/>
  <c r="K912" i="2" s="1"/>
  <c r="L912" i="2" s="1"/>
  <c r="M912" i="2" s="1"/>
  <c r="N1053" i="2"/>
  <c r="K1053" i="2" s="1"/>
  <c r="L1053" i="2" s="1"/>
  <c r="M1053" i="2" s="1"/>
  <c r="F1053" i="2"/>
  <c r="E1053" i="2"/>
  <c r="J1053" i="2"/>
  <c r="I1053" i="2"/>
  <c r="H1053" i="2"/>
  <c r="I648" i="2"/>
  <c r="H648" i="2"/>
  <c r="F648" i="2"/>
  <c r="E648" i="2"/>
  <c r="N648" i="2"/>
  <c r="K648" i="2" s="1"/>
  <c r="L648" i="2" s="1"/>
  <c r="M648" i="2" s="1"/>
  <c r="J648" i="2"/>
  <c r="B108" i="2"/>
  <c r="B926" i="2"/>
  <c r="B1517" i="2"/>
  <c r="B2146" i="2"/>
  <c r="J165" i="2"/>
  <c r="I165" i="2"/>
  <c r="H165" i="2"/>
  <c r="F165" i="2"/>
  <c r="E165" i="2"/>
  <c r="N165" i="2"/>
  <c r="K165" i="2" s="1"/>
  <c r="L165" i="2" s="1"/>
  <c r="M165" i="2" s="1"/>
  <c r="H881" i="2"/>
  <c r="I881" i="2" s="1"/>
  <c r="F881" i="2"/>
  <c r="N881" i="2" s="1"/>
  <c r="K881" i="2" s="1"/>
  <c r="L881" i="2" s="1"/>
  <c r="M881" i="2" s="1"/>
  <c r="B390" i="2"/>
  <c r="B558" i="2"/>
  <c r="B860" i="2"/>
  <c r="B924" i="2"/>
  <c r="B1268" i="2"/>
  <c r="B1390" i="2"/>
  <c r="B1808" i="2"/>
  <c r="B1448" i="2"/>
  <c r="B1504" i="2"/>
  <c r="B1668" i="2"/>
  <c r="B1879" i="2"/>
  <c r="B1848" i="2"/>
  <c r="B2240" i="2"/>
  <c r="B1958" i="2"/>
  <c r="B2216" i="2"/>
  <c r="B2143" i="2"/>
  <c r="B2220" i="2"/>
  <c r="F616" i="2"/>
  <c r="N616" i="2" s="1"/>
  <c r="K616" i="2" s="1"/>
  <c r="J667" i="2"/>
  <c r="I667" i="2"/>
  <c r="H667" i="2"/>
  <c r="F667" i="2"/>
  <c r="N667" i="2"/>
  <c r="K667" i="2" s="1"/>
  <c r="L667" i="2" s="1"/>
  <c r="M667" i="2" s="1"/>
  <c r="E667" i="2"/>
  <c r="F608" i="2"/>
  <c r="N608" i="2" s="1"/>
  <c r="K608" i="2" s="1"/>
  <c r="F496" i="2"/>
  <c r="N496" i="2" s="1"/>
  <c r="K496" i="2" s="1"/>
  <c r="H145" i="2"/>
  <c r="I145" i="2" s="1"/>
  <c r="F145" i="2"/>
  <c r="N145" i="2" s="1"/>
  <c r="K145" i="2" s="1"/>
  <c r="H866" i="2"/>
  <c r="F866" i="2"/>
  <c r="N866" i="2" s="1"/>
  <c r="K866" i="2" s="1"/>
  <c r="H878" i="2"/>
  <c r="F878" i="2"/>
  <c r="N878" i="2" s="1"/>
  <c r="K878" i="2" s="1"/>
  <c r="H864" i="2"/>
  <c r="I864" i="2" s="1"/>
  <c r="F864" i="2"/>
  <c r="N864" i="2" s="1"/>
  <c r="K864" i="2" s="1"/>
  <c r="L864" i="2" s="1"/>
  <c r="M864" i="2" s="1"/>
  <c r="J889" i="2"/>
  <c r="I889" i="2"/>
  <c r="H889" i="2"/>
  <c r="F889" i="2"/>
  <c r="E889" i="2"/>
  <c r="N889" i="2"/>
  <c r="K889" i="2" s="1"/>
  <c r="L889" i="2" s="1"/>
  <c r="M889" i="2" s="1"/>
  <c r="J457" i="2"/>
  <c r="N457" i="2"/>
  <c r="K457" i="2" s="1"/>
  <c r="L457" i="2" s="1"/>
  <c r="M457" i="2" s="1"/>
  <c r="I457" i="2"/>
  <c r="H457" i="2"/>
  <c r="E457" i="2"/>
  <c r="E484" i="2"/>
  <c r="N484" i="2"/>
  <c r="K484" i="2" s="1"/>
  <c r="L484" i="2" s="1"/>
  <c r="M484" i="2" s="1"/>
  <c r="J484" i="2"/>
  <c r="I484" i="2"/>
  <c r="H484" i="2"/>
  <c r="N480" i="2"/>
  <c r="K480" i="2" s="1"/>
  <c r="L480" i="2" s="1"/>
  <c r="M480" i="2" s="1"/>
  <c r="E480" i="2"/>
  <c r="J480" i="2"/>
  <c r="I480" i="2"/>
  <c r="H480" i="2"/>
  <c r="N293" i="2"/>
  <c r="K293" i="2" s="1"/>
  <c r="L293" i="2" s="1"/>
  <c r="M293" i="2" s="1"/>
  <c r="J293" i="2"/>
  <c r="H293" i="2"/>
  <c r="E293" i="2"/>
  <c r="I293" i="2"/>
  <c r="B308" i="2"/>
  <c r="B284" i="2"/>
  <c r="B133" i="2"/>
  <c r="B848" i="2"/>
  <c r="B611" i="2"/>
  <c r="B967" i="2"/>
  <c r="B930" i="2"/>
  <c r="B154" i="2"/>
  <c r="B1211" i="2"/>
  <c r="B720" i="2"/>
  <c r="B593" i="2"/>
  <c r="B484" i="2"/>
  <c r="B744" i="2"/>
  <c r="B869" i="2"/>
  <c r="B626" i="2"/>
  <c r="B964" i="2"/>
  <c r="B851" i="2"/>
  <c r="B1483" i="2"/>
  <c r="B1081" i="2"/>
  <c r="B1490" i="2"/>
  <c r="B1298" i="2"/>
  <c r="B1419" i="2"/>
  <c r="B1277" i="2"/>
  <c r="B1513" i="2"/>
  <c r="B1608" i="2"/>
  <c r="B1646" i="2"/>
  <c r="B2037" i="2"/>
  <c r="B1854" i="2"/>
  <c r="B1883" i="2"/>
  <c r="B1981" i="2"/>
  <c r="B1877" i="2"/>
  <c r="B2000" i="2"/>
  <c r="B2060" i="2"/>
  <c r="B2348" i="2"/>
  <c r="B2319" i="2"/>
  <c r="B2304" i="2"/>
  <c r="N2152" i="2"/>
  <c r="K2152" i="2" s="1"/>
  <c r="L2152" i="2" s="1"/>
  <c r="M2152" i="2" s="1"/>
  <c r="I2152" i="2"/>
  <c r="F2152" i="2"/>
  <c r="E2152" i="2"/>
  <c r="J2152" i="2"/>
  <c r="H2152" i="2"/>
  <c r="H1806" i="2"/>
  <c r="F1806" i="2"/>
  <c r="E1806" i="2"/>
  <c r="J1806" i="2"/>
  <c r="I1806" i="2"/>
  <c r="N1806" i="2"/>
  <c r="K1806" i="2" s="1"/>
  <c r="L1806" i="2" s="1"/>
  <c r="M1806" i="2" s="1"/>
  <c r="N1989" i="2"/>
  <c r="K1989" i="2" s="1"/>
  <c r="L1989" i="2" s="1"/>
  <c r="M1989" i="2" s="1"/>
  <c r="I1989" i="2"/>
  <c r="H1989" i="2"/>
  <c r="F1989" i="2"/>
  <c r="E1989" i="2"/>
  <c r="J1989" i="2"/>
  <c r="N1949" i="2"/>
  <c r="K1949" i="2" s="1"/>
  <c r="L1949" i="2" s="1"/>
  <c r="M1949" i="2" s="1"/>
  <c r="J1949" i="2"/>
  <c r="I1949" i="2"/>
  <c r="H1949" i="2"/>
  <c r="E1949" i="2"/>
  <c r="F1949" i="2"/>
  <c r="J1936" i="2"/>
  <c r="N1936" i="2"/>
  <c r="K1936" i="2" s="1"/>
  <c r="L1936" i="2" s="1"/>
  <c r="M1936" i="2" s="1"/>
  <c r="I1936" i="2"/>
  <c r="E1936" i="2"/>
  <c r="H1936" i="2"/>
  <c r="F1936" i="2"/>
  <c r="J1746" i="2"/>
  <c r="I1746" i="2"/>
  <c r="H1746" i="2"/>
  <c r="F1746" i="2"/>
  <c r="E1746" i="2"/>
  <c r="N1746" i="2"/>
  <c r="K1746" i="2" s="1"/>
  <c r="L1746" i="2" s="1"/>
  <c r="M1746" i="2" s="1"/>
  <c r="J950" i="2"/>
  <c r="I950" i="2"/>
  <c r="H950" i="2"/>
  <c r="F950" i="2"/>
  <c r="E950" i="2"/>
  <c r="N950" i="2"/>
  <c r="K950" i="2" s="1"/>
  <c r="L950" i="2" s="1"/>
  <c r="M950" i="2" s="1"/>
  <c r="H384" i="2"/>
  <c r="N384" i="2"/>
  <c r="K384" i="2" s="1"/>
  <c r="F739" i="2"/>
  <c r="N739" i="2" s="1"/>
  <c r="K739" i="2" s="1"/>
  <c r="L739" i="2" s="1"/>
  <c r="M739" i="2" s="1"/>
  <c r="F96" i="2"/>
  <c r="E96" i="2"/>
  <c r="H96" i="2"/>
  <c r="N96" i="2"/>
  <c r="K96" i="2" s="1"/>
  <c r="L96" i="2" s="1"/>
  <c r="M96" i="2" s="1"/>
  <c r="J96" i="2"/>
  <c r="I96" i="2"/>
  <c r="B203" i="2"/>
  <c r="B954" i="2"/>
  <c r="B529" i="2"/>
  <c r="B568" i="2"/>
  <c r="B798" i="2"/>
  <c r="B1224" i="2"/>
  <c r="B1471" i="2"/>
  <c r="B1697" i="2"/>
  <c r="B1884" i="2"/>
  <c r="B2209" i="2"/>
  <c r="H2369" i="2"/>
  <c r="F2369" i="2"/>
  <c r="N2369" i="2"/>
  <c r="K2369" i="2" s="1"/>
  <c r="L2369" i="2" s="1"/>
  <c r="M2369" i="2" s="1"/>
  <c r="J2369" i="2"/>
  <c r="I2369" i="2"/>
  <c r="E2369" i="2"/>
  <c r="F2247" i="2"/>
  <c r="E2247" i="2"/>
  <c r="J2247" i="2"/>
  <c r="H2247" i="2"/>
  <c r="I2247" i="2"/>
  <c r="N2247" i="2"/>
  <c r="K2247" i="2" s="1"/>
  <c r="L2247" i="2" s="1"/>
  <c r="M2247" i="2" s="1"/>
  <c r="N2313" i="2"/>
  <c r="K2313" i="2" s="1"/>
  <c r="L2313" i="2" s="1"/>
  <c r="M2313" i="2" s="1"/>
  <c r="F2313" i="2"/>
  <c r="J2313" i="2"/>
  <c r="E2313" i="2"/>
  <c r="H2313" i="2"/>
  <c r="I2313" i="2"/>
  <c r="H2179" i="2"/>
  <c r="F2179" i="2"/>
  <c r="E2179" i="2"/>
  <c r="J2179" i="2"/>
  <c r="I2179" i="2"/>
  <c r="N2179" i="2"/>
  <c r="K2179" i="2" s="1"/>
  <c r="L2179" i="2" s="1"/>
  <c r="M2179" i="2" s="1"/>
  <c r="I2205" i="2"/>
  <c r="F2205" i="2"/>
  <c r="H2205" i="2"/>
  <c r="N2205" i="2"/>
  <c r="K2205" i="2" s="1"/>
  <c r="L2205" i="2" s="1"/>
  <c r="M2205" i="2" s="1"/>
  <c r="E2205" i="2"/>
  <c r="J2205" i="2"/>
  <c r="N1992" i="2"/>
  <c r="K1992" i="2" s="1"/>
  <c r="L1992" i="2" s="1"/>
  <c r="M1992" i="2" s="1"/>
  <c r="I1992" i="2"/>
  <c r="H1992" i="2"/>
  <c r="E1992" i="2"/>
  <c r="J1992" i="2"/>
  <c r="F1992" i="2"/>
  <c r="F2009" i="2"/>
  <c r="E2009" i="2"/>
  <c r="J2009" i="2"/>
  <c r="I2009" i="2"/>
  <c r="N2009" i="2"/>
  <c r="K2009" i="2" s="1"/>
  <c r="L2009" i="2" s="1"/>
  <c r="M2009" i="2" s="1"/>
  <c r="H2009" i="2"/>
  <c r="J1978" i="2"/>
  <c r="I1978" i="2"/>
  <c r="H1978" i="2"/>
  <c r="F1978" i="2"/>
  <c r="E1978" i="2"/>
  <c r="N1978" i="2"/>
  <c r="K1978" i="2" s="1"/>
  <c r="L1978" i="2" s="1"/>
  <c r="M1978" i="2" s="1"/>
  <c r="J1826" i="2"/>
  <c r="N1826" i="2"/>
  <c r="K1826" i="2" s="1"/>
  <c r="L1826" i="2" s="1"/>
  <c r="M1826" i="2" s="1"/>
  <c r="I1826" i="2"/>
  <c r="F1826" i="2"/>
  <c r="E1826" i="2"/>
  <c r="H1826" i="2"/>
  <c r="J716" i="2"/>
  <c r="I716" i="2"/>
  <c r="H716" i="2"/>
  <c r="F716" i="2"/>
  <c r="E716" i="2"/>
  <c r="N716" i="2"/>
  <c r="K716" i="2" s="1"/>
  <c r="L716" i="2" s="1"/>
  <c r="M716" i="2" s="1"/>
  <c r="F550" i="2"/>
  <c r="N550" i="2" s="1"/>
  <c r="K550" i="2" s="1"/>
  <c r="L550" i="2" s="1"/>
  <c r="M550" i="2" s="1"/>
  <c r="F609" i="2"/>
  <c r="N609" i="2" s="1"/>
  <c r="K609" i="2" s="1"/>
  <c r="L609" i="2" s="1"/>
  <c r="M609" i="2" s="1"/>
  <c r="F636" i="2"/>
  <c r="N636" i="2" s="1"/>
  <c r="K636" i="2" s="1"/>
  <c r="H636" i="2"/>
  <c r="N187" i="2"/>
  <c r="K187" i="2" s="1"/>
  <c r="L187" i="2" s="1"/>
  <c r="M187" i="2" s="1"/>
  <c r="J187" i="2"/>
  <c r="E187" i="2"/>
  <c r="F187" i="2"/>
  <c r="I187" i="2"/>
  <c r="H187" i="2"/>
  <c r="N492" i="2"/>
  <c r="K492" i="2" s="1"/>
  <c r="L492" i="2" s="1"/>
  <c r="M492" i="2" s="1"/>
  <c r="B1136" i="2"/>
  <c r="B576" i="2"/>
  <c r="B1074" i="2"/>
  <c r="B1376" i="2"/>
  <c r="B1937" i="2"/>
  <c r="B2137" i="2"/>
  <c r="N2230" i="2"/>
  <c r="K2230" i="2" s="1"/>
  <c r="L2230" i="2" s="1"/>
  <c r="M2230" i="2" s="1"/>
  <c r="J2230" i="2"/>
  <c r="E2230" i="2"/>
  <c r="H2230" i="2"/>
  <c r="F2230" i="2"/>
  <c r="I2230" i="2"/>
  <c r="H2333" i="2"/>
  <c r="E2333" i="2"/>
  <c r="N2333" i="2"/>
  <c r="K2333" i="2" s="1"/>
  <c r="L2333" i="2" s="1"/>
  <c r="M2333" i="2" s="1"/>
  <c r="J2333" i="2"/>
  <c r="F2333" i="2"/>
  <c r="I2333" i="2"/>
  <c r="N2029" i="2"/>
  <c r="K2029" i="2" s="1"/>
  <c r="L2029" i="2" s="1"/>
  <c r="M2029" i="2" s="1"/>
  <c r="J2029" i="2"/>
  <c r="I2029" i="2"/>
  <c r="H2029" i="2"/>
  <c r="F2029" i="2"/>
  <c r="E2029" i="2"/>
  <c r="N1954" i="2"/>
  <c r="K1954" i="2" s="1"/>
  <c r="L1954" i="2" s="1"/>
  <c r="M1954" i="2" s="1"/>
  <c r="E1954" i="2"/>
  <c r="J1954" i="2"/>
  <c r="H1954" i="2"/>
  <c r="I1954" i="2"/>
  <c r="F1954" i="2"/>
  <c r="E1514" i="2"/>
  <c r="N1514" i="2"/>
  <c r="K1514" i="2" s="1"/>
  <c r="L1514" i="2" s="1"/>
  <c r="M1514" i="2" s="1"/>
  <c r="J1514" i="2"/>
  <c r="H1514" i="2"/>
  <c r="F1514" i="2"/>
  <c r="I1514" i="2"/>
  <c r="J1841" i="2"/>
  <c r="F1841" i="2"/>
  <c r="E1841" i="2"/>
  <c r="N1841" i="2"/>
  <c r="K1841" i="2" s="1"/>
  <c r="L1841" i="2" s="1"/>
  <c r="M1841" i="2" s="1"/>
  <c r="I1841" i="2"/>
  <c r="H1841" i="2"/>
  <c r="F1221" i="2"/>
  <c r="E1221" i="2"/>
  <c r="N1221" i="2"/>
  <c r="K1221" i="2" s="1"/>
  <c r="L1221" i="2" s="1"/>
  <c r="M1221" i="2" s="1"/>
  <c r="I1221" i="2"/>
  <c r="J1221" i="2"/>
  <c r="H1221" i="2"/>
  <c r="N1308" i="2"/>
  <c r="K1308" i="2" s="1"/>
  <c r="L1308" i="2" s="1"/>
  <c r="M1308" i="2" s="1"/>
  <c r="J1308" i="2"/>
  <c r="I1308" i="2"/>
  <c r="H1308" i="2"/>
  <c r="F1308" i="2"/>
  <c r="E1308" i="2"/>
  <c r="F919" i="2"/>
  <c r="N919" i="2" s="1"/>
  <c r="K919" i="2" s="1"/>
  <c r="F1126" i="2"/>
  <c r="E1126" i="2"/>
  <c r="H1126" i="2"/>
  <c r="J1126" i="2"/>
  <c r="I1126" i="2"/>
  <c r="N1126" i="2"/>
  <c r="K1126" i="2" s="1"/>
  <c r="L1126" i="2" s="1"/>
  <c r="M1126" i="2" s="1"/>
  <c r="N310" i="2"/>
  <c r="K310" i="2" s="1"/>
  <c r="L310" i="2" s="1"/>
  <c r="M310" i="2" s="1"/>
  <c r="B207" i="2"/>
  <c r="B584" i="2"/>
  <c r="B1113" i="2"/>
  <c r="B1773" i="2"/>
  <c r="B2045" i="2"/>
  <c r="H863" i="2"/>
  <c r="I863" i="2" s="1"/>
  <c r="F863" i="2"/>
  <c r="N863" i="2" s="1"/>
  <c r="K863" i="2" s="1"/>
  <c r="J102" i="2"/>
  <c r="I102" i="2"/>
  <c r="H102" i="2"/>
  <c r="F102" i="2"/>
  <c r="N102" i="2"/>
  <c r="K102" i="2" s="1"/>
  <c r="L102" i="2" s="1"/>
  <c r="M102" i="2" s="1"/>
  <c r="E102" i="2"/>
  <c r="B440" i="2"/>
  <c r="B1029" i="2"/>
  <c r="J2118" i="2"/>
  <c r="I2118" i="2"/>
  <c r="H2118" i="2"/>
  <c r="N2118" i="2"/>
  <c r="K2118" i="2" s="1"/>
  <c r="L2118" i="2" s="1"/>
  <c r="M2118" i="2" s="1"/>
  <c r="E2118" i="2"/>
  <c r="F2118" i="2"/>
  <c r="J2339" i="2"/>
  <c r="H2339" i="2"/>
  <c r="F2339" i="2"/>
  <c r="N2339" i="2"/>
  <c r="K2339" i="2" s="1"/>
  <c r="L2339" i="2" s="1"/>
  <c r="M2339" i="2" s="1"/>
  <c r="I2339" i="2"/>
  <c r="E2339" i="2"/>
  <c r="J2323" i="2"/>
  <c r="I2323" i="2"/>
  <c r="H2323" i="2"/>
  <c r="N2323" i="2"/>
  <c r="K2323" i="2" s="1"/>
  <c r="L2323" i="2" s="1"/>
  <c r="M2323" i="2" s="1"/>
  <c r="F2323" i="2"/>
  <c r="E2323" i="2"/>
  <c r="N2311" i="2"/>
  <c r="K2311" i="2" s="1"/>
  <c r="L2311" i="2" s="1"/>
  <c r="M2311" i="2" s="1"/>
  <c r="E2311" i="2"/>
  <c r="J2311" i="2"/>
  <c r="I2311" i="2"/>
  <c r="F2311" i="2"/>
  <c r="H2311" i="2"/>
  <c r="J2216" i="2"/>
  <c r="I2216" i="2"/>
  <c r="E2216" i="2"/>
  <c r="F2216" i="2"/>
  <c r="N2216" i="2"/>
  <c r="K2216" i="2" s="1"/>
  <c r="L2216" i="2" s="1"/>
  <c r="M2216" i="2" s="1"/>
  <c r="H2216" i="2"/>
  <c r="F2201" i="2"/>
  <c r="J2201" i="2"/>
  <c r="I2201" i="2"/>
  <c r="H2201" i="2"/>
  <c r="N2201" i="2"/>
  <c r="K2201" i="2" s="1"/>
  <c r="L2201" i="2" s="1"/>
  <c r="M2201" i="2" s="1"/>
  <c r="E2201" i="2"/>
  <c r="H2213" i="2"/>
  <c r="E2213" i="2"/>
  <c r="N2213" i="2"/>
  <c r="K2213" i="2" s="1"/>
  <c r="L2213" i="2" s="1"/>
  <c r="M2213" i="2" s="1"/>
  <c r="F2213" i="2"/>
  <c r="J2213" i="2"/>
  <c r="I2213" i="2"/>
  <c r="H2054" i="2"/>
  <c r="F2054" i="2"/>
  <c r="E2054" i="2"/>
  <c r="N2054" i="2"/>
  <c r="K2054" i="2" s="1"/>
  <c r="L2054" i="2" s="1"/>
  <c r="M2054" i="2" s="1"/>
  <c r="I2054" i="2"/>
  <c r="J2054" i="2"/>
  <c r="H2097" i="2"/>
  <c r="F2097" i="2"/>
  <c r="E2097" i="2"/>
  <c r="J2097" i="2"/>
  <c r="I2097" i="2"/>
  <c r="N2097" i="2"/>
  <c r="K2097" i="2" s="1"/>
  <c r="L2097" i="2" s="1"/>
  <c r="M2097" i="2" s="1"/>
  <c r="J2057" i="2"/>
  <c r="I2057" i="2"/>
  <c r="H2057" i="2"/>
  <c r="F2057" i="2"/>
  <c r="N2057" i="2"/>
  <c r="K2057" i="2" s="1"/>
  <c r="L2057" i="2" s="1"/>
  <c r="M2057" i="2" s="1"/>
  <c r="E2057" i="2"/>
  <c r="J1882" i="2"/>
  <c r="H1882" i="2"/>
  <c r="F1882" i="2"/>
  <c r="E1882" i="2"/>
  <c r="I1882" i="2"/>
  <c r="N1882" i="2"/>
  <c r="K1882" i="2" s="1"/>
  <c r="L1882" i="2" s="1"/>
  <c r="M1882" i="2" s="1"/>
  <c r="J1796" i="2"/>
  <c r="I1796" i="2"/>
  <c r="N1796" i="2"/>
  <c r="K1796" i="2" s="1"/>
  <c r="L1796" i="2" s="1"/>
  <c r="M1796" i="2" s="1"/>
  <c r="F1796" i="2"/>
  <c r="H1796" i="2"/>
  <c r="E1796" i="2"/>
  <c r="H1900" i="2"/>
  <c r="F1900" i="2"/>
  <c r="E1900" i="2"/>
  <c r="J1900" i="2"/>
  <c r="I1900" i="2"/>
  <c r="N1900" i="2"/>
  <c r="K1900" i="2" s="1"/>
  <c r="L1900" i="2" s="1"/>
  <c r="M1900" i="2" s="1"/>
  <c r="J1870" i="2"/>
  <c r="I1870" i="2"/>
  <c r="H1870" i="2"/>
  <c r="E1870" i="2"/>
  <c r="F1870" i="2"/>
  <c r="N1870" i="2"/>
  <c r="K1870" i="2" s="1"/>
  <c r="L1870" i="2" s="1"/>
  <c r="M1870" i="2" s="1"/>
  <c r="J2006" i="2"/>
  <c r="I2006" i="2"/>
  <c r="H2006" i="2"/>
  <c r="E2006" i="2"/>
  <c r="N2006" i="2"/>
  <c r="K2006" i="2" s="1"/>
  <c r="L2006" i="2" s="1"/>
  <c r="M2006" i="2" s="1"/>
  <c r="F2006" i="2"/>
  <c r="I2020" i="2"/>
  <c r="H2020" i="2"/>
  <c r="F2020" i="2"/>
  <c r="E2020" i="2"/>
  <c r="N2020" i="2"/>
  <c r="K2020" i="2" s="1"/>
  <c r="L2020" i="2" s="1"/>
  <c r="M2020" i="2" s="1"/>
  <c r="J2020" i="2"/>
  <c r="I2019" i="2"/>
  <c r="H2019" i="2"/>
  <c r="F2019" i="2"/>
  <c r="E2019" i="2"/>
  <c r="N2019" i="2"/>
  <c r="K2019" i="2" s="1"/>
  <c r="L2019" i="2" s="1"/>
  <c r="M2019" i="2" s="1"/>
  <c r="J2019" i="2"/>
  <c r="N1933" i="2"/>
  <c r="K1933" i="2" s="1"/>
  <c r="L1933" i="2" s="1"/>
  <c r="M1933" i="2" s="1"/>
  <c r="J1933" i="2"/>
  <c r="I1933" i="2"/>
  <c r="E1933" i="2"/>
  <c r="F1933" i="2"/>
  <c r="H1933" i="2"/>
  <c r="F1966" i="2"/>
  <c r="E1966" i="2"/>
  <c r="N1966" i="2"/>
  <c r="K1966" i="2" s="1"/>
  <c r="L1966" i="2" s="1"/>
  <c r="M1966" i="2" s="1"/>
  <c r="J1966" i="2"/>
  <c r="I1966" i="2"/>
  <c r="H1966" i="2"/>
  <c r="J1710" i="2"/>
  <c r="I1710" i="2"/>
  <c r="H1710" i="2"/>
  <c r="F1710" i="2"/>
  <c r="N1710" i="2"/>
  <c r="K1710" i="2" s="1"/>
  <c r="L1710" i="2" s="1"/>
  <c r="M1710" i="2" s="1"/>
  <c r="E1710" i="2"/>
  <c r="N1733" i="2"/>
  <c r="K1733" i="2" s="1"/>
  <c r="L1733" i="2" s="1"/>
  <c r="M1733" i="2" s="1"/>
  <c r="F1733" i="2"/>
  <c r="J1733" i="2"/>
  <c r="I1733" i="2"/>
  <c r="H1733" i="2"/>
  <c r="E1733" i="2"/>
  <c r="J1846" i="2"/>
  <c r="I1846" i="2"/>
  <c r="H1846" i="2"/>
  <c r="F1846" i="2"/>
  <c r="E1846" i="2"/>
  <c r="N1846" i="2"/>
  <c r="K1846" i="2" s="1"/>
  <c r="L1846" i="2" s="1"/>
  <c r="M1846" i="2" s="1"/>
  <c r="J1563" i="2"/>
  <c r="I1563" i="2"/>
  <c r="E1563" i="2"/>
  <c r="N1563" i="2"/>
  <c r="K1563" i="2" s="1"/>
  <c r="L1563" i="2" s="1"/>
  <c r="M1563" i="2" s="1"/>
  <c r="H1563" i="2"/>
  <c r="F1563" i="2"/>
  <c r="J1629" i="2"/>
  <c r="H1629" i="2"/>
  <c r="F1629" i="2"/>
  <c r="E1629" i="2"/>
  <c r="I1629" i="2"/>
  <c r="N1629" i="2"/>
  <c r="K1629" i="2" s="1"/>
  <c r="L1629" i="2" s="1"/>
  <c r="M1629" i="2" s="1"/>
  <c r="N1687" i="2"/>
  <c r="K1687" i="2" s="1"/>
  <c r="L1687" i="2" s="1"/>
  <c r="M1687" i="2" s="1"/>
  <c r="F1687" i="2"/>
  <c r="E1687" i="2"/>
  <c r="I1687" i="2"/>
  <c r="H1687" i="2"/>
  <c r="J1687" i="2"/>
  <c r="J1524" i="2"/>
  <c r="N1524" i="2"/>
  <c r="K1524" i="2" s="1"/>
  <c r="L1524" i="2" s="1"/>
  <c r="M1524" i="2" s="1"/>
  <c r="I1524" i="2"/>
  <c r="F1524" i="2"/>
  <c r="H1524" i="2"/>
  <c r="E1524" i="2"/>
  <c r="J1822" i="2"/>
  <c r="I1822" i="2"/>
  <c r="H1822" i="2"/>
  <c r="E1822" i="2"/>
  <c r="F1822" i="2"/>
  <c r="N1822" i="2"/>
  <c r="K1822" i="2" s="1"/>
  <c r="L1822" i="2" s="1"/>
  <c r="M1822" i="2" s="1"/>
  <c r="J1838" i="2"/>
  <c r="I1838" i="2"/>
  <c r="H1838" i="2"/>
  <c r="F1838" i="2"/>
  <c r="E1838" i="2"/>
  <c r="N1838" i="2"/>
  <c r="K1838" i="2" s="1"/>
  <c r="L1838" i="2" s="1"/>
  <c r="M1838" i="2" s="1"/>
  <c r="J1867" i="2"/>
  <c r="F1867" i="2"/>
  <c r="E1867" i="2"/>
  <c r="H1867" i="2"/>
  <c r="I1867" i="2"/>
  <c r="N1867" i="2"/>
  <c r="K1867" i="2" s="1"/>
  <c r="L1867" i="2" s="1"/>
  <c r="M1867" i="2" s="1"/>
  <c r="N1479" i="2"/>
  <c r="K1479" i="2" s="1"/>
  <c r="L1479" i="2" s="1"/>
  <c r="M1479" i="2" s="1"/>
  <c r="H1479" i="2"/>
  <c r="E1479" i="2"/>
  <c r="J1479" i="2"/>
  <c r="I1479" i="2"/>
  <c r="F1479" i="2"/>
  <c r="F1445" i="2"/>
  <c r="E1445" i="2"/>
  <c r="N1445" i="2"/>
  <c r="K1445" i="2" s="1"/>
  <c r="L1445" i="2" s="1"/>
  <c r="M1445" i="2" s="1"/>
  <c r="I1445" i="2"/>
  <c r="H1445" i="2"/>
  <c r="J1445" i="2"/>
  <c r="J1395" i="2"/>
  <c r="I1395" i="2"/>
  <c r="H1395" i="2"/>
  <c r="N1395" i="2"/>
  <c r="K1395" i="2" s="1"/>
  <c r="L1395" i="2" s="1"/>
  <c r="M1395" i="2" s="1"/>
  <c r="F1395" i="2"/>
  <c r="E1395" i="2"/>
  <c r="N1196" i="2"/>
  <c r="K1196" i="2" s="1"/>
  <c r="L1196" i="2" s="1"/>
  <c r="M1196" i="2" s="1"/>
  <c r="J1196" i="2"/>
  <c r="I1196" i="2"/>
  <c r="H1196" i="2"/>
  <c r="F1196" i="2"/>
  <c r="E1196" i="2"/>
  <c r="J1294" i="2"/>
  <c r="I1294" i="2"/>
  <c r="N1294" i="2"/>
  <c r="K1294" i="2" s="1"/>
  <c r="L1294" i="2" s="1"/>
  <c r="M1294" i="2" s="1"/>
  <c r="H1294" i="2"/>
  <c r="F1294" i="2"/>
  <c r="E1294" i="2"/>
  <c r="F1243" i="2"/>
  <c r="E1243" i="2"/>
  <c r="N1243" i="2"/>
  <c r="K1243" i="2" s="1"/>
  <c r="L1243" i="2" s="1"/>
  <c r="M1243" i="2" s="1"/>
  <c r="I1243" i="2"/>
  <c r="H1243" i="2"/>
  <c r="J1243" i="2"/>
  <c r="I1262" i="2"/>
  <c r="H1262" i="2"/>
  <c r="F1262" i="2"/>
  <c r="E1262" i="2"/>
  <c r="J1262" i="2"/>
  <c r="N1262" i="2"/>
  <c r="K1262" i="2" s="1"/>
  <c r="L1262" i="2" s="1"/>
  <c r="M1262" i="2" s="1"/>
  <c r="J1239" i="2"/>
  <c r="I1239" i="2"/>
  <c r="H1239" i="2"/>
  <c r="E1239" i="2"/>
  <c r="N1239" i="2"/>
  <c r="K1239" i="2" s="1"/>
  <c r="L1239" i="2" s="1"/>
  <c r="M1239" i="2" s="1"/>
  <c r="F1239" i="2"/>
  <c r="E1325" i="2"/>
  <c r="F1325" i="2"/>
  <c r="N1325" i="2"/>
  <c r="K1325" i="2" s="1"/>
  <c r="L1325" i="2" s="1"/>
  <c r="M1325" i="2" s="1"/>
  <c r="I1325" i="2"/>
  <c r="J1325" i="2"/>
  <c r="H1325" i="2"/>
  <c r="H1288" i="2"/>
  <c r="F1288" i="2"/>
  <c r="E1288" i="2"/>
  <c r="J1288" i="2"/>
  <c r="I1288" i="2"/>
  <c r="N1288" i="2"/>
  <c r="K1288" i="2" s="1"/>
  <c r="L1288" i="2" s="1"/>
  <c r="M1288" i="2" s="1"/>
  <c r="F678" i="2"/>
  <c r="N678" i="2" s="1"/>
  <c r="K678" i="2" s="1"/>
  <c r="F914" i="2"/>
  <c r="N914" i="2" s="1"/>
  <c r="K914" i="2" s="1"/>
  <c r="F910" i="2"/>
  <c r="N910" i="2" s="1"/>
  <c r="K910" i="2" s="1"/>
  <c r="J1100" i="2"/>
  <c r="I1100" i="2"/>
  <c r="H1100" i="2"/>
  <c r="F1100" i="2"/>
  <c r="E1100" i="2"/>
  <c r="N1100" i="2"/>
  <c r="K1100" i="2" s="1"/>
  <c r="L1100" i="2" s="1"/>
  <c r="M1100" i="2" s="1"/>
  <c r="N1117" i="2"/>
  <c r="K1117" i="2" s="1"/>
  <c r="L1117" i="2" s="1"/>
  <c r="M1117" i="2" s="1"/>
  <c r="I1117" i="2"/>
  <c r="H1117" i="2"/>
  <c r="F1117" i="2"/>
  <c r="E1117" i="2"/>
  <c r="J1117" i="2"/>
  <c r="N1106" i="2"/>
  <c r="K1106" i="2" s="1"/>
  <c r="L1106" i="2" s="1"/>
  <c r="M1106" i="2" s="1"/>
  <c r="J1106" i="2"/>
  <c r="I1106" i="2"/>
  <c r="H1106" i="2"/>
  <c r="E1106" i="2"/>
  <c r="F1106" i="2"/>
  <c r="N1114" i="2"/>
  <c r="K1114" i="2" s="1"/>
  <c r="L1114" i="2" s="1"/>
  <c r="M1114" i="2" s="1"/>
  <c r="F1114" i="2"/>
  <c r="H1114" i="2"/>
  <c r="E1114" i="2"/>
  <c r="I1114" i="2"/>
  <c r="J1114" i="2"/>
  <c r="F1065" i="2"/>
  <c r="E1065" i="2"/>
  <c r="J1065" i="2"/>
  <c r="I1065" i="2"/>
  <c r="H1065" i="2"/>
  <c r="N1065" i="2"/>
  <c r="K1065" i="2" s="1"/>
  <c r="L1065" i="2" s="1"/>
  <c r="M1065" i="2" s="1"/>
  <c r="F1034" i="2"/>
  <c r="N1034" i="2" s="1"/>
  <c r="K1034" i="2" s="1"/>
  <c r="F1028" i="2"/>
  <c r="N1028" i="2" s="1"/>
  <c r="K1028" i="2" s="1"/>
  <c r="N597" i="2"/>
  <c r="K597" i="2" s="1"/>
  <c r="L597" i="2" s="1"/>
  <c r="M597" i="2" s="1"/>
  <c r="E597" i="2"/>
  <c r="J597" i="2"/>
  <c r="I597" i="2"/>
  <c r="H597" i="2"/>
  <c r="F597" i="2"/>
  <c r="F740" i="2"/>
  <c r="N740" i="2" s="1"/>
  <c r="K740" i="2" s="1"/>
  <c r="H740" i="2"/>
  <c r="E415" i="2"/>
  <c r="N415" i="2"/>
  <c r="K415" i="2" s="1"/>
  <c r="L415" i="2" s="1"/>
  <c r="M415" i="2" s="1"/>
  <c r="J415" i="2"/>
  <c r="I415" i="2"/>
  <c r="H415" i="2"/>
  <c r="F738" i="2"/>
  <c r="N738" i="2" s="1"/>
  <c r="K738" i="2" s="1"/>
  <c r="F548" i="2"/>
  <c r="N548" i="2" s="1"/>
  <c r="K548" i="2" s="1"/>
  <c r="J786" i="2"/>
  <c r="I786" i="2"/>
  <c r="H786" i="2"/>
  <c r="E786" i="2"/>
  <c r="F786" i="2"/>
  <c r="N786" i="2"/>
  <c r="K786" i="2" s="1"/>
  <c r="L786" i="2" s="1"/>
  <c r="M786" i="2" s="1"/>
  <c r="J778" i="2"/>
  <c r="I778" i="2"/>
  <c r="H778" i="2"/>
  <c r="N778" i="2"/>
  <c r="K778" i="2" s="1"/>
  <c r="L778" i="2" s="1"/>
  <c r="M778" i="2" s="1"/>
  <c r="F778" i="2"/>
  <c r="E778" i="2"/>
  <c r="I656" i="2"/>
  <c r="H656" i="2"/>
  <c r="F656" i="2"/>
  <c r="E656" i="2"/>
  <c r="N656" i="2"/>
  <c r="K656" i="2" s="1"/>
  <c r="L656" i="2" s="1"/>
  <c r="M656" i="2" s="1"/>
  <c r="J656" i="2"/>
  <c r="F625" i="2"/>
  <c r="N625" i="2" s="1"/>
  <c r="K625" i="2" s="1"/>
  <c r="H625" i="2"/>
  <c r="F623" i="2"/>
  <c r="N623" i="2" s="1"/>
  <c r="K623" i="2" s="1"/>
  <c r="H623" i="2"/>
  <c r="I623" i="2" s="1"/>
  <c r="N161" i="2"/>
  <c r="K161" i="2" s="1"/>
  <c r="L161" i="2" s="1"/>
  <c r="M161" i="2" s="1"/>
  <c r="J161" i="2"/>
  <c r="I161" i="2"/>
  <c r="H161" i="2"/>
  <c r="F161" i="2"/>
  <c r="E161" i="2"/>
  <c r="H209" i="2"/>
  <c r="I209" i="2" s="1"/>
  <c r="F209" i="2"/>
  <c r="N209" i="2" s="1"/>
  <c r="K209" i="2" s="1"/>
  <c r="L209" i="2" s="1"/>
  <c r="M209" i="2" s="1"/>
  <c r="H201" i="2"/>
  <c r="I201" i="2" s="1"/>
  <c r="F201" i="2"/>
  <c r="N201" i="2" s="1"/>
  <c r="K201" i="2" s="1"/>
  <c r="L201" i="2" s="1"/>
  <c r="M201" i="2" s="1"/>
  <c r="F867" i="2"/>
  <c r="N867" i="2" s="1"/>
  <c r="K867" i="2" s="1"/>
  <c r="H867" i="2"/>
  <c r="I867" i="2" s="1"/>
  <c r="H879" i="2"/>
  <c r="F879" i="2"/>
  <c r="N879" i="2" s="1"/>
  <c r="K879" i="2" s="1"/>
  <c r="H885" i="2"/>
  <c r="I885" i="2" s="1"/>
  <c r="F885" i="2"/>
  <c r="N885" i="2" s="1"/>
  <c r="K885" i="2" s="1"/>
  <c r="J905" i="2"/>
  <c r="I905" i="2"/>
  <c r="H905" i="2"/>
  <c r="F905" i="2"/>
  <c r="E905" i="2"/>
  <c r="N905" i="2"/>
  <c r="K905" i="2" s="1"/>
  <c r="L905" i="2" s="1"/>
  <c r="M905" i="2" s="1"/>
  <c r="J458" i="2"/>
  <c r="I458" i="2"/>
  <c r="H458" i="2"/>
  <c r="N458" i="2"/>
  <c r="K458" i="2" s="1"/>
  <c r="L458" i="2" s="1"/>
  <c r="M458" i="2" s="1"/>
  <c r="E458" i="2"/>
  <c r="N435" i="2"/>
  <c r="K435" i="2" s="1"/>
  <c r="N437" i="2"/>
  <c r="K437" i="2" s="1"/>
  <c r="B47" i="2"/>
  <c r="B689" i="2"/>
  <c r="B293" i="2"/>
  <c r="B150" i="2"/>
  <c r="B778" i="2"/>
  <c r="B245" i="2"/>
  <c r="B311" i="2"/>
  <c r="B186" i="2"/>
  <c r="B175" i="2"/>
  <c r="B725" i="2"/>
  <c r="B607" i="2"/>
  <c r="B556" i="2"/>
  <c r="B945" i="2"/>
  <c r="B613" i="2"/>
  <c r="B634" i="2"/>
  <c r="B1040" i="2"/>
  <c r="B883" i="2"/>
  <c r="B1159" i="2"/>
  <c r="B1128" i="2"/>
  <c r="B1567" i="2"/>
  <c r="B1300" i="2"/>
  <c r="B1431" i="2"/>
  <c r="B1407" i="2"/>
  <c r="B1548" i="2"/>
  <c r="B1622" i="2"/>
  <c r="B1830" i="2"/>
  <c r="B1644" i="2"/>
  <c r="B1859" i="2"/>
  <c r="B1895" i="2"/>
  <c r="B1763" i="2"/>
  <c r="B1952" i="2"/>
  <c r="B2036" i="2"/>
  <c r="B2077" i="2"/>
  <c r="B2227" i="2"/>
  <c r="B2098" i="2"/>
  <c r="B2342" i="2"/>
  <c r="J2307" i="2"/>
  <c r="N2307" i="2"/>
  <c r="K2307" i="2" s="1"/>
  <c r="L2307" i="2" s="1"/>
  <c r="M2307" i="2" s="1"/>
  <c r="H2307" i="2"/>
  <c r="E2307" i="2"/>
  <c r="F2307" i="2"/>
  <c r="I2307" i="2"/>
  <c r="E2210" i="2"/>
  <c r="N2210" i="2"/>
  <c r="K2210" i="2" s="1"/>
  <c r="L2210" i="2" s="1"/>
  <c r="M2210" i="2" s="1"/>
  <c r="J2210" i="2"/>
  <c r="H2210" i="2"/>
  <c r="F2210" i="2"/>
  <c r="I2210" i="2"/>
  <c r="I1827" i="2"/>
  <c r="H1827" i="2"/>
  <c r="F1827" i="2"/>
  <c r="E1827" i="2"/>
  <c r="J1827" i="2"/>
  <c r="N1827" i="2"/>
  <c r="K1827" i="2" s="1"/>
  <c r="L1827" i="2" s="1"/>
  <c r="M1827" i="2" s="1"/>
  <c r="I1440" i="2"/>
  <c r="H1440" i="2"/>
  <c r="F1440" i="2"/>
  <c r="E1440" i="2"/>
  <c r="J1440" i="2"/>
  <c r="N1440" i="2"/>
  <c r="K1440" i="2" s="1"/>
  <c r="L1440" i="2" s="1"/>
  <c r="M1440" i="2" s="1"/>
  <c r="F908" i="2"/>
  <c r="N908" i="2" s="1"/>
  <c r="K908" i="2" s="1"/>
  <c r="F675" i="2"/>
  <c r="N675" i="2" s="1"/>
  <c r="K675" i="2" s="1"/>
  <c r="L675" i="2" s="1"/>
  <c r="M675" i="2" s="1"/>
  <c r="F1031" i="2"/>
  <c r="N1031" i="2" s="1"/>
  <c r="K1031" i="2" s="1"/>
  <c r="F764" i="2"/>
  <c r="N764" i="2" s="1"/>
  <c r="K764" i="2" s="1"/>
  <c r="L764" i="2" s="1"/>
  <c r="M764" i="2" s="1"/>
  <c r="H764" i="2"/>
  <c r="I764" i="2" s="1"/>
  <c r="H326" i="2"/>
  <c r="I326" i="2" s="1"/>
  <c r="N326" i="2"/>
  <c r="K326" i="2" s="1"/>
  <c r="L326" i="2" s="1"/>
  <c r="M326" i="2" s="1"/>
  <c r="B296" i="2"/>
  <c r="B199" i="2"/>
  <c r="B910" i="2"/>
  <c r="B806" i="2"/>
  <c r="B1735" i="2"/>
  <c r="B1641" i="2"/>
  <c r="B2120" i="2"/>
  <c r="N2171" i="2"/>
  <c r="K2171" i="2" s="1"/>
  <c r="L2171" i="2" s="1"/>
  <c r="M2171" i="2" s="1"/>
  <c r="J2171" i="2"/>
  <c r="F2171" i="2"/>
  <c r="E2171" i="2"/>
  <c r="H2171" i="2"/>
  <c r="I2171" i="2"/>
  <c r="J1948" i="2"/>
  <c r="I1948" i="2"/>
  <c r="H1948" i="2"/>
  <c r="F1948" i="2"/>
  <c r="N1948" i="2"/>
  <c r="K1948" i="2" s="1"/>
  <c r="L1948" i="2" s="1"/>
  <c r="M1948" i="2" s="1"/>
  <c r="E1948" i="2"/>
  <c r="I1968" i="2"/>
  <c r="H1968" i="2"/>
  <c r="J1968" i="2"/>
  <c r="F1968" i="2"/>
  <c r="N1968" i="2"/>
  <c r="K1968" i="2" s="1"/>
  <c r="L1968" i="2" s="1"/>
  <c r="M1968" i="2" s="1"/>
  <c r="E1968" i="2"/>
  <c r="J1681" i="2"/>
  <c r="I1681" i="2"/>
  <c r="H1681" i="2"/>
  <c r="F1681" i="2"/>
  <c r="N1681" i="2"/>
  <c r="K1681" i="2" s="1"/>
  <c r="L1681" i="2" s="1"/>
  <c r="M1681" i="2" s="1"/>
  <c r="E1681" i="2"/>
  <c r="J1861" i="2"/>
  <c r="H1861" i="2"/>
  <c r="F1861" i="2"/>
  <c r="E1861" i="2"/>
  <c r="N1861" i="2"/>
  <c r="K1861" i="2" s="1"/>
  <c r="L1861" i="2" s="1"/>
  <c r="M1861" i="2" s="1"/>
  <c r="I1861" i="2"/>
  <c r="F1094" i="2"/>
  <c r="N1094" i="2" s="1"/>
  <c r="K1094" i="2" s="1"/>
  <c r="L1094" i="2" s="1"/>
  <c r="M1094" i="2" s="1"/>
  <c r="F1039" i="2"/>
  <c r="N1039" i="2" s="1"/>
  <c r="K1039" i="2" s="1"/>
  <c r="N771" i="2"/>
  <c r="K771" i="2" s="1"/>
  <c r="L771" i="2" s="1"/>
  <c r="M771" i="2" s="1"/>
  <c r="I771" i="2"/>
  <c r="F771" i="2"/>
  <c r="J771" i="2"/>
  <c r="H771" i="2"/>
  <c r="E771" i="2"/>
  <c r="N652" i="2"/>
  <c r="K652" i="2" s="1"/>
  <c r="L652" i="2" s="1"/>
  <c r="M652" i="2" s="1"/>
  <c r="I652" i="2"/>
  <c r="J652" i="2"/>
  <c r="H652" i="2"/>
  <c r="F652" i="2"/>
  <c r="E652" i="2"/>
  <c r="B171" i="2"/>
  <c r="B1166" i="2"/>
  <c r="B1051" i="2"/>
  <c r="B1655" i="2"/>
  <c r="B2023" i="2"/>
  <c r="J160" i="2"/>
  <c r="I160" i="2"/>
  <c r="H160" i="2"/>
  <c r="N160" i="2"/>
  <c r="K160" i="2" s="1"/>
  <c r="L160" i="2" s="1"/>
  <c r="M160" i="2" s="1"/>
  <c r="F160" i="2"/>
  <c r="E160" i="2"/>
  <c r="F857" i="2"/>
  <c r="N857" i="2" s="1"/>
  <c r="K857" i="2" s="1"/>
  <c r="N456" i="2"/>
  <c r="K456" i="2" s="1"/>
  <c r="L456" i="2" s="1"/>
  <c r="M456" i="2" s="1"/>
  <c r="E456" i="2"/>
  <c r="J456" i="2"/>
  <c r="I456" i="2"/>
  <c r="H456" i="2"/>
  <c r="B205" i="2"/>
  <c r="B708" i="2"/>
  <c r="I2354" i="2"/>
  <c r="F2354" i="2"/>
  <c r="J2354" i="2"/>
  <c r="E2354" i="2"/>
  <c r="N2354" i="2"/>
  <c r="K2354" i="2" s="1"/>
  <c r="L2354" i="2" s="1"/>
  <c r="M2354" i="2" s="1"/>
  <c r="H2354" i="2"/>
  <c r="J2245" i="2"/>
  <c r="E2245" i="2"/>
  <c r="I2245" i="2"/>
  <c r="H2245" i="2"/>
  <c r="N2245" i="2"/>
  <c r="K2245" i="2" s="1"/>
  <c r="L2245" i="2" s="1"/>
  <c r="M2245" i="2" s="1"/>
  <c r="F2245" i="2"/>
  <c r="N2298" i="2"/>
  <c r="K2298" i="2" s="1"/>
  <c r="L2298" i="2" s="1"/>
  <c r="M2298" i="2" s="1"/>
  <c r="J2298" i="2"/>
  <c r="I2298" i="2"/>
  <c r="H2298" i="2"/>
  <c r="F2298" i="2"/>
  <c r="E2298" i="2"/>
  <c r="I2303" i="2"/>
  <c r="F2303" i="2"/>
  <c r="E2303" i="2"/>
  <c r="N2303" i="2"/>
  <c r="K2303" i="2" s="1"/>
  <c r="L2303" i="2" s="1"/>
  <c r="M2303" i="2" s="1"/>
  <c r="H2303" i="2"/>
  <c r="J2303" i="2"/>
  <c r="F2186" i="2"/>
  <c r="N2186" i="2"/>
  <c r="K2186" i="2" s="1"/>
  <c r="L2186" i="2" s="1"/>
  <c r="M2186" i="2" s="1"/>
  <c r="J2186" i="2"/>
  <c r="I2186" i="2"/>
  <c r="H2186" i="2"/>
  <c r="E2186" i="2"/>
  <c r="F2220" i="2"/>
  <c r="N2220" i="2"/>
  <c r="K2220" i="2" s="1"/>
  <c r="L2220" i="2" s="1"/>
  <c r="M2220" i="2" s="1"/>
  <c r="J2220" i="2"/>
  <c r="I2220" i="2"/>
  <c r="H2220" i="2"/>
  <c r="E2220" i="2"/>
  <c r="I2168" i="2"/>
  <c r="J2168" i="2"/>
  <c r="H2168" i="2"/>
  <c r="F2168" i="2"/>
  <c r="N2168" i="2"/>
  <c r="K2168" i="2" s="1"/>
  <c r="L2168" i="2" s="1"/>
  <c r="M2168" i="2" s="1"/>
  <c r="E2168" i="2"/>
  <c r="I2077" i="2"/>
  <c r="N2077" i="2"/>
  <c r="K2077" i="2" s="1"/>
  <c r="L2077" i="2" s="1"/>
  <c r="M2077" i="2" s="1"/>
  <c r="J2077" i="2"/>
  <c r="H2077" i="2"/>
  <c r="F2077" i="2"/>
  <c r="E2077" i="2"/>
  <c r="N2045" i="2"/>
  <c r="K2045" i="2" s="1"/>
  <c r="L2045" i="2" s="1"/>
  <c r="M2045" i="2" s="1"/>
  <c r="J2045" i="2"/>
  <c r="F2045" i="2"/>
  <c r="E2045" i="2"/>
  <c r="H2045" i="2"/>
  <c r="I2045" i="2"/>
  <c r="J1780" i="2"/>
  <c r="I1780" i="2"/>
  <c r="N1780" i="2"/>
  <c r="K1780" i="2" s="1"/>
  <c r="L1780" i="2" s="1"/>
  <c r="M1780" i="2" s="1"/>
  <c r="H1780" i="2"/>
  <c r="E1780" i="2"/>
  <c r="F1780" i="2"/>
  <c r="F1880" i="2"/>
  <c r="E1880" i="2"/>
  <c r="J1880" i="2"/>
  <c r="H1880" i="2"/>
  <c r="I1880" i="2"/>
  <c r="N1880" i="2"/>
  <c r="K1880" i="2" s="1"/>
  <c r="L1880" i="2" s="1"/>
  <c r="M1880" i="2" s="1"/>
  <c r="J1886" i="2"/>
  <c r="H1886" i="2"/>
  <c r="E1886" i="2"/>
  <c r="N1886" i="2"/>
  <c r="K1886" i="2" s="1"/>
  <c r="L1886" i="2" s="1"/>
  <c r="M1886" i="2" s="1"/>
  <c r="F1886" i="2"/>
  <c r="I1886" i="2"/>
  <c r="J2026" i="2"/>
  <c r="I2026" i="2"/>
  <c r="H2026" i="2"/>
  <c r="E2026" i="2"/>
  <c r="F2026" i="2"/>
  <c r="N2026" i="2"/>
  <c r="K2026" i="2" s="1"/>
  <c r="L2026" i="2" s="1"/>
  <c r="M2026" i="2" s="1"/>
  <c r="N2040" i="2"/>
  <c r="K2040" i="2" s="1"/>
  <c r="L2040" i="2" s="1"/>
  <c r="M2040" i="2" s="1"/>
  <c r="J2040" i="2"/>
  <c r="I2040" i="2"/>
  <c r="H2040" i="2"/>
  <c r="E2040" i="2"/>
  <c r="F2040" i="2"/>
  <c r="N2035" i="2"/>
  <c r="K2035" i="2" s="1"/>
  <c r="L2035" i="2" s="1"/>
  <c r="M2035" i="2" s="1"/>
  <c r="I2035" i="2"/>
  <c r="F2035" i="2"/>
  <c r="E2035" i="2"/>
  <c r="J2035" i="2"/>
  <c r="H2035" i="2"/>
  <c r="N1955" i="2"/>
  <c r="K1955" i="2" s="1"/>
  <c r="L1955" i="2" s="1"/>
  <c r="M1955" i="2" s="1"/>
  <c r="F1955" i="2"/>
  <c r="I1955" i="2"/>
  <c r="H1955" i="2"/>
  <c r="J1955" i="2"/>
  <c r="E1955" i="2"/>
  <c r="N1987" i="2"/>
  <c r="K1987" i="2" s="1"/>
  <c r="L1987" i="2" s="1"/>
  <c r="M1987" i="2" s="1"/>
  <c r="E1987" i="2"/>
  <c r="H1987" i="2"/>
  <c r="F1987" i="2"/>
  <c r="I1987" i="2"/>
  <c r="J1987" i="2"/>
  <c r="H1963" i="2"/>
  <c r="F1963" i="2"/>
  <c r="E1963" i="2"/>
  <c r="J1963" i="2"/>
  <c r="N1963" i="2"/>
  <c r="K1963" i="2" s="1"/>
  <c r="L1963" i="2" s="1"/>
  <c r="M1963" i="2" s="1"/>
  <c r="I1963" i="2"/>
  <c r="J1982" i="2"/>
  <c r="I1982" i="2"/>
  <c r="N1982" i="2"/>
  <c r="K1982" i="2" s="1"/>
  <c r="L1982" i="2" s="1"/>
  <c r="M1982" i="2" s="1"/>
  <c r="H1982" i="2"/>
  <c r="E1982" i="2"/>
  <c r="F1982" i="2"/>
  <c r="J1690" i="2"/>
  <c r="I1690" i="2"/>
  <c r="H1690" i="2"/>
  <c r="F1690" i="2"/>
  <c r="E1690" i="2"/>
  <c r="N1690" i="2"/>
  <c r="K1690" i="2" s="1"/>
  <c r="L1690" i="2" s="1"/>
  <c r="M1690" i="2" s="1"/>
  <c r="N1728" i="2"/>
  <c r="K1728" i="2" s="1"/>
  <c r="L1728" i="2" s="1"/>
  <c r="M1728" i="2" s="1"/>
  <c r="I1728" i="2"/>
  <c r="J1728" i="2"/>
  <c r="H1728" i="2"/>
  <c r="F1728" i="2"/>
  <c r="E1728" i="2"/>
  <c r="J1547" i="2"/>
  <c r="I1547" i="2"/>
  <c r="N1547" i="2"/>
  <c r="K1547" i="2" s="1"/>
  <c r="L1547" i="2" s="1"/>
  <c r="M1547" i="2" s="1"/>
  <c r="H1547" i="2"/>
  <c r="F1547" i="2"/>
  <c r="E1547" i="2"/>
  <c r="J1617" i="2"/>
  <c r="N1617" i="2"/>
  <c r="K1617" i="2" s="1"/>
  <c r="L1617" i="2" s="1"/>
  <c r="M1617" i="2" s="1"/>
  <c r="H1617" i="2"/>
  <c r="E1617" i="2"/>
  <c r="I1617" i="2"/>
  <c r="F1617" i="2"/>
  <c r="N1640" i="2"/>
  <c r="K1640" i="2" s="1"/>
  <c r="L1640" i="2" s="1"/>
  <c r="M1640" i="2" s="1"/>
  <c r="F1640" i="2"/>
  <c r="J1640" i="2"/>
  <c r="E1640" i="2"/>
  <c r="I1640" i="2"/>
  <c r="H1640" i="2"/>
  <c r="I1863" i="2"/>
  <c r="H1863" i="2"/>
  <c r="E1863" i="2"/>
  <c r="J1863" i="2"/>
  <c r="N1863" i="2"/>
  <c r="K1863" i="2" s="1"/>
  <c r="L1863" i="2" s="1"/>
  <c r="M1863" i="2" s="1"/>
  <c r="F1863" i="2"/>
  <c r="I1859" i="2"/>
  <c r="H1859" i="2"/>
  <c r="F1859" i="2"/>
  <c r="E1859" i="2"/>
  <c r="N1859" i="2"/>
  <c r="K1859" i="2" s="1"/>
  <c r="L1859" i="2" s="1"/>
  <c r="M1859" i="2" s="1"/>
  <c r="J1859" i="2"/>
  <c r="N1820" i="2"/>
  <c r="K1820" i="2" s="1"/>
  <c r="L1820" i="2" s="1"/>
  <c r="M1820" i="2" s="1"/>
  <c r="F1820" i="2"/>
  <c r="E1820" i="2"/>
  <c r="J1820" i="2"/>
  <c r="H1820" i="2"/>
  <c r="I1820" i="2"/>
  <c r="J1463" i="2"/>
  <c r="I1463" i="2"/>
  <c r="F1463" i="2"/>
  <c r="E1463" i="2"/>
  <c r="H1463" i="2"/>
  <c r="N1463" i="2"/>
  <c r="K1463" i="2" s="1"/>
  <c r="L1463" i="2" s="1"/>
  <c r="M1463" i="2" s="1"/>
  <c r="J1374" i="2"/>
  <c r="I1374" i="2"/>
  <c r="H1374" i="2"/>
  <c r="F1374" i="2"/>
  <c r="E1374" i="2"/>
  <c r="N1374" i="2"/>
  <c r="K1374" i="2" s="1"/>
  <c r="L1374" i="2" s="1"/>
  <c r="M1374" i="2" s="1"/>
  <c r="E1423" i="2"/>
  <c r="H1423" i="2"/>
  <c r="J1423" i="2"/>
  <c r="I1423" i="2"/>
  <c r="N1423" i="2"/>
  <c r="K1423" i="2" s="1"/>
  <c r="L1423" i="2" s="1"/>
  <c r="M1423" i="2" s="1"/>
  <c r="F1423" i="2"/>
  <c r="J1402" i="2"/>
  <c r="I1402" i="2"/>
  <c r="H1402" i="2"/>
  <c r="N1402" i="2"/>
  <c r="K1402" i="2" s="1"/>
  <c r="L1402" i="2" s="1"/>
  <c r="M1402" i="2" s="1"/>
  <c r="E1402" i="2"/>
  <c r="F1402" i="2"/>
  <c r="J1411" i="2"/>
  <c r="I1411" i="2"/>
  <c r="H1411" i="2"/>
  <c r="F1411" i="2"/>
  <c r="E1411" i="2"/>
  <c r="N1411" i="2"/>
  <c r="K1411" i="2" s="1"/>
  <c r="L1411" i="2" s="1"/>
  <c r="M1411" i="2" s="1"/>
  <c r="N1180" i="2"/>
  <c r="K1180" i="2" s="1"/>
  <c r="L1180" i="2" s="1"/>
  <c r="M1180" i="2" s="1"/>
  <c r="J1180" i="2"/>
  <c r="E1180" i="2"/>
  <c r="F1180" i="2"/>
  <c r="H1180" i="2"/>
  <c r="I1180" i="2"/>
  <c r="F1211" i="2"/>
  <c r="N1211" i="2" s="1"/>
  <c r="K1211" i="2" s="1"/>
  <c r="J1219" i="2"/>
  <c r="I1219" i="2"/>
  <c r="H1219" i="2"/>
  <c r="F1219" i="2"/>
  <c r="N1219" i="2"/>
  <c r="K1219" i="2" s="1"/>
  <c r="L1219" i="2" s="1"/>
  <c r="M1219" i="2" s="1"/>
  <c r="E1219" i="2"/>
  <c r="N1255" i="2"/>
  <c r="K1255" i="2" s="1"/>
  <c r="L1255" i="2" s="1"/>
  <c r="M1255" i="2" s="1"/>
  <c r="E1255" i="2"/>
  <c r="H1255" i="2"/>
  <c r="I1255" i="2"/>
  <c r="J1255" i="2"/>
  <c r="F1255" i="2"/>
  <c r="N1282" i="2"/>
  <c r="K1282" i="2" s="1"/>
  <c r="L1282" i="2" s="1"/>
  <c r="M1282" i="2" s="1"/>
  <c r="E1282" i="2"/>
  <c r="F1282" i="2"/>
  <c r="J1282" i="2"/>
  <c r="I1282" i="2"/>
  <c r="H1282" i="2"/>
  <c r="H1304" i="2"/>
  <c r="F1304" i="2"/>
  <c r="E1304" i="2"/>
  <c r="J1304" i="2"/>
  <c r="I1304" i="2"/>
  <c r="N1304" i="2"/>
  <c r="K1304" i="2" s="1"/>
  <c r="L1304" i="2" s="1"/>
  <c r="M1304" i="2" s="1"/>
  <c r="J1013" i="2"/>
  <c r="I1013" i="2"/>
  <c r="H1013" i="2"/>
  <c r="F1013" i="2"/>
  <c r="N1013" i="2"/>
  <c r="K1013" i="2" s="1"/>
  <c r="L1013" i="2" s="1"/>
  <c r="M1013" i="2" s="1"/>
  <c r="E1013" i="2"/>
  <c r="J835" i="2"/>
  <c r="I835" i="2"/>
  <c r="E835" i="2"/>
  <c r="N835" i="2"/>
  <c r="K835" i="2" s="1"/>
  <c r="L835" i="2" s="1"/>
  <c r="M835" i="2" s="1"/>
  <c r="H835" i="2"/>
  <c r="F835" i="2"/>
  <c r="F833" i="2"/>
  <c r="E833" i="2"/>
  <c r="J833" i="2"/>
  <c r="I833" i="2"/>
  <c r="H833" i="2"/>
  <c r="N833" i="2"/>
  <c r="K833" i="2" s="1"/>
  <c r="L833" i="2" s="1"/>
  <c r="M833" i="2" s="1"/>
  <c r="H930" i="2"/>
  <c r="I930" i="2" s="1"/>
  <c r="F930" i="2"/>
  <c r="N930" i="2" s="1"/>
  <c r="K930" i="2" s="1"/>
  <c r="L930" i="2" s="1"/>
  <c r="M930" i="2" s="1"/>
  <c r="H926" i="2"/>
  <c r="I926" i="2" s="1"/>
  <c r="F926" i="2"/>
  <c r="N926" i="2" s="1"/>
  <c r="K926" i="2" s="1"/>
  <c r="N1147" i="2"/>
  <c r="K1147" i="2" s="1"/>
  <c r="L1147" i="2" s="1"/>
  <c r="M1147" i="2" s="1"/>
  <c r="J1147" i="2"/>
  <c r="I1147" i="2"/>
  <c r="F1147" i="2"/>
  <c r="E1147" i="2"/>
  <c r="H1147" i="2"/>
  <c r="J1139" i="2"/>
  <c r="I1139" i="2"/>
  <c r="H1139" i="2"/>
  <c r="F1139" i="2"/>
  <c r="N1139" i="2"/>
  <c r="K1139" i="2" s="1"/>
  <c r="L1139" i="2" s="1"/>
  <c r="M1139" i="2" s="1"/>
  <c r="E1139" i="2"/>
  <c r="N1122" i="2"/>
  <c r="K1122" i="2" s="1"/>
  <c r="L1122" i="2" s="1"/>
  <c r="M1122" i="2" s="1"/>
  <c r="J1122" i="2"/>
  <c r="I1122" i="2"/>
  <c r="H1122" i="2"/>
  <c r="F1122" i="2"/>
  <c r="E1122" i="2"/>
  <c r="N1130" i="2"/>
  <c r="K1130" i="2" s="1"/>
  <c r="L1130" i="2" s="1"/>
  <c r="M1130" i="2" s="1"/>
  <c r="F1130" i="2"/>
  <c r="E1130" i="2"/>
  <c r="H1130" i="2"/>
  <c r="I1130" i="2"/>
  <c r="J1130" i="2"/>
  <c r="J1087" i="2"/>
  <c r="I1087" i="2"/>
  <c r="H1087" i="2"/>
  <c r="N1087" i="2"/>
  <c r="K1087" i="2" s="1"/>
  <c r="L1087" i="2" s="1"/>
  <c r="M1087" i="2" s="1"/>
  <c r="F1087" i="2"/>
  <c r="E1087" i="2"/>
  <c r="I1060" i="2"/>
  <c r="H1060" i="2"/>
  <c r="F1060" i="2"/>
  <c r="E1060" i="2"/>
  <c r="N1060" i="2"/>
  <c r="K1060" i="2" s="1"/>
  <c r="L1060" i="2" s="1"/>
  <c r="M1060" i="2" s="1"/>
  <c r="J1060" i="2"/>
  <c r="J1043" i="2"/>
  <c r="I1043" i="2"/>
  <c r="H1043" i="2"/>
  <c r="F1043" i="2"/>
  <c r="N1043" i="2"/>
  <c r="K1043" i="2" s="1"/>
  <c r="L1043" i="2" s="1"/>
  <c r="M1043" i="2" s="1"/>
  <c r="E1043" i="2"/>
  <c r="J581" i="2"/>
  <c r="I581" i="2"/>
  <c r="H581" i="2"/>
  <c r="E581" i="2"/>
  <c r="F581" i="2"/>
  <c r="N581" i="2"/>
  <c r="K581" i="2" s="1"/>
  <c r="L581" i="2" s="1"/>
  <c r="M581" i="2" s="1"/>
  <c r="J399" i="2"/>
  <c r="I399" i="2"/>
  <c r="H399" i="2"/>
  <c r="N399" i="2"/>
  <c r="K399" i="2" s="1"/>
  <c r="L399" i="2" s="1"/>
  <c r="M399" i="2" s="1"/>
  <c r="E399" i="2"/>
  <c r="N414" i="2"/>
  <c r="K414" i="2" s="1"/>
  <c r="L414" i="2" s="1"/>
  <c r="M414" i="2" s="1"/>
  <c r="J414" i="2"/>
  <c r="I414" i="2"/>
  <c r="E414" i="2"/>
  <c r="H414" i="2"/>
  <c r="H758" i="2"/>
  <c r="I758" i="2" s="1"/>
  <c r="F758" i="2"/>
  <c r="N758" i="2" s="1"/>
  <c r="K758" i="2" s="1"/>
  <c r="L758" i="2" s="1"/>
  <c r="M758" i="2" s="1"/>
  <c r="F731" i="2"/>
  <c r="N731" i="2" s="1"/>
  <c r="K731" i="2" s="1"/>
  <c r="L731" i="2" s="1"/>
  <c r="M731" i="2" s="1"/>
  <c r="F610" i="2"/>
  <c r="N610" i="2" s="1"/>
  <c r="K610" i="2" s="1"/>
  <c r="L610" i="2" s="1"/>
  <c r="M610" i="2" s="1"/>
  <c r="J646" i="2"/>
  <c r="N646" i="2"/>
  <c r="K646" i="2" s="1"/>
  <c r="L646" i="2" s="1"/>
  <c r="M646" i="2" s="1"/>
  <c r="H646" i="2"/>
  <c r="F646" i="2"/>
  <c r="E646" i="2"/>
  <c r="I646" i="2"/>
  <c r="H639" i="2"/>
  <c r="I639" i="2" s="1"/>
  <c r="F639" i="2"/>
  <c r="N639" i="2" s="1"/>
  <c r="K639" i="2" s="1"/>
  <c r="L639" i="2" s="1"/>
  <c r="M639" i="2" s="1"/>
  <c r="H197" i="2"/>
  <c r="I197" i="2" s="1"/>
  <c r="F197" i="2"/>
  <c r="N197" i="2" s="1"/>
  <c r="K197" i="2" s="1"/>
  <c r="J217" i="2"/>
  <c r="I217" i="2"/>
  <c r="H217" i="2"/>
  <c r="F217" i="2"/>
  <c r="E217" i="2"/>
  <c r="N217" i="2"/>
  <c r="K217" i="2" s="1"/>
  <c r="L217" i="2" s="1"/>
  <c r="M217" i="2" s="1"/>
  <c r="H868" i="2"/>
  <c r="I868" i="2" s="1"/>
  <c r="F868" i="2"/>
  <c r="N868" i="2" s="1"/>
  <c r="K868" i="2" s="1"/>
  <c r="H865" i="2"/>
  <c r="F865" i="2"/>
  <c r="N865" i="2" s="1"/>
  <c r="K865" i="2" s="1"/>
  <c r="L865" i="2" s="1"/>
  <c r="M865" i="2" s="1"/>
  <c r="F854" i="2"/>
  <c r="N854" i="2" s="1"/>
  <c r="K854" i="2" s="1"/>
  <c r="F858" i="2"/>
  <c r="N858" i="2" s="1"/>
  <c r="K858" i="2" s="1"/>
  <c r="L858" i="2" s="1"/>
  <c r="M858" i="2" s="1"/>
  <c r="N429" i="2"/>
  <c r="K429" i="2" s="1"/>
  <c r="L429" i="2" s="1"/>
  <c r="M429" i="2" s="1"/>
  <c r="J461" i="2"/>
  <c r="I461" i="2"/>
  <c r="N461" i="2"/>
  <c r="K461" i="2" s="1"/>
  <c r="L461" i="2" s="1"/>
  <c r="M461" i="2" s="1"/>
  <c r="H461" i="2"/>
  <c r="E461" i="2"/>
  <c r="J453" i="2"/>
  <c r="I453" i="2"/>
  <c r="N453" i="2"/>
  <c r="K453" i="2" s="1"/>
  <c r="L453" i="2" s="1"/>
  <c r="M453" i="2" s="1"/>
  <c r="H453" i="2"/>
  <c r="E453" i="2"/>
  <c r="B44" i="2"/>
  <c r="B301" i="2"/>
  <c r="B184" i="2"/>
  <c r="B69" i="2"/>
  <c r="B268" i="2"/>
  <c r="B253" i="2"/>
  <c r="B315" i="2"/>
  <c r="B249" i="2"/>
  <c r="B356" i="2"/>
  <c r="B816" i="2"/>
  <c r="B615" i="2"/>
  <c r="B643" i="2"/>
  <c r="B1138" i="2"/>
  <c r="B621" i="2"/>
  <c r="B642" i="2"/>
  <c r="B836" i="2"/>
  <c r="B891" i="2"/>
  <c r="B1174" i="2"/>
  <c r="B1245" i="2"/>
  <c r="B1172" i="2"/>
  <c r="B1302" i="2"/>
  <c r="B1333" i="2"/>
  <c r="B1264" i="2"/>
  <c r="B1587" i="2"/>
  <c r="B1630" i="2"/>
  <c r="B1986" i="2"/>
  <c r="B1652" i="2"/>
  <c r="B1662" i="2"/>
  <c r="B1948" i="2"/>
  <c r="B1829" i="2"/>
  <c r="B2132" i="2"/>
  <c r="B2112" i="2"/>
  <c r="B2104" i="2"/>
  <c r="B2233" i="2"/>
  <c r="B2106" i="2"/>
  <c r="B2400" i="2"/>
  <c r="N2340" i="2"/>
  <c r="K2340" i="2" s="1"/>
  <c r="L2340" i="2" s="1"/>
  <c r="M2340" i="2" s="1"/>
  <c r="H2340" i="2"/>
  <c r="J2340" i="2"/>
  <c r="I2340" i="2"/>
  <c r="F2340" i="2"/>
  <c r="E2340" i="2"/>
  <c r="H1774" i="2"/>
  <c r="F1774" i="2"/>
  <c r="E1774" i="2"/>
  <c r="N1774" i="2"/>
  <c r="K1774" i="2" s="1"/>
  <c r="L1774" i="2" s="1"/>
  <c r="M1774" i="2" s="1"/>
  <c r="I1774" i="2"/>
  <c r="J1774" i="2"/>
  <c r="F2001" i="2"/>
  <c r="E2001" i="2"/>
  <c r="N2001" i="2"/>
  <c r="K2001" i="2" s="1"/>
  <c r="L2001" i="2" s="1"/>
  <c r="M2001" i="2" s="1"/>
  <c r="I2001" i="2"/>
  <c r="H2001" i="2"/>
  <c r="J2001" i="2"/>
  <c r="N1823" i="2"/>
  <c r="K1823" i="2" s="1"/>
  <c r="L1823" i="2" s="1"/>
  <c r="M1823" i="2" s="1"/>
  <c r="I1823" i="2"/>
  <c r="H1823" i="2"/>
  <c r="F1823" i="2"/>
  <c r="E1823" i="2"/>
  <c r="J1823" i="2"/>
  <c r="N1393" i="2"/>
  <c r="K1393" i="2" s="1"/>
  <c r="L1393" i="2" s="1"/>
  <c r="M1393" i="2" s="1"/>
  <c r="J1393" i="2"/>
  <c r="E1393" i="2"/>
  <c r="I1393" i="2"/>
  <c r="H1393" i="2"/>
  <c r="F1393" i="2"/>
  <c r="J1290" i="2"/>
  <c r="I1290" i="2"/>
  <c r="H1290" i="2"/>
  <c r="F1290" i="2"/>
  <c r="E1290" i="2"/>
  <c r="N1290" i="2"/>
  <c r="K1290" i="2" s="1"/>
  <c r="L1290" i="2" s="1"/>
  <c r="M1290" i="2" s="1"/>
  <c r="F700" i="2"/>
  <c r="N700" i="2" s="1"/>
  <c r="K700" i="2" s="1"/>
  <c r="L700" i="2" s="1"/>
  <c r="M700" i="2" s="1"/>
  <c r="H700" i="2"/>
  <c r="I700" i="2" s="1"/>
  <c r="H743" i="2"/>
  <c r="I743" i="2" s="1"/>
  <c r="F743" i="2"/>
  <c r="N743" i="2" s="1"/>
  <c r="K743" i="2" s="1"/>
  <c r="L743" i="2" s="1"/>
  <c r="M743" i="2" s="1"/>
  <c r="B540" i="2"/>
  <c r="B1017" i="2"/>
  <c r="B1502" i="2"/>
  <c r="B1965" i="2"/>
  <c r="H142" i="2"/>
  <c r="F142" i="2"/>
  <c r="N142" i="2" s="1"/>
  <c r="K142" i="2" s="1"/>
  <c r="H869" i="2"/>
  <c r="I869" i="2" s="1"/>
  <c r="F869" i="2"/>
  <c r="N869" i="2" s="1"/>
  <c r="K869" i="2" s="1"/>
  <c r="L869" i="2" s="1"/>
  <c r="M869" i="2" s="1"/>
  <c r="B1105" i="2"/>
  <c r="B138" i="2"/>
  <c r="F2407" i="2"/>
  <c r="I2407" i="2"/>
  <c r="E2407" i="2"/>
  <c r="J2407" i="2"/>
  <c r="H2407" i="2"/>
  <c r="N2407" i="2"/>
  <c r="K2407" i="2" s="1"/>
  <c r="L2407" i="2" s="1"/>
  <c r="M2407" i="2" s="1"/>
  <c r="H2127" i="2"/>
  <c r="E2127" i="2"/>
  <c r="J2127" i="2"/>
  <c r="N2127" i="2"/>
  <c r="K2127" i="2" s="1"/>
  <c r="L2127" i="2" s="1"/>
  <c r="M2127" i="2" s="1"/>
  <c r="I2127" i="2"/>
  <c r="F2127" i="2"/>
  <c r="N2134" i="2"/>
  <c r="K2134" i="2" s="1"/>
  <c r="L2134" i="2" s="1"/>
  <c r="M2134" i="2" s="1"/>
  <c r="F2134" i="2"/>
  <c r="J2134" i="2"/>
  <c r="H2134" i="2"/>
  <c r="E2134" i="2"/>
  <c r="I2134" i="2"/>
  <c r="I2073" i="2"/>
  <c r="H2073" i="2"/>
  <c r="J2073" i="2"/>
  <c r="E2073" i="2"/>
  <c r="N2073" i="2"/>
  <c r="K2073" i="2" s="1"/>
  <c r="L2073" i="2" s="1"/>
  <c r="M2073" i="2" s="1"/>
  <c r="F2073" i="2"/>
  <c r="I2394" i="2"/>
  <c r="F2394" i="2"/>
  <c r="H2394" i="2"/>
  <c r="N2394" i="2"/>
  <c r="K2394" i="2" s="1"/>
  <c r="L2394" i="2" s="1"/>
  <c r="M2394" i="2" s="1"/>
  <c r="J2394" i="2"/>
  <c r="E2394" i="2"/>
  <c r="F2239" i="2"/>
  <c r="J2239" i="2"/>
  <c r="I2239" i="2"/>
  <c r="E2239" i="2"/>
  <c r="N2239" i="2"/>
  <c r="K2239" i="2" s="1"/>
  <c r="L2239" i="2" s="1"/>
  <c r="M2239" i="2" s="1"/>
  <c r="H2239" i="2"/>
  <c r="J2109" i="2"/>
  <c r="I2109" i="2"/>
  <c r="H2109" i="2"/>
  <c r="F2109" i="2"/>
  <c r="E2109" i="2"/>
  <c r="N2109" i="2"/>
  <c r="K2109" i="2" s="1"/>
  <c r="L2109" i="2" s="1"/>
  <c r="M2109" i="2" s="1"/>
  <c r="I2150" i="2"/>
  <c r="J2150" i="2"/>
  <c r="H2150" i="2"/>
  <c r="F2150" i="2"/>
  <c r="N2150" i="2"/>
  <c r="K2150" i="2" s="1"/>
  <c r="L2150" i="2" s="1"/>
  <c r="M2150" i="2" s="1"/>
  <c r="E2150" i="2"/>
  <c r="N2160" i="2"/>
  <c r="K2160" i="2" s="1"/>
  <c r="L2160" i="2" s="1"/>
  <c r="M2160" i="2" s="1"/>
  <c r="E2160" i="2"/>
  <c r="J2160" i="2"/>
  <c r="I2160" i="2"/>
  <c r="H2160" i="2"/>
  <c r="F2160" i="2"/>
  <c r="J2347" i="2"/>
  <c r="E2347" i="2"/>
  <c r="H2347" i="2"/>
  <c r="F2347" i="2"/>
  <c r="I2347" i="2"/>
  <c r="N2347" i="2"/>
  <c r="K2347" i="2" s="1"/>
  <c r="L2347" i="2" s="1"/>
  <c r="M2347" i="2" s="1"/>
  <c r="I2327" i="2"/>
  <c r="H2327" i="2"/>
  <c r="J2327" i="2"/>
  <c r="E2327" i="2"/>
  <c r="F2327" i="2"/>
  <c r="N2327" i="2"/>
  <c r="K2327" i="2" s="1"/>
  <c r="L2327" i="2" s="1"/>
  <c r="M2327" i="2" s="1"/>
  <c r="N2302" i="2"/>
  <c r="K2302" i="2" s="1"/>
  <c r="L2302" i="2" s="1"/>
  <c r="M2302" i="2" s="1"/>
  <c r="J2302" i="2"/>
  <c r="H2302" i="2"/>
  <c r="F2302" i="2"/>
  <c r="I2302" i="2"/>
  <c r="E2302" i="2"/>
  <c r="E2218" i="2"/>
  <c r="F2218" i="2"/>
  <c r="N2218" i="2"/>
  <c r="K2218" i="2" s="1"/>
  <c r="L2218" i="2" s="1"/>
  <c r="M2218" i="2" s="1"/>
  <c r="H2218" i="2"/>
  <c r="I2218" i="2"/>
  <c r="J2218" i="2"/>
  <c r="I2184" i="2"/>
  <c r="H2184" i="2"/>
  <c r="F2184" i="2"/>
  <c r="E2184" i="2"/>
  <c r="J2184" i="2"/>
  <c r="N2184" i="2"/>
  <c r="K2184" i="2" s="1"/>
  <c r="L2184" i="2" s="1"/>
  <c r="M2184" i="2" s="1"/>
  <c r="I2183" i="2"/>
  <c r="J2183" i="2"/>
  <c r="H2183" i="2"/>
  <c r="F2183" i="2"/>
  <c r="N2183" i="2"/>
  <c r="K2183" i="2" s="1"/>
  <c r="L2183" i="2" s="1"/>
  <c r="M2183" i="2" s="1"/>
  <c r="E2183" i="2"/>
  <c r="J2053" i="2"/>
  <c r="N2053" i="2"/>
  <c r="K2053" i="2" s="1"/>
  <c r="L2053" i="2" s="1"/>
  <c r="M2053" i="2" s="1"/>
  <c r="E2053" i="2"/>
  <c r="I2053" i="2"/>
  <c r="H2053" i="2"/>
  <c r="F2053" i="2"/>
  <c r="N2089" i="2"/>
  <c r="K2089" i="2" s="1"/>
  <c r="L2089" i="2" s="1"/>
  <c r="M2089" i="2" s="1"/>
  <c r="E2089" i="2"/>
  <c r="H2089" i="2"/>
  <c r="J2089" i="2"/>
  <c r="I2089" i="2"/>
  <c r="F2089" i="2"/>
  <c r="J1927" i="2"/>
  <c r="I1927" i="2"/>
  <c r="H1927" i="2"/>
  <c r="F1927" i="2"/>
  <c r="N1927" i="2"/>
  <c r="K1927" i="2" s="1"/>
  <c r="L1927" i="2" s="1"/>
  <c r="M1927" i="2" s="1"/>
  <c r="E1927" i="2"/>
  <c r="J1797" i="2"/>
  <c r="F1797" i="2"/>
  <c r="E1797" i="2"/>
  <c r="H1797" i="2"/>
  <c r="I1797" i="2"/>
  <c r="N1797" i="2"/>
  <c r="K1797" i="2" s="1"/>
  <c r="L1797" i="2" s="1"/>
  <c r="M1797" i="2" s="1"/>
  <c r="J1764" i="2"/>
  <c r="I1764" i="2"/>
  <c r="H1764" i="2"/>
  <c r="F1764" i="2"/>
  <c r="E1764" i="2"/>
  <c r="N1764" i="2"/>
  <c r="K1764" i="2" s="1"/>
  <c r="L1764" i="2" s="1"/>
  <c r="M1764" i="2" s="1"/>
  <c r="E1795" i="2"/>
  <c r="N1795" i="2"/>
  <c r="K1795" i="2" s="1"/>
  <c r="L1795" i="2" s="1"/>
  <c r="M1795" i="2" s="1"/>
  <c r="F1795" i="2"/>
  <c r="I1795" i="2"/>
  <c r="H1795" i="2"/>
  <c r="J1795" i="2"/>
  <c r="J2011" i="2"/>
  <c r="F2011" i="2"/>
  <c r="E2011" i="2"/>
  <c r="N2011" i="2"/>
  <c r="K2011" i="2" s="1"/>
  <c r="L2011" i="2" s="1"/>
  <c r="M2011" i="2" s="1"/>
  <c r="I2011" i="2"/>
  <c r="H2011" i="2"/>
  <c r="J1902" i="2"/>
  <c r="I1902" i="2"/>
  <c r="H1902" i="2"/>
  <c r="F1902" i="2"/>
  <c r="N1902" i="2"/>
  <c r="K1902" i="2" s="1"/>
  <c r="L1902" i="2" s="1"/>
  <c r="M1902" i="2" s="1"/>
  <c r="E1902" i="2"/>
  <c r="N2046" i="2"/>
  <c r="K2046" i="2" s="1"/>
  <c r="L2046" i="2" s="1"/>
  <c r="M2046" i="2" s="1"/>
  <c r="F2046" i="2"/>
  <c r="J2046" i="2"/>
  <c r="I2046" i="2"/>
  <c r="H2046" i="2"/>
  <c r="E2046" i="2"/>
  <c r="N1997" i="2"/>
  <c r="K1997" i="2" s="1"/>
  <c r="L1997" i="2" s="1"/>
  <c r="M1997" i="2" s="1"/>
  <c r="J1997" i="2"/>
  <c r="E1997" i="2"/>
  <c r="H1997" i="2"/>
  <c r="F1997" i="2"/>
  <c r="I1997" i="2"/>
  <c r="J1940" i="2"/>
  <c r="I1940" i="2"/>
  <c r="H1940" i="2"/>
  <c r="N1940" i="2"/>
  <c r="K1940" i="2" s="1"/>
  <c r="L1940" i="2" s="1"/>
  <c r="M1940" i="2" s="1"/>
  <c r="F1940" i="2"/>
  <c r="E1940" i="2"/>
  <c r="F1939" i="2"/>
  <c r="E1939" i="2"/>
  <c r="I1939" i="2"/>
  <c r="J1939" i="2"/>
  <c r="N1939" i="2"/>
  <c r="K1939" i="2" s="1"/>
  <c r="L1939" i="2" s="1"/>
  <c r="M1939" i="2" s="1"/>
  <c r="H1939" i="2"/>
  <c r="J1935" i="2"/>
  <c r="F1935" i="2"/>
  <c r="E1935" i="2"/>
  <c r="I1935" i="2"/>
  <c r="N1935" i="2"/>
  <c r="K1935" i="2" s="1"/>
  <c r="L1935" i="2" s="1"/>
  <c r="M1935" i="2" s="1"/>
  <c r="H1935" i="2"/>
  <c r="N1708" i="2"/>
  <c r="K1708" i="2" s="1"/>
  <c r="L1708" i="2" s="1"/>
  <c r="M1708" i="2" s="1"/>
  <c r="F1708" i="2"/>
  <c r="J1708" i="2"/>
  <c r="I1708" i="2"/>
  <c r="H1708" i="2"/>
  <c r="E1708" i="2"/>
  <c r="J1531" i="2"/>
  <c r="I1531" i="2"/>
  <c r="N1531" i="2"/>
  <c r="K1531" i="2" s="1"/>
  <c r="L1531" i="2" s="1"/>
  <c r="M1531" i="2" s="1"/>
  <c r="H1531" i="2"/>
  <c r="F1531" i="2"/>
  <c r="E1531" i="2"/>
  <c r="J1601" i="2"/>
  <c r="E1601" i="2"/>
  <c r="N1601" i="2"/>
  <c r="K1601" i="2" s="1"/>
  <c r="L1601" i="2" s="1"/>
  <c r="M1601" i="2" s="1"/>
  <c r="H1601" i="2"/>
  <c r="F1601" i="2"/>
  <c r="I1601" i="2"/>
  <c r="N1656" i="2"/>
  <c r="K1656" i="2" s="1"/>
  <c r="L1656" i="2" s="1"/>
  <c r="M1656" i="2" s="1"/>
  <c r="F1656" i="2"/>
  <c r="E1656" i="2"/>
  <c r="H1656" i="2"/>
  <c r="I1656" i="2"/>
  <c r="J1656" i="2"/>
  <c r="N1815" i="2"/>
  <c r="K1815" i="2" s="1"/>
  <c r="L1815" i="2" s="1"/>
  <c r="M1815" i="2" s="1"/>
  <c r="I1815" i="2"/>
  <c r="H1815" i="2"/>
  <c r="J1815" i="2"/>
  <c r="F1815" i="2"/>
  <c r="E1815" i="2"/>
  <c r="J1814" i="2"/>
  <c r="I1814" i="2"/>
  <c r="H1814" i="2"/>
  <c r="F1814" i="2"/>
  <c r="E1814" i="2"/>
  <c r="N1814" i="2"/>
  <c r="K1814" i="2" s="1"/>
  <c r="L1814" i="2" s="1"/>
  <c r="M1814" i="2" s="1"/>
  <c r="N1836" i="2"/>
  <c r="K1836" i="2" s="1"/>
  <c r="L1836" i="2" s="1"/>
  <c r="M1836" i="2" s="1"/>
  <c r="F1836" i="2"/>
  <c r="E1836" i="2"/>
  <c r="H1836" i="2"/>
  <c r="J1836" i="2"/>
  <c r="I1836" i="2"/>
  <c r="J1482" i="2"/>
  <c r="I1482" i="2"/>
  <c r="H1482" i="2"/>
  <c r="F1482" i="2"/>
  <c r="N1482" i="2"/>
  <c r="K1482" i="2" s="1"/>
  <c r="L1482" i="2" s="1"/>
  <c r="M1482" i="2" s="1"/>
  <c r="E1482" i="2"/>
  <c r="J1358" i="2"/>
  <c r="I1358" i="2"/>
  <c r="H1358" i="2"/>
  <c r="F1358" i="2"/>
  <c r="N1358" i="2"/>
  <c r="K1358" i="2" s="1"/>
  <c r="L1358" i="2" s="1"/>
  <c r="M1358" i="2" s="1"/>
  <c r="E1358" i="2"/>
  <c r="F1388" i="2"/>
  <c r="N1388" i="2" s="1"/>
  <c r="K1388" i="2" s="1"/>
  <c r="J1422" i="2"/>
  <c r="I1422" i="2"/>
  <c r="N1422" i="2"/>
  <c r="K1422" i="2" s="1"/>
  <c r="L1422" i="2" s="1"/>
  <c r="M1422" i="2" s="1"/>
  <c r="H1422" i="2"/>
  <c r="F1422" i="2"/>
  <c r="E1422" i="2"/>
  <c r="J1427" i="2"/>
  <c r="I1427" i="2"/>
  <c r="H1427" i="2"/>
  <c r="F1427" i="2"/>
  <c r="E1427" i="2"/>
  <c r="N1427" i="2"/>
  <c r="K1427" i="2" s="1"/>
  <c r="L1427" i="2" s="1"/>
  <c r="M1427" i="2" s="1"/>
  <c r="N1164" i="2"/>
  <c r="K1164" i="2" s="1"/>
  <c r="L1164" i="2" s="1"/>
  <c r="M1164" i="2" s="1"/>
  <c r="J1164" i="2"/>
  <c r="I1164" i="2"/>
  <c r="F1164" i="2"/>
  <c r="E1164" i="2"/>
  <c r="H1164" i="2"/>
  <c r="J1235" i="2"/>
  <c r="I1235" i="2"/>
  <c r="H1235" i="2"/>
  <c r="F1235" i="2"/>
  <c r="N1235" i="2"/>
  <c r="K1235" i="2" s="1"/>
  <c r="L1235" i="2" s="1"/>
  <c r="M1235" i="2" s="1"/>
  <c r="E1235" i="2"/>
  <c r="J1302" i="2"/>
  <c r="I1302" i="2"/>
  <c r="F1302" i="2"/>
  <c r="E1302" i="2"/>
  <c r="N1302" i="2"/>
  <c r="K1302" i="2" s="1"/>
  <c r="L1302" i="2" s="1"/>
  <c r="M1302" i="2" s="1"/>
  <c r="H1302" i="2"/>
  <c r="H1320" i="2"/>
  <c r="F1320" i="2"/>
  <c r="E1320" i="2"/>
  <c r="J1320" i="2"/>
  <c r="I1320" i="2"/>
  <c r="N1320" i="2"/>
  <c r="K1320" i="2" s="1"/>
  <c r="L1320" i="2" s="1"/>
  <c r="M1320" i="2" s="1"/>
  <c r="J997" i="2"/>
  <c r="I997" i="2"/>
  <c r="E997" i="2"/>
  <c r="H997" i="2"/>
  <c r="F997" i="2"/>
  <c r="N997" i="2"/>
  <c r="K997" i="2" s="1"/>
  <c r="L997" i="2" s="1"/>
  <c r="M997" i="2" s="1"/>
  <c r="H819" i="2"/>
  <c r="I819" i="2" s="1"/>
  <c r="F819" i="2"/>
  <c r="N819" i="2" s="1"/>
  <c r="K819" i="2" s="1"/>
  <c r="L819" i="2" s="1"/>
  <c r="M819" i="2" s="1"/>
  <c r="F817" i="2"/>
  <c r="N817" i="2" s="1"/>
  <c r="K817" i="2" s="1"/>
  <c r="H817" i="2"/>
  <c r="I817" i="2" s="1"/>
  <c r="I955" i="2"/>
  <c r="H955" i="2"/>
  <c r="F955" i="2"/>
  <c r="E955" i="2"/>
  <c r="N955" i="2"/>
  <c r="K955" i="2" s="1"/>
  <c r="L955" i="2" s="1"/>
  <c r="M955" i="2" s="1"/>
  <c r="J955" i="2"/>
  <c r="N718" i="2"/>
  <c r="K718" i="2" s="1"/>
  <c r="L718" i="2" s="1"/>
  <c r="M718" i="2" s="1"/>
  <c r="H718" i="2"/>
  <c r="E718" i="2"/>
  <c r="J718" i="2"/>
  <c r="F718" i="2"/>
  <c r="I718" i="2"/>
  <c r="I946" i="2"/>
  <c r="H946" i="2"/>
  <c r="J946" i="2"/>
  <c r="N946" i="2"/>
  <c r="K946" i="2" s="1"/>
  <c r="L946" i="2" s="1"/>
  <c r="M946" i="2" s="1"/>
  <c r="F946" i="2"/>
  <c r="E946" i="2"/>
  <c r="H942" i="2"/>
  <c r="I942" i="2" s="1"/>
  <c r="F942" i="2"/>
  <c r="N942" i="2" s="1"/>
  <c r="K942" i="2" s="1"/>
  <c r="J1116" i="2"/>
  <c r="I1116" i="2"/>
  <c r="H1116" i="2"/>
  <c r="F1116" i="2"/>
  <c r="E1116" i="2"/>
  <c r="N1116" i="2"/>
  <c r="K1116" i="2" s="1"/>
  <c r="L1116" i="2" s="1"/>
  <c r="M1116" i="2" s="1"/>
  <c r="F1093" i="2"/>
  <c r="N1093" i="2" s="1"/>
  <c r="K1093" i="2" s="1"/>
  <c r="N1138" i="2"/>
  <c r="K1138" i="2" s="1"/>
  <c r="L1138" i="2" s="1"/>
  <c r="M1138" i="2" s="1"/>
  <c r="F1138" i="2"/>
  <c r="H1138" i="2"/>
  <c r="E1138" i="2"/>
  <c r="J1138" i="2"/>
  <c r="I1138" i="2"/>
  <c r="N1146" i="2"/>
  <c r="K1146" i="2" s="1"/>
  <c r="L1146" i="2" s="1"/>
  <c r="M1146" i="2" s="1"/>
  <c r="H1146" i="2"/>
  <c r="F1146" i="2"/>
  <c r="E1146" i="2"/>
  <c r="I1146" i="2"/>
  <c r="J1146" i="2"/>
  <c r="N1045" i="2"/>
  <c r="K1045" i="2" s="1"/>
  <c r="L1045" i="2" s="1"/>
  <c r="M1045" i="2" s="1"/>
  <c r="F1045" i="2"/>
  <c r="J1045" i="2"/>
  <c r="I1045" i="2"/>
  <c r="H1045" i="2"/>
  <c r="E1045" i="2"/>
  <c r="F1081" i="2"/>
  <c r="E1081" i="2"/>
  <c r="H1081" i="2"/>
  <c r="I1081" i="2"/>
  <c r="N1081" i="2"/>
  <c r="K1081" i="2" s="1"/>
  <c r="L1081" i="2" s="1"/>
  <c r="M1081" i="2" s="1"/>
  <c r="J1081" i="2"/>
  <c r="N1059" i="2"/>
  <c r="K1059" i="2" s="1"/>
  <c r="L1059" i="2" s="1"/>
  <c r="M1059" i="2" s="1"/>
  <c r="J1059" i="2"/>
  <c r="I1059" i="2"/>
  <c r="H1059" i="2"/>
  <c r="E1059" i="2"/>
  <c r="F1059" i="2"/>
  <c r="H565" i="2"/>
  <c r="I565" i="2" s="1"/>
  <c r="F565" i="2"/>
  <c r="N565" i="2" s="1"/>
  <c r="K565" i="2" s="1"/>
  <c r="L565" i="2" s="1"/>
  <c r="M565" i="2" s="1"/>
  <c r="N383" i="2"/>
  <c r="K383" i="2" s="1"/>
  <c r="H383" i="2"/>
  <c r="I383" i="2" s="1"/>
  <c r="N398" i="2"/>
  <c r="K398" i="2" s="1"/>
  <c r="L398" i="2" s="1"/>
  <c r="M398" i="2" s="1"/>
  <c r="J398" i="2"/>
  <c r="I398" i="2"/>
  <c r="H398" i="2"/>
  <c r="E398" i="2"/>
  <c r="F734" i="2"/>
  <c r="N734" i="2" s="1"/>
  <c r="K734" i="2" s="1"/>
  <c r="F747" i="2"/>
  <c r="N747" i="2" s="1"/>
  <c r="K747" i="2" s="1"/>
  <c r="H747" i="2"/>
  <c r="I747" i="2" s="1"/>
  <c r="N490" i="2"/>
  <c r="K490" i="2" s="1"/>
  <c r="I532" i="2"/>
  <c r="H532" i="2"/>
  <c r="F532" i="2"/>
  <c r="E532" i="2"/>
  <c r="J532" i="2"/>
  <c r="N532" i="2"/>
  <c r="K532" i="2" s="1"/>
  <c r="L532" i="2" s="1"/>
  <c r="M532" i="2" s="1"/>
  <c r="N533" i="2"/>
  <c r="K533" i="2" s="1"/>
  <c r="L533" i="2" s="1"/>
  <c r="M533" i="2" s="1"/>
  <c r="F533" i="2"/>
  <c r="I533" i="2"/>
  <c r="J533" i="2"/>
  <c r="H533" i="2"/>
  <c r="E533" i="2"/>
  <c r="J542" i="2"/>
  <c r="I542" i="2"/>
  <c r="H542" i="2"/>
  <c r="F542" i="2"/>
  <c r="N542" i="2"/>
  <c r="K542" i="2" s="1"/>
  <c r="L542" i="2" s="1"/>
  <c r="M542" i="2" s="1"/>
  <c r="E542" i="2"/>
  <c r="N163" i="2"/>
  <c r="K163" i="2" s="1"/>
  <c r="L163" i="2" s="1"/>
  <c r="M163" i="2" s="1"/>
  <c r="J163" i="2"/>
  <c r="I163" i="2"/>
  <c r="E163" i="2"/>
  <c r="F163" i="2"/>
  <c r="H163" i="2"/>
  <c r="J213" i="2"/>
  <c r="I213" i="2"/>
  <c r="N213" i="2"/>
  <c r="K213" i="2" s="1"/>
  <c r="L213" i="2" s="1"/>
  <c r="M213" i="2" s="1"/>
  <c r="H213" i="2"/>
  <c r="F213" i="2"/>
  <c r="E213" i="2"/>
  <c r="J233" i="2"/>
  <c r="I233" i="2"/>
  <c r="H233" i="2"/>
  <c r="N233" i="2"/>
  <c r="K233" i="2" s="1"/>
  <c r="L233" i="2" s="1"/>
  <c r="M233" i="2" s="1"/>
  <c r="F233" i="2"/>
  <c r="E233" i="2"/>
  <c r="J279" i="2"/>
  <c r="I279" i="2"/>
  <c r="H279" i="2"/>
  <c r="N279" i="2"/>
  <c r="K279" i="2" s="1"/>
  <c r="L279" i="2" s="1"/>
  <c r="M279" i="2" s="1"/>
  <c r="E279" i="2"/>
  <c r="J291" i="2"/>
  <c r="I291" i="2"/>
  <c r="E291" i="2"/>
  <c r="H291" i="2"/>
  <c r="N291" i="2"/>
  <c r="K291" i="2" s="1"/>
  <c r="L291" i="2" s="1"/>
  <c r="M291" i="2" s="1"/>
  <c r="J303" i="2"/>
  <c r="I303" i="2"/>
  <c r="H303" i="2"/>
  <c r="E303" i="2"/>
  <c r="N303" i="2"/>
  <c r="K303" i="2" s="1"/>
  <c r="L303" i="2" s="1"/>
  <c r="M303" i="2" s="1"/>
  <c r="B779" i="2"/>
  <c r="B164" i="2"/>
  <c r="B192" i="2"/>
  <c r="B131" i="2"/>
  <c r="B99" i="2"/>
  <c r="B392" i="2"/>
  <c r="B329" i="2"/>
  <c r="B273" i="2"/>
  <c r="B459" i="2"/>
  <c r="B892" i="2"/>
  <c r="B624" i="2"/>
  <c r="B415" i="2"/>
  <c r="B1220" i="2"/>
  <c r="B629" i="2"/>
  <c r="B753" i="2"/>
  <c r="B844" i="2"/>
  <c r="B899" i="2"/>
  <c r="B1295" i="2"/>
  <c r="B1273" i="2"/>
  <c r="B1180" i="2"/>
  <c r="B1313" i="2"/>
  <c r="B1372" i="2"/>
  <c r="B1335" i="2"/>
  <c r="B1721" i="2"/>
  <c r="B1639" i="2"/>
  <c r="B1705" i="2"/>
  <c r="B1748" i="2"/>
  <c r="B1670" i="2"/>
  <c r="B2080" i="2"/>
  <c r="B1837" i="2"/>
  <c r="B2159" i="2"/>
  <c r="B2116" i="2"/>
  <c r="B2210" i="2"/>
  <c r="B2248" i="2"/>
  <c r="B2169" i="2"/>
  <c r="B2377" i="2"/>
  <c r="N2032" i="2"/>
  <c r="K2032" i="2" s="1"/>
  <c r="L2032" i="2" s="1"/>
  <c r="M2032" i="2" s="1"/>
  <c r="F2032" i="2"/>
  <c r="E2032" i="2"/>
  <c r="I2032" i="2"/>
  <c r="H2032" i="2"/>
  <c r="J2032" i="2"/>
  <c r="J1438" i="2"/>
  <c r="I1438" i="2"/>
  <c r="N1438" i="2"/>
  <c r="K1438" i="2" s="1"/>
  <c r="L1438" i="2" s="1"/>
  <c r="M1438" i="2" s="1"/>
  <c r="H1438" i="2"/>
  <c r="F1438" i="2"/>
  <c r="E1438" i="2"/>
  <c r="J1241" i="2"/>
  <c r="N1241" i="2"/>
  <c r="K1241" i="2" s="1"/>
  <c r="L1241" i="2" s="1"/>
  <c r="M1241" i="2" s="1"/>
  <c r="F1241" i="2"/>
  <c r="E1241" i="2"/>
  <c r="H1241" i="2"/>
  <c r="I1241" i="2"/>
  <c r="N959" i="2"/>
  <c r="K959" i="2" s="1"/>
  <c r="L959" i="2" s="1"/>
  <c r="M959" i="2" s="1"/>
  <c r="F959" i="2"/>
  <c r="E959" i="2"/>
  <c r="J959" i="2"/>
  <c r="I959" i="2"/>
  <c r="H959" i="2"/>
  <c r="N1085" i="2"/>
  <c r="K1085" i="2" s="1"/>
  <c r="L1085" i="2" s="1"/>
  <c r="M1085" i="2" s="1"/>
  <c r="F1085" i="2"/>
  <c r="J1085" i="2"/>
  <c r="I1085" i="2"/>
  <c r="H1085" i="2"/>
  <c r="E1085" i="2"/>
  <c r="B226" i="2"/>
  <c r="B635" i="2"/>
  <c r="B1112" i="2"/>
  <c r="B1923" i="2"/>
  <c r="B1501" i="2"/>
  <c r="B2043" i="2"/>
  <c r="N1715" i="2"/>
  <c r="K1715" i="2" s="1"/>
  <c r="L1715" i="2" s="1"/>
  <c r="M1715" i="2" s="1"/>
  <c r="E1715" i="2"/>
  <c r="I1715" i="2"/>
  <c r="J1715" i="2"/>
  <c r="H1715" i="2"/>
  <c r="F1715" i="2"/>
  <c r="J1849" i="2"/>
  <c r="N1849" i="2"/>
  <c r="K1849" i="2" s="1"/>
  <c r="L1849" i="2" s="1"/>
  <c r="M1849" i="2" s="1"/>
  <c r="I1849" i="2"/>
  <c r="H1849" i="2"/>
  <c r="F1849" i="2"/>
  <c r="E1849" i="2"/>
  <c r="J1257" i="2"/>
  <c r="I1257" i="2"/>
  <c r="H1257" i="2"/>
  <c r="E1257" i="2"/>
  <c r="N1257" i="2"/>
  <c r="K1257" i="2" s="1"/>
  <c r="L1257" i="2" s="1"/>
  <c r="M1257" i="2" s="1"/>
  <c r="F1257" i="2"/>
  <c r="N1112" i="2"/>
  <c r="K1112" i="2" s="1"/>
  <c r="L1112" i="2" s="1"/>
  <c r="M1112" i="2" s="1"/>
  <c r="F1112" i="2"/>
  <c r="J1112" i="2"/>
  <c r="I1112" i="2"/>
  <c r="H1112" i="2"/>
  <c r="E1112" i="2"/>
  <c r="N1056" i="2"/>
  <c r="K1056" i="2" s="1"/>
  <c r="L1056" i="2" s="1"/>
  <c r="M1056" i="2" s="1"/>
  <c r="I1056" i="2"/>
  <c r="F1056" i="2"/>
  <c r="E1056" i="2"/>
  <c r="J1056" i="2"/>
  <c r="H1056" i="2"/>
  <c r="H643" i="2"/>
  <c r="I643" i="2" s="1"/>
  <c r="F643" i="2"/>
  <c r="N643" i="2" s="1"/>
  <c r="K643" i="2" s="1"/>
  <c r="N166" i="2"/>
  <c r="K166" i="2" s="1"/>
  <c r="L166" i="2" s="1"/>
  <c r="M166" i="2" s="1"/>
  <c r="J166" i="2"/>
  <c r="F166" i="2"/>
  <c r="H166" i="2"/>
  <c r="I166" i="2"/>
  <c r="E166" i="2"/>
  <c r="B515" i="2"/>
  <c r="B664" i="2"/>
  <c r="B814" i="2"/>
  <c r="B1384" i="2"/>
  <c r="B2012" i="2"/>
  <c r="H448" i="2"/>
  <c r="I448" i="2" s="1"/>
  <c r="N448" i="2"/>
  <c r="K448" i="2" s="1"/>
  <c r="L448" i="2" s="1"/>
  <c r="M448" i="2" s="1"/>
  <c r="B163" i="2"/>
  <c r="F2262" i="2"/>
  <c r="E2262" i="2"/>
  <c r="J2262" i="2"/>
  <c r="I2262" i="2"/>
  <c r="H2262" i="2"/>
  <c r="N2262" i="2"/>
  <c r="K2262" i="2" s="1"/>
  <c r="L2262" i="2" s="1"/>
  <c r="M2262" i="2" s="1"/>
  <c r="F2374" i="2"/>
  <c r="N2374" i="2"/>
  <c r="K2374" i="2" s="1"/>
  <c r="L2374" i="2" s="1"/>
  <c r="M2374" i="2" s="1"/>
  <c r="J2374" i="2"/>
  <c r="I2374" i="2"/>
  <c r="H2374" i="2"/>
  <c r="E2374" i="2"/>
  <c r="I2356" i="2"/>
  <c r="F2356" i="2"/>
  <c r="J2356" i="2"/>
  <c r="H2356" i="2"/>
  <c r="E2356" i="2"/>
  <c r="N2356" i="2"/>
  <c r="K2356" i="2" s="1"/>
  <c r="L2356" i="2" s="1"/>
  <c r="M2356" i="2" s="1"/>
  <c r="E2255" i="2"/>
  <c r="I2255" i="2"/>
  <c r="H2255" i="2"/>
  <c r="N2255" i="2"/>
  <c r="K2255" i="2" s="1"/>
  <c r="L2255" i="2" s="1"/>
  <c r="M2255" i="2" s="1"/>
  <c r="J2255" i="2"/>
  <c r="F2255" i="2"/>
  <c r="J2166" i="2"/>
  <c r="I2166" i="2"/>
  <c r="H2166" i="2"/>
  <c r="F2166" i="2"/>
  <c r="N2166" i="2"/>
  <c r="K2166" i="2" s="1"/>
  <c r="L2166" i="2" s="1"/>
  <c r="M2166" i="2" s="1"/>
  <c r="E2166" i="2"/>
  <c r="H2143" i="2"/>
  <c r="E2143" i="2"/>
  <c r="N2143" i="2"/>
  <c r="K2143" i="2" s="1"/>
  <c r="L2143" i="2" s="1"/>
  <c r="M2143" i="2" s="1"/>
  <c r="I2143" i="2"/>
  <c r="J2143" i="2"/>
  <c r="F2143" i="2"/>
  <c r="I2142" i="2"/>
  <c r="H2142" i="2"/>
  <c r="F2142" i="2"/>
  <c r="E2142" i="2"/>
  <c r="N2142" i="2"/>
  <c r="K2142" i="2" s="1"/>
  <c r="L2142" i="2" s="1"/>
  <c r="M2142" i="2" s="1"/>
  <c r="J2142" i="2"/>
  <c r="J2316" i="2"/>
  <c r="I2316" i="2"/>
  <c r="F2316" i="2"/>
  <c r="E2316" i="2"/>
  <c r="N2316" i="2"/>
  <c r="K2316" i="2" s="1"/>
  <c r="L2316" i="2" s="1"/>
  <c r="M2316" i="2" s="1"/>
  <c r="H2316" i="2"/>
  <c r="I2304" i="2"/>
  <c r="N2304" i="2"/>
  <c r="K2304" i="2" s="1"/>
  <c r="L2304" i="2" s="1"/>
  <c r="M2304" i="2" s="1"/>
  <c r="E2304" i="2"/>
  <c r="H2304" i="2"/>
  <c r="F2304" i="2"/>
  <c r="J2304" i="2"/>
  <c r="J2320" i="2"/>
  <c r="H2320" i="2"/>
  <c r="F2320" i="2"/>
  <c r="N2320" i="2"/>
  <c r="K2320" i="2" s="1"/>
  <c r="L2320" i="2" s="1"/>
  <c r="M2320" i="2" s="1"/>
  <c r="E2320" i="2"/>
  <c r="I2320" i="2"/>
  <c r="N2187" i="2"/>
  <c r="K2187" i="2" s="1"/>
  <c r="L2187" i="2" s="1"/>
  <c r="M2187" i="2" s="1"/>
  <c r="J2187" i="2"/>
  <c r="I2187" i="2"/>
  <c r="H2187" i="2"/>
  <c r="E2187" i="2"/>
  <c r="F2187" i="2"/>
  <c r="N2203" i="2"/>
  <c r="K2203" i="2" s="1"/>
  <c r="L2203" i="2" s="1"/>
  <c r="M2203" i="2" s="1"/>
  <c r="J2203" i="2"/>
  <c r="I2203" i="2"/>
  <c r="H2203" i="2"/>
  <c r="F2203" i="2"/>
  <c r="E2203" i="2"/>
  <c r="I2199" i="2"/>
  <c r="H2199" i="2"/>
  <c r="N2199" i="2"/>
  <c r="K2199" i="2" s="1"/>
  <c r="L2199" i="2" s="1"/>
  <c r="M2199" i="2" s="1"/>
  <c r="J2199" i="2"/>
  <c r="F2199" i="2"/>
  <c r="E2199" i="2"/>
  <c r="J2105" i="2"/>
  <c r="I2105" i="2"/>
  <c r="H2105" i="2"/>
  <c r="F2105" i="2"/>
  <c r="E2105" i="2"/>
  <c r="N2105" i="2"/>
  <c r="K2105" i="2" s="1"/>
  <c r="L2105" i="2" s="1"/>
  <c r="M2105" i="2" s="1"/>
  <c r="H1907" i="2"/>
  <c r="F1907" i="2"/>
  <c r="E1907" i="2"/>
  <c r="J1907" i="2"/>
  <c r="I1907" i="2"/>
  <c r="N1907" i="2"/>
  <c r="K1907" i="2" s="1"/>
  <c r="L1907" i="2" s="1"/>
  <c r="M1907" i="2" s="1"/>
  <c r="H1915" i="2"/>
  <c r="F1915" i="2"/>
  <c r="E1915" i="2"/>
  <c r="N1915" i="2"/>
  <c r="K1915" i="2" s="1"/>
  <c r="L1915" i="2" s="1"/>
  <c r="M1915" i="2" s="1"/>
  <c r="J1915" i="2"/>
  <c r="I1915" i="2"/>
  <c r="J2007" i="2"/>
  <c r="I2007" i="2"/>
  <c r="H2007" i="2"/>
  <c r="F2007" i="2"/>
  <c r="E2007" i="2"/>
  <c r="N2007" i="2"/>
  <c r="K2007" i="2" s="1"/>
  <c r="L2007" i="2" s="1"/>
  <c r="M2007" i="2" s="1"/>
  <c r="F1729" i="2"/>
  <c r="E1729" i="2"/>
  <c r="H1729" i="2"/>
  <c r="I1729" i="2"/>
  <c r="N1729" i="2"/>
  <c r="K1729" i="2" s="1"/>
  <c r="L1729" i="2" s="1"/>
  <c r="M1729" i="2" s="1"/>
  <c r="J1729" i="2"/>
  <c r="N1698" i="2"/>
  <c r="K1698" i="2" s="1"/>
  <c r="L1698" i="2" s="1"/>
  <c r="M1698" i="2" s="1"/>
  <c r="H1698" i="2"/>
  <c r="F1698" i="2"/>
  <c r="E1698" i="2"/>
  <c r="J1698" i="2"/>
  <c r="I1698" i="2"/>
  <c r="J1585" i="2"/>
  <c r="I1585" i="2"/>
  <c r="H1585" i="2"/>
  <c r="F1585" i="2"/>
  <c r="N1585" i="2"/>
  <c r="K1585" i="2" s="1"/>
  <c r="L1585" i="2" s="1"/>
  <c r="M1585" i="2" s="1"/>
  <c r="E1585" i="2"/>
  <c r="N1672" i="2"/>
  <c r="K1672" i="2" s="1"/>
  <c r="L1672" i="2" s="1"/>
  <c r="M1672" i="2" s="1"/>
  <c r="I1672" i="2"/>
  <c r="H1672" i="2"/>
  <c r="J1672" i="2"/>
  <c r="F1672" i="2"/>
  <c r="E1672" i="2"/>
  <c r="F1840" i="2"/>
  <c r="E1840" i="2"/>
  <c r="N1840" i="2"/>
  <c r="K1840" i="2" s="1"/>
  <c r="L1840" i="2" s="1"/>
  <c r="M1840" i="2" s="1"/>
  <c r="H1840" i="2"/>
  <c r="I1840" i="2"/>
  <c r="J1840" i="2"/>
  <c r="N1839" i="2"/>
  <c r="K1839" i="2" s="1"/>
  <c r="L1839" i="2" s="1"/>
  <c r="M1839" i="2" s="1"/>
  <c r="I1839" i="2"/>
  <c r="H1839" i="2"/>
  <c r="J1839" i="2"/>
  <c r="E1839" i="2"/>
  <c r="F1839" i="2"/>
  <c r="N1852" i="2"/>
  <c r="K1852" i="2" s="1"/>
  <c r="L1852" i="2" s="1"/>
  <c r="M1852" i="2" s="1"/>
  <c r="F1852" i="2"/>
  <c r="E1852" i="2"/>
  <c r="J1852" i="2"/>
  <c r="I1852" i="2"/>
  <c r="H1852" i="2"/>
  <c r="I1466" i="2"/>
  <c r="H1466" i="2"/>
  <c r="N1466" i="2"/>
  <c r="K1466" i="2" s="1"/>
  <c r="L1466" i="2" s="1"/>
  <c r="M1466" i="2" s="1"/>
  <c r="F1466" i="2"/>
  <c r="E1466" i="2"/>
  <c r="J1466" i="2"/>
  <c r="F1496" i="2"/>
  <c r="E1496" i="2"/>
  <c r="J1496" i="2"/>
  <c r="I1496" i="2"/>
  <c r="H1496" i="2"/>
  <c r="N1496" i="2"/>
  <c r="K1496" i="2" s="1"/>
  <c r="L1496" i="2" s="1"/>
  <c r="M1496" i="2" s="1"/>
  <c r="N1342" i="2"/>
  <c r="K1342" i="2" s="1"/>
  <c r="L1342" i="2" s="1"/>
  <c r="M1342" i="2" s="1"/>
  <c r="I1342" i="2"/>
  <c r="H1342" i="2"/>
  <c r="E1342" i="2"/>
  <c r="J1342" i="2"/>
  <c r="F1342" i="2"/>
  <c r="E1407" i="2"/>
  <c r="H1407" i="2"/>
  <c r="J1407" i="2"/>
  <c r="I1407" i="2"/>
  <c r="F1407" i="2"/>
  <c r="N1407" i="2"/>
  <c r="K1407" i="2" s="1"/>
  <c r="L1407" i="2" s="1"/>
  <c r="M1407" i="2" s="1"/>
  <c r="J1446" i="2"/>
  <c r="I1446" i="2"/>
  <c r="E1446" i="2"/>
  <c r="H1446" i="2"/>
  <c r="N1446" i="2"/>
  <c r="K1446" i="2" s="1"/>
  <c r="L1446" i="2" s="1"/>
  <c r="M1446" i="2" s="1"/>
  <c r="F1446" i="2"/>
  <c r="J1443" i="2"/>
  <c r="I1443" i="2"/>
  <c r="H1443" i="2"/>
  <c r="F1443" i="2"/>
  <c r="N1443" i="2"/>
  <c r="K1443" i="2" s="1"/>
  <c r="L1443" i="2" s="1"/>
  <c r="M1443" i="2" s="1"/>
  <c r="E1443" i="2"/>
  <c r="J1244" i="2"/>
  <c r="H1244" i="2"/>
  <c r="F1244" i="2"/>
  <c r="E1244" i="2"/>
  <c r="N1244" i="2"/>
  <c r="K1244" i="2" s="1"/>
  <c r="L1244" i="2" s="1"/>
  <c r="M1244" i="2" s="1"/>
  <c r="I1244" i="2"/>
  <c r="J1286" i="2"/>
  <c r="I1286" i="2"/>
  <c r="E1286" i="2"/>
  <c r="F1286" i="2"/>
  <c r="N1286" i="2"/>
  <c r="K1286" i="2" s="1"/>
  <c r="L1286" i="2" s="1"/>
  <c r="M1286" i="2" s="1"/>
  <c r="H1286" i="2"/>
  <c r="F1251" i="2"/>
  <c r="E1251" i="2"/>
  <c r="H1251" i="2"/>
  <c r="I1251" i="2"/>
  <c r="N1251" i="2"/>
  <c r="K1251" i="2" s="1"/>
  <c r="L1251" i="2" s="1"/>
  <c r="M1251" i="2" s="1"/>
  <c r="J1251" i="2"/>
  <c r="J1326" i="2"/>
  <c r="I1326" i="2"/>
  <c r="H1326" i="2"/>
  <c r="N1326" i="2"/>
  <c r="K1326" i="2" s="1"/>
  <c r="L1326" i="2" s="1"/>
  <c r="M1326" i="2" s="1"/>
  <c r="F1326" i="2"/>
  <c r="E1326" i="2"/>
  <c r="F1273" i="2"/>
  <c r="N1273" i="2" s="1"/>
  <c r="K1273" i="2" s="1"/>
  <c r="H981" i="2"/>
  <c r="F981" i="2"/>
  <c r="E981" i="2"/>
  <c r="N981" i="2"/>
  <c r="K981" i="2" s="1"/>
  <c r="L981" i="2" s="1"/>
  <c r="M981" i="2" s="1"/>
  <c r="I981" i="2"/>
  <c r="J981" i="2"/>
  <c r="H803" i="2"/>
  <c r="I803" i="2" s="1"/>
  <c r="F803" i="2"/>
  <c r="N803" i="2" s="1"/>
  <c r="K803" i="2" s="1"/>
  <c r="L803" i="2" s="1"/>
  <c r="M803" i="2" s="1"/>
  <c r="F937" i="2"/>
  <c r="N937" i="2" s="1"/>
  <c r="K937" i="2" s="1"/>
  <c r="H937" i="2"/>
  <c r="I937" i="2" s="1"/>
  <c r="F801" i="2"/>
  <c r="N801" i="2" s="1"/>
  <c r="K801" i="2" s="1"/>
  <c r="H801" i="2"/>
  <c r="I801" i="2" s="1"/>
  <c r="H923" i="2"/>
  <c r="I923" i="2" s="1"/>
  <c r="F923" i="2"/>
  <c r="N923" i="2" s="1"/>
  <c r="K923" i="2" s="1"/>
  <c r="L923" i="2" s="1"/>
  <c r="M923" i="2" s="1"/>
  <c r="H702" i="2"/>
  <c r="I702" i="2" s="1"/>
  <c r="F702" i="2"/>
  <c r="N702" i="2" s="1"/>
  <c r="K702" i="2" s="1"/>
  <c r="I962" i="2"/>
  <c r="H962" i="2"/>
  <c r="J962" i="2"/>
  <c r="N962" i="2"/>
  <c r="K962" i="2" s="1"/>
  <c r="L962" i="2" s="1"/>
  <c r="M962" i="2" s="1"/>
  <c r="F962" i="2"/>
  <c r="E962" i="2"/>
  <c r="J958" i="2"/>
  <c r="I958" i="2"/>
  <c r="H958" i="2"/>
  <c r="F958" i="2"/>
  <c r="N958" i="2"/>
  <c r="K958" i="2" s="1"/>
  <c r="L958" i="2" s="1"/>
  <c r="M958" i="2" s="1"/>
  <c r="E958" i="2"/>
  <c r="J1120" i="2"/>
  <c r="E1120" i="2"/>
  <c r="N1120" i="2"/>
  <c r="K1120" i="2" s="1"/>
  <c r="L1120" i="2" s="1"/>
  <c r="M1120" i="2" s="1"/>
  <c r="I1120" i="2"/>
  <c r="H1120" i="2"/>
  <c r="F1120" i="2"/>
  <c r="F1118" i="2"/>
  <c r="E1118" i="2"/>
  <c r="N1118" i="2"/>
  <c r="K1118" i="2" s="1"/>
  <c r="L1118" i="2" s="1"/>
  <c r="M1118" i="2" s="1"/>
  <c r="J1118" i="2"/>
  <c r="H1118" i="2"/>
  <c r="I1118" i="2"/>
  <c r="F1095" i="2"/>
  <c r="N1095" i="2" s="1"/>
  <c r="K1095" i="2" s="1"/>
  <c r="N1048" i="2"/>
  <c r="K1048" i="2" s="1"/>
  <c r="L1048" i="2" s="1"/>
  <c r="M1048" i="2" s="1"/>
  <c r="I1048" i="2"/>
  <c r="H1048" i="2"/>
  <c r="F1048" i="2"/>
  <c r="E1048" i="2"/>
  <c r="J1048" i="2"/>
  <c r="J1066" i="2"/>
  <c r="N1066" i="2"/>
  <c r="K1066" i="2" s="1"/>
  <c r="L1066" i="2" s="1"/>
  <c r="M1066" i="2" s="1"/>
  <c r="I1066" i="2"/>
  <c r="H1066" i="2"/>
  <c r="F1066" i="2"/>
  <c r="E1066" i="2"/>
  <c r="F1035" i="2"/>
  <c r="N1035" i="2" s="1"/>
  <c r="K1035" i="2" s="1"/>
  <c r="L1035" i="2" s="1"/>
  <c r="M1035" i="2" s="1"/>
  <c r="N1075" i="2"/>
  <c r="K1075" i="2" s="1"/>
  <c r="L1075" i="2" s="1"/>
  <c r="M1075" i="2" s="1"/>
  <c r="F1075" i="2"/>
  <c r="E1075" i="2"/>
  <c r="H1075" i="2"/>
  <c r="J1075" i="2"/>
  <c r="I1075" i="2"/>
  <c r="F549" i="2"/>
  <c r="N549" i="2" s="1"/>
  <c r="K549" i="2" s="1"/>
  <c r="N368" i="2"/>
  <c r="K368" i="2" s="1"/>
  <c r="L368" i="2" s="1"/>
  <c r="M368" i="2" s="1"/>
  <c r="N382" i="2"/>
  <c r="K382" i="2" s="1"/>
  <c r="L382" i="2" s="1"/>
  <c r="M382" i="2" s="1"/>
  <c r="H382" i="2"/>
  <c r="I382" i="2" s="1"/>
  <c r="H750" i="2"/>
  <c r="I750" i="2" s="1"/>
  <c r="F750" i="2"/>
  <c r="N750" i="2" s="1"/>
  <c r="K750" i="2" s="1"/>
  <c r="F763" i="2"/>
  <c r="N763" i="2" s="1"/>
  <c r="K763" i="2" s="1"/>
  <c r="L763" i="2" s="1"/>
  <c r="M763" i="2" s="1"/>
  <c r="H763" i="2"/>
  <c r="I763" i="2" s="1"/>
  <c r="N425" i="2"/>
  <c r="K425" i="2" s="1"/>
  <c r="L425" i="2" s="1"/>
  <c r="M425" i="2" s="1"/>
  <c r="I425" i="2"/>
  <c r="H425" i="2"/>
  <c r="J425" i="2"/>
  <c r="E425" i="2"/>
  <c r="B169" i="2"/>
  <c r="B457" i="2"/>
  <c r="B137" i="2"/>
  <c r="B425" i="2"/>
  <c r="B350" i="2"/>
  <c r="B474" i="2"/>
  <c r="B477" i="2"/>
  <c r="B914" i="2"/>
  <c r="B865" i="2"/>
  <c r="B423" i="2"/>
  <c r="B1230" i="2"/>
  <c r="B661" i="2"/>
  <c r="B1016" i="2"/>
  <c r="B915" i="2"/>
  <c r="B907" i="2"/>
  <c r="B1354" i="2"/>
  <c r="B1303" i="2"/>
  <c r="B1391" i="2"/>
  <c r="B1356" i="2"/>
  <c r="B1328" i="2"/>
  <c r="B1366" i="2"/>
  <c r="B1389" i="2"/>
  <c r="B1593" i="2"/>
  <c r="B1751" i="2"/>
  <c r="B1838" i="2"/>
  <c r="B1678" i="2"/>
  <c r="B1825" i="2"/>
  <c r="B1845" i="2"/>
  <c r="B1992" i="2"/>
  <c r="B1905" i="2"/>
  <c r="B2292" i="2"/>
  <c r="B2262" i="2"/>
  <c r="B2177" i="2"/>
  <c r="B2320" i="2"/>
  <c r="H192" i="2"/>
  <c r="I192" i="2" s="1"/>
  <c r="F192" i="2"/>
  <c r="N192" i="2" s="1"/>
  <c r="K192" i="2" s="1"/>
  <c r="I539" i="2"/>
  <c r="N539" i="2"/>
  <c r="K539" i="2" s="1"/>
  <c r="L539" i="2" s="1"/>
  <c r="M539" i="2" s="1"/>
  <c r="J539" i="2"/>
  <c r="H539" i="2"/>
  <c r="F539" i="2"/>
  <c r="E539" i="2"/>
  <c r="J527" i="2"/>
  <c r="I527" i="2"/>
  <c r="H527" i="2"/>
  <c r="F527" i="2"/>
  <c r="E527" i="2"/>
  <c r="N527" i="2"/>
  <c r="K527" i="2" s="1"/>
  <c r="L527" i="2" s="1"/>
  <c r="M527" i="2" s="1"/>
  <c r="B601" i="2"/>
  <c r="B497" i="2"/>
  <c r="B1058" i="2"/>
  <c r="B1521" i="2"/>
  <c r="B1663" i="2"/>
  <c r="B1841" i="2"/>
  <c r="B2102" i="2"/>
  <c r="E2322" i="2"/>
  <c r="N2322" i="2"/>
  <c r="K2322" i="2" s="1"/>
  <c r="L2322" i="2" s="1"/>
  <c r="M2322" i="2" s="1"/>
  <c r="H2322" i="2"/>
  <c r="J2322" i="2"/>
  <c r="I2322" i="2"/>
  <c r="F2322" i="2"/>
  <c r="E1546" i="2"/>
  <c r="N1546" i="2"/>
  <c r="K1546" i="2" s="1"/>
  <c r="L1546" i="2" s="1"/>
  <c r="M1546" i="2" s="1"/>
  <c r="F1546" i="2"/>
  <c r="I1546" i="2"/>
  <c r="J1546" i="2"/>
  <c r="H1546" i="2"/>
  <c r="N1853" i="2"/>
  <c r="K1853" i="2" s="1"/>
  <c r="L1853" i="2" s="1"/>
  <c r="M1853" i="2" s="1"/>
  <c r="E1853" i="2"/>
  <c r="H1853" i="2"/>
  <c r="J1853" i="2"/>
  <c r="I1853" i="2"/>
  <c r="F1853" i="2"/>
  <c r="N1225" i="2"/>
  <c r="K1225" i="2" s="1"/>
  <c r="L1225" i="2" s="1"/>
  <c r="M1225" i="2" s="1"/>
  <c r="E1225" i="2"/>
  <c r="F1225" i="2"/>
  <c r="J1225" i="2"/>
  <c r="I1225" i="2"/>
  <c r="H1225" i="2"/>
  <c r="J1014" i="2"/>
  <c r="I1014" i="2"/>
  <c r="H1014" i="2"/>
  <c r="N1014" i="2"/>
  <c r="K1014" i="2" s="1"/>
  <c r="L1014" i="2" s="1"/>
  <c r="M1014" i="2" s="1"/>
  <c r="F1014" i="2"/>
  <c r="E1014" i="2"/>
  <c r="F943" i="2"/>
  <c r="N943" i="2" s="1"/>
  <c r="K943" i="2" s="1"/>
  <c r="H943" i="2"/>
  <c r="H1083" i="2"/>
  <c r="F1083" i="2"/>
  <c r="E1083" i="2"/>
  <c r="N1083" i="2"/>
  <c r="K1083" i="2" s="1"/>
  <c r="L1083" i="2" s="1"/>
  <c r="M1083" i="2" s="1"/>
  <c r="I1083" i="2"/>
  <c r="J1083" i="2"/>
  <c r="N340" i="2"/>
  <c r="K340" i="2" s="1"/>
  <c r="L340" i="2" s="1"/>
  <c r="M340" i="2" s="1"/>
  <c r="H340" i="2"/>
  <c r="J340" i="2"/>
  <c r="E340" i="2"/>
  <c r="I340" i="2"/>
  <c r="J662" i="2"/>
  <c r="N662" i="2"/>
  <c r="K662" i="2" s="1"/>
  <c r="L662" i="2" s="1"/>
  <c r="M662" i="2" s="1"/>
  <c r="I662" i="2"/>
  <c r="H662" i="2"/>
  <c r="F662" i="2"/>
  <c r="E662" i="2"/>
  <c r="F499" i="2"/>
  <c r="N499" i="2" s="1"/>
  <c r="K499" i="2" s="1"/>
  <c r="H499" i="2"/>
  <c r="I499" i="2" s="1"/>
  <c r="J543" i="2"/>
  <c r="I543" i="2"/>
  <c r="H543" i="2"/>
  <c r="N543" i="2"/>
  <c r="K543" i="2" s="1"/>
  <c r="L543" i="2" s="1"/>
  <c r="M543" i="2" s="1"/>
  <c r="F543" i="2"/>
  <c r="E543" i="2"/>
  <c r="F251" i="2"/>
  <c r="N251" i="2" s="1"/>
  <c r="K251" i="2" s="1"/>
  <c r="H251" i="2"/>
  <c r="I251" i="2" s="1"/>
  <c r="B583" i="2"/>
  <c r="B1005" i="2"/>
  <c r="B1400" i="2"/>
  <c r="B1912" i="2"/>
  <c r="B2107" i="2"/>
  <c r="I2335" i="2"/>
  <c r="F2335" i="2"/>
  <c r="N2335" i="2"/>
  <c r="K2335" i="2" s="1"/>
  <c r="L2335" i="2" s="1"/>
  <c r="M2335" i="2" s="1"/>
  <c r="J2335" i="2"/>
  <c r="H2335" i="2"/>
  <c r="E2335" i="2"/>
  <c r="I1952" i="2"/>
  <c r="H1952" i="2"/>
  <c r="N1952" i="2"/>
  <c r="K1952" i="2" s="1"/>
  <c r="L1952" i="2" s="1"/>
  <c r="M1952" i="2" s="1"/>
  <c r="J1952" i="2"/>
  <c r="F1952" i="2"/>
  <c r="E1952" i="2"/>
  <c r="F1274" i="2"/>
  <c r="N1274" i="2" s="1"/>
  <c r="K1274" i="2" s="1"/>
  <c r="F1096" i="2"/>
  <c r="N1096" i="2" s="1"/>
  <c r="K1096" i="2" s="1"/>
  <c r="L1096" i="2" s="1"/>
  <c r="M1096" i="2" s="1"/>
  <c r="H281" i="2"/>
  <c r="E281" i="2"/>
  <c r="I281" i="2"/>
  <c r="N281" i="2"/>
  <c r="K281" i="2" s="1"/>
  <c r="L281" i="2" s="1"/>
  <c r="M281" i="2" s="1"/>
  <c r="J281" i="2"/>
  <c r="N277" i="2"/>
  <c r="K277" i="2" s="1"/>
  <c r="L277" i="2" s="1"/>
  <c r="M277" i="2" s="1"/>
  <c r="I277" i="2"/>
  <c r="H277" i="2"/>
  <c r="J277" i="2"/>
  <c r="E277" i="2"/>
  <c r="B209" i="2"/>
  <c r="B1054" i="2"/>
  <c r="B1909" i="2"/>
  <c r="N1965" i="2"/>
  <c r="K1965" i="2" s="1"/>
  <c r="L1965" i="2" s="1"/>
  <c r="M1965" i="2" s="1"/>
  <c r="F1965" i="2"/>
  <c r="E1965" i="2"/>
  <c r="J1965" i="2"/>
  <c r="I1965" i="2"/>
  <c r="H1965" i="2"/>
  <c r="J1653" i="2"/>
  <c r="H1653" i="2"/>
  <c r="F1653" i="2"/>
  <c r="N1653" i="2"/>
  <c r="K1653" i="2" s="1"/>
  <c r="L1653" i="2" s="1"/>
  <c r="M1653" i="2" s="1"/>
  <c r="I1653" i="2"/>
  <c r="E1653" i="2"/>
  <c r="N1399" i="2"/>
  <c r="K1399" i="2" s="1"/>
  <c r="L1399" i="2" s="1"/>
  <c r="M1399" i="2" s="1"/>
  <c r="F1399" i="2"/>
  <c r="J1399" i="2"/>
  <c r="I1399" i="2"/>
  <c r="H1399" i="2"/>
  <c r="E1399" i="2"/>
  <c r="F1275" i="2"/>
  <c r="N1275" i="2" s="1"/>
  <c r="K1275" i="2" s="1"/>
  <c r="L1275" i="2" s="1"/>
  <c r="M1275" i="2" s="1"/>
  <c r="N401" i="2"/>
  <c r="K401" i="2" s="1"/>
  <c r="L401" i="2" s="1"/>
  <c r="M401" i="2" s="1"/>
  <c r="I401" i="2"/>
  <c r="E401" i="2"/>
  <c r="J401" i="2"/>
  <c r="H401" i="2"/>
  <c r="B545" i="2"/>
  <c r="B1171" i="2"/>
  <c r="B2176" i="2"/>
  <c r="J530" i="2"/>
  <c r="E530" i="2"/>
  <c r="N530" i="2"/>
  <c r="K530" i="2" s="1"/>
  <c r="L530" i="2" s="1"/>
  <c r="M530" i="2" s="1"/>
  <c r="I530" i="2"/>
  <c r="H530" i="2"/>
  <c r="F530" i="2"/>
  <c r="N434" i="2"/>
  <c r="K434" i="2" s="1"/>
  <c r="L434" i="2" s="1"/>
  <c r="M434" i="2" s="1"/>
  <c r="F2391" i="2"/>
  <c r="J2391" i="2"/>
  <c r="H2391" i="2"/>
  <c r="E2391" i="2"/>
  <c r="I2391" i="2"/>
  <c r="N2391" i="2"/>
  <c r="K2391" i="2" s="1"/>
  <c r="L2391" i="2" s="1"/>
  <c r="M2391" i="2" s="1"/>
  <c r="N2145" i="2"/>
  <c r="K2145" i="2" s="1"/>
  <c r="L2145" i="2" s="1"/>
  <c r="M2145" i="2" s="1"/>
  <c r="F2145" i="2"/>
  <c r="J2145" i="2"/>
  <c r="I2145" i="2"/>
  <c r="H2145" i="2"/>
  <c r="E2145" i="2"/>
  <c r="E2330" i="2"/>
  <c r="H2330" i="2"/>
  <c r="N2330" i="2"/>
  <c r="K2330" i="2" s="1"/>
  <c r="L2330" i="2" s="1"/>
  <c r="M2330" i="2" s="1"/>
  <c r="J2330" i="2"/>
  <c r="F2330" i="2"/>
  <c r="I2330" i="2"/>
  <c r="N2100" i="2"/>
  <c r="K2100" i="2" s="1"/>
  <c r="L2100" i="2" s="1"/>
  <c r="M2100" i="2" s="1"/>
  <c r="J2100" i="2"/>
  <c r="I2100" i="2"/>
  <c r="H2100" i="2"/>
  <c r="F2100" i="2"/>
  <c r="E2100" i="2"/>
  <c r="J1781" i="2"/>
  <c r="N1781" i="2"/>
  <c r="K1781" i="2" s="1"/>
  <c r="L1781" i="2" s="1"/>
  <c r="M1781" i="2" s="1"/>
  <c r="E1781" i="2"/>
  <c r="I1781" i="2"/>
  <c r="H1781" i="2"/>
  <c r="F1781" i="2"/>
  <c r="E1779" i="2"/>
  <c r="N1779" i="2"/>
  <c r="K1779" i="2" s="1"/>
  <c r="L1779" i="2" s="1"/>
  <c r="M1779" i="2" s="1"/>
  <c r="F1779" i="2"/>
  <c r="J1779" i="2"/>
  <c r="I1779" i="2"/>
  <c r="H1779" i="2"/>
  <c r="J1918" i="2"/>
  <c r="N1918" i="2"/>
  <c r="K1918" i="2" s="1"/>
  <c r="L1918" i="2" s="1"/>
  <c r="M1918" i="2" s="1"/>
  <c r="F1918" i="2"/>
  <c r="E1918" i="2"/>
  <c r="I1918" i="2"/>
  <c r="H1918" i="2"/>
  <c r="N2021" i="2"/>
  <c r="K2021" i="2" s="1"/>
  <c r="L2021" i="2" s="1"/>
  <c r="M2021" i="2" s="1"/>
  <c r="I2021" i="2"/>
  <c r="H2021" i="2"/>
  <c r="F2021" i="2"/>
  <c r="E2021" i="2"/>
  <c r="J2021" i="2"/>
  <c r="J1973" i="2"/>
  <c r="I1973" i="2"/>
  <c r="F1973" i="2"/>
  <c r="E1973" i="2"/>
  <c r="N1973" i="2"/>
  <c r="K1973" i="2" s="1"/>
  <c r="L1973" i="2" s="1"/>
  <c r="M1973" i="2" s="1"/>
  <c r="H1973" i="2"/>
  <c r="J1959" i="2"/>
  <c r="F1959" i="2"/>
  <c r="N1959" i="2"/>
  <c r="K1959" i="2" s="1"/>
  <c r="L1959" i="2" s="1"/>
  <c r="M1959" i="2" s="1"/>
  <c r="I1959" i="2"/>
  <c r="H1959" i="2"/>
  <c r="E1959" i="2"/>
  <c r="J1951" i="2"/>
  <c r="N1951" i="2"/>
  <c r="K1951" i="2" s="1"/>
  <c r="L1951" i="2" s="1"/>
  <c r="M1951" i="2" s="1"/>
  <c r="I1951" i="2"/>
  <c r="H1951" i="2"/>
  <c r="F1951" i="2"/>
  <c r="E1951" i="2"/>
  <c r="F1958" i="2"/>
  <c r="E1958" i="2"/>
  <c r="I1958" i="2"/>
  <c r="H1958" i="2"/>
  <c r="N1958" i="2"/>
  <c r="K1958" i="2" s="1"/>
  <c r="L1958" i="2" s="1"/>
  <c r="M1958" i="2" s="1"/>
  <c r="J1958" i="2"/>
  <c r="J1515" i="2"/>
  <c r="I1515" i="2"/>
  <c r="N1515" i="2"/>
  <c r="K1515" i="2" s="1"/>
  <c r="L1515" i="2" s="1"/>
  <c r="M1515" i="2" s="1"/>
  <c r="H1515" i="2"/>
  <c r="F1515" i="2"/>
  <c r="E1515" i="2"/>
  <c r="E1675" i="2"/>
  <c r="J1675" i="2"/>
  <c r="I1675" i="2"/>
  <c r="H1675" i="2"/>
  <c r="N1675" i="2"/>
  <c r="K1675" i="2" s="1"/>
  <c r="L1675" i="2" s="1"/>
  <c r="M1675" i="2" s="1"/>
  <c r="F1675" i="2"/>
  <c r="F612" i="2"/>
  <c r="N612" i="2" s="1"/>
  <c r="K612" i="2" s="1"/>
  <c r="J647" i="2"/>
  <c r="I647" i="2"/>
  <c r="N647" i="2"/>
  <c r="K647" i="2" s="1"/>
  <c r="L647" i="2" s="1"/>
  <c r="M647" i="2" s="1"/>
  <c r="H647" i="2"/>
  <c r="F647" i="2"/>
  <c r="E647" i="2"/>
  <c r="J218" i="2"/>
  <c r="I218" i="2"/>
  <c r="H218" i="2"/>
  <c r="F218" i="2"/>
  <c r="E218" i="2"/>
  <c r="N218" i="2"/>
  <c r="K218" i="2" s="1"/>
  <c r="L218" i="2" s="1"/>
  <c r="M218" i="2" s="1"/>
  <c r="H178" i="2"/>
  <c r="F178" i="2"/>
  <c r="E178" i="2"/>
  <c r="N178" i="2"/>
  <c r="K178" i="2" s="1"/>
  <c r="L178" i="2" s="1"/>
  <c r="M178" i="2" s="1"/>
  <c r="J178" i="2"/>
  <c r="I178" i="2"/>
  <c r="I515" i="2"/>
  <c r="J515" i="2"/>
  <c r="H515" i="2"/>
  <c r="F515" i="2"/>
  <c r="E515" i="2"/>
  <c r="N515" i="2"/>
  <c r="K515" i="2" s="1"/>
  <c r="L515" i="2" s="1"/>
  <c r="M515" i="2" s="1"/>
  <c r="H503" i="2"/>
  <c r="F503" i="2"/>
  <c r="N503" i="2" s="1"/>
  <c r="K503" i="2" s="1"/>
  <c r="J511" i="2"/>
  <c r="I511" i="2"/>
  <c r="H511" i="2"/>
  <c r="N511" i="2"/>
  <c r="K511" i="2" s="1"/>
  <c r="L511" i="2" s="1"/>
  <c r="M511" i="2" s="1"/>
  <c r="F511" i="2"/>
  <c r="E511" i="2"/>
  <c r="J245" i="2"/>
  <c r="I245" i="2"/>
  <c r="F245" i="2"/>
  <c r="E245" i="2"/>
  <c r="N245" i="2"/>
  <c r="K245" i="2" s="1"/>
  <c r="L245" i="2" s="1"/>
  <c r="M245" i="2" s="1"/>
  <c r="H245" i="2"/>
  <c r="I249" i="2"/>
  <c r="B279" i="2"/>
  <c r="B1153" i="2"/>
  <c r="B38" i="2"/>
  <c r="B160" i="2"/>
  <c r="B435" i="2"/>
  <c r="B500" i="2"/>
  <c r="B586" i="2"/>
  <c r="B482" i="2"/>
  <c r="B1577" i="2"/>
  <c r="B489" i="2"/>
  <c r="B494" i="2"/>
  <c r="B1297" i="2"/>
  <c r="B748" i="2"/>
  <c r="B1278" i="2"/>
  <c r="B955" i="2"/>
  <c r="B970" i="2"/>
  <c r="B1050" i="2"/>
  <c r="B1030" i="2"/>
  <c r="B1447" i="2"/>
  <c r="B1176" i="2"/>
  <c r="B1396" i="2"/>
  <c r="B1444" i="2"/>
  <c r="B1397" i="2"/>
  <c r="B1611" i="2"/>
  <c r="B1778" i="2"/>
  <c r="B1899" i="2"/>
  <c r="B1785" i="2"/>
  <c r="B1833" i="2"/>
  <c r="B1853" i="2"/>
  <c r="B1994" i="2"/>
  <c r="B2011" i="2"/>
  <c r="B1980" i="2"/>
  <c r="B2079" i="2"/>
  <c r="B2371" i="2"/>
  <c r="B2331" i="2"/>
  <c r="N38" i="2"/>
  <c r="K38" i="2" s="1"/>
  <c r="L38" i="2" s="1"/>
  <c r="M38" i="2" s="1"/>
  <c r="F38" i="2"/>
  <c r="E38" i="2"/>
  <c r="H38" i="2"/>
  <c r="I38" i="2"/>
  <c r="J38" i="2"/>
  <c r="N45" i="2"/>
  <c r="K45" i="2" s="1"/>
  <c r="L45" i="2" s="1"/>
  <c r="M45" i="2" s="1"/>
  <c r="H45" i="2"/>
  <c r="I45" i="2"/>
  <c r="J45" i="2"/>
  <c r="E45" i="2"/>
  <c r="F45" i="2"/>
  <c r="I239" i="2"/>
  <c r="H239" i="2"/>
  <c r="F239" i="2"/>
  <c r="E239" i="2"/>
  <c r="J239" i="2"/>
  <c r="N239" i="2"/>
  <c r="K239" i="2" s="1"/>
  <c r="L239" i="2" s="1"/>
  <c r="M239" i="2" s="1"/>
  <c r="H162" i="2"/>
  <c r="F162" i="2"/>
  <c r="E162" i="2"/>
  <c r="N162" i="2"/>
  <c r="K162" i="2" s="1"/>
  <c r="L162" i="2" s="1"/>
  <c r="M162" i="2" s="1"/>
  <c r="J162" i="2"/>
  <c r="I162" i="2"/>
  <c r="N489" i="2"/>
  <c r="K489" i="2" s="1"/>
  <c r="L489" i="2" s="1"/>
  <c r="M489" i="2" s="1"/>
  <c r="N488" i="2"/>
  <c r="K488" i="2" s="1"/>
  <c r="N495" i="2"/>
  <c r="K495" i="2" s="1"/>
  <c r="H141" i="2"/>
  <c r="I141" i="2" s="1"/>
  <c r="F141" i="2"/>
  <c r="N141" i="2" s="1"/>
  <c r="K141" i="2" s="1"/>
  <c r="L141" i="2" s="1"/>
  <c r="M141" i="2" s="1"/>
  <c r="J229" i="2"/>
  <c r="I229" i="2"/>
  <c r="N229" i="2"/>
  <c r="K229" i="2" s="1"/>
  <c r="L229" i="2" s="1"/>
  <c r="M229" i="2" s="1"/>
  <c r="F229" i="2"/>
  <c r="E229" i="2"/>
  <c r="H229" i="2"/>
  <c r="H880" i="2"/>
  <c r="I880" i="2" s="1"/>
  <c r="F880" i="2"/>
  <c r="N880" i="2" s="1"/>
  <c r="K880" i="2" s="1"/>
  <c r="L880" i="2" s="1"/>
  <c r="M880" i="2" s="1"/>
  <c r="E891" i="2"/>
  <c r="F891" i="2"/>
  <c r="I891" i="2"/>
  <c r="N891" i="2"/>
  <c r="K891" i="2" s="1"/>
  <c r="L891" i="2" s="1"/>
  <c r="M891" i="2" s="1"/>
  <c r="J891" i="2"/>
  <c r="H891" i="2"/>
  <c r="H870" i="2"/>
  <c r="I870" i="2" s="1"/>
  <c r="F870" i="2"/>
  <c r="N870" i="2" s="1"/>
  <c r="K870" i="2" s="1"/>
  <c r="L870" i="2" s="1"/>
  <c r="M870" i="2" s="1"/>
  <c r="H874" i="2"/>
  <c r="I874" i="2" s="1"/>
  <c r="F874" i="2"/>
  <c r="N874" i="2" s="1"/>
  <c r="K874" i="2" s="1"/>
  <c r="J474" i="2"/>
  <c r="I474" i="2"/>
  <c r="H474" i="2"/>
  <c r="E474" i="2"/>
  <c r="N474" i="2"/>
  <c r="K474" i="2" s="1"/>
  <c r="L474" i="2" s="1"/>
  <c r="M474" i="2" s="1"/>
  <c r="N436" i="2"/>
  <c r="K436" i="2" s="1"/>
  <c r="L436" i="2" s="1"/>
  <c r="M436" i="2" s="1"/>
  <c r="J469" i="2"/>
  <c r="I469" i="2"/>
  <c r="H469" i="2"/>
  <c r="E469" i="2"/>
  <c r="N469" i="2"/>
  <c r="K469" i="2" s="1"/>
  <c r="L469" i="2" s="1"/>
  <c r="M469" i="2" s="1"/>
  <c r="J118" i="2"/>
  <c r="I118" i="2"/>
  <c r="H118" i="2"/>
  <c r="F118" i="2"/>
  <c r="E118" i="2"/>
  <c r="N118" i="2"/>
  <c r="K118" i="2" s="1"/>
  <c r="L118" i="2" s="1"/>
  <c r="M118" i="2" s="1"/>
  <c r="N259" i="2"/>
  <c r="K259" i="2" s="1"/>
  <c r="H259" i="2"/>
  <c r="I259" i="2" s="1"/>
  <c r="N298" i="2"/>
  <c r="K298" i="2" s="1"/>
  <c r="L298" i="2" s="1"/>
  <c r="M298" i="2" s="1"/>
  <c r="J298" i="2"/>
  <c r="H298" i="2"/>
  <c r="I298" i="2"/>
  <c r="E298" i="2"/>
  <c r="H269" i="2"/>
  <c r="I269" i="2" s="1"/>
  <c r="N269" i="2"/>
  <c r="K269" i="2" s="1"/>
  <c r="J299" i="2"/>
  <c r="I299" i="2"/>
  <c r="H299" i="2"/>
  <c r="E299" i="2"/>
  <c r="N299" i="2"/>
  <c r="K299" i="2" s="1"/>
  <c r="L299" i="2" s="1"/>
  <c r="M299" i="2" s="1"/>
  <c r="N261" i="2"/>
  <c r="K261" i="2" s="1"/>
  <c r="H261" i="2"/>
  <c r="N285" i="2"/>
  <c r="K285" i="2" s="1"/>
  <c r="L285" i="2" s="1"/>
  <c r="M285" i="2" s="1"/>
  <c r="J285" i="2"/>
  <c r="I285" i="2"/>
  <c r="H285" i="2"/>
  <c r="E285" i="2"/>
  <c r="I18" i="2"/>
  <c r="F18" i="2"/>
  <c r="N18" i="2" s="1"/>
  <c r="K18" i="2" s="1"/>
  <c r="H305" i="2"/>
  <c r="E305" i="2"/>
  <c r="N305" i="2"/>
  <c r="K305" i="2" s="1"/>
  <c r="L305" i="2" s="1"/>
  <c r="M305" i="2" s="1"/>
  <c r="I305" i="2"/>
  <c r="J305" i="2"/>
  <c r="H262" i="2"/>
  <c r="I262" i="2" s="1"/>
  <c r="N262" i="2"/>
  <c r="K262" i="2" s="1"/>
  <c r="H254" i="2"/>
  <c r="I254" i="2" s="1"/>
  <c r="F254" i="2"/>
  <c r="N254" i="2" s="1"/>
  <c r="K254" i="2" s="1"/>
  <c r="F57" i="2"/>
  <c r="E57" i="2"/>
  <c r="N57" i="2"/>
  <c r="K57" i="2" s="1"/>
  <c r="L57" i="2" s="1"/>
  <c r="M57" i="2" s="1"/>
  <c r="H57" i="2"/>
  <c r="J57" i="2"/>
  <c r="I57" i="2"/>
  <c r="N119" i="2"/>
  <c r="K119" i="2" s="1"/>
  <c r="L119" i="2" s="1"/>
  <c r="M119" i="2" s="1"/>
  <c r="H119" i="2"/>
  <c r="F119" i="2"/>
  <c r="E119" i="2"/>
  <c r="J119" i="2"/>
  <c r="I119" i="2"/>
  <c r="N258" i="2"/>
  <c r="K258" i="2" s="1"/>
  <c r="H258" i="2"/>
  <c r="I258" i="2" s="1"/>
  <c r="N62" i="2"/>
  <c r="K62" i="2" s="1"/>
  <c r="L62" i="2" s="1"/>
  <c r="M62" i="2" s="1"/>
  <c r="J62" i="2"/>
  <c r="I62" i="2"/>
  <c r="H62" i="2"/>
  <c r="F62" i="2"/>
  <c r="E62" i="2"/>
  <c r="F35" i="2"/>
  <c r="J35" i="2"/>
  <c r="I35" i="2"/>
  <c r="H35" i="2"/>
  <c r="E35" i="2"/>
  <c r="N35" i="2"/>
  <c r="K35" i="2" s="1"/>
  <c r="L35" i="2" s="1"/>
  <c r="M35" i="2" s="1"/>
  <c r="J897" i="2"/>
  <c r="I897" i="2"/>
  <c r="H897" i="2"/>
  <c r="F897" i="2"/>
  <c r="E897" i="2"/>
  <c r="N897" i="2"/>
  <c r="K897" i="2" s="1"/>
  <c r="L897" i="2" s="1"/>
  <c r="M897" i="2" s="1"/>
  <c r="F877" i="2"/>
  <c r="N877" i="2" s="1"/>
  <c r="K877" i="2" s="1"/>
  <c r="L877" i="2" s="1"/>
  <c r="M877" i="2" s="1"/>
  <c r="H877" i="2"/>
  <c r="I877" i="2" s="1"/>
  <c r="N887" i="2"/>
  <c r="K887" i="2" s="1"/>
  <c r="L887" i="2" s="1"/>
  <c r="M887" i="2" s="1"/>
  <c r="J887" i="2"/>
  <c r="I887" i="2"/>
  <c r="H887" i="2"/>
  <c r="E887" i="2"/>
  <c r="F887" i="2"/>
  <c r="H443" i="2"/>
  <c r="N443" i="2"/>
  <c r="K443" i="2" s="1"/>
  <c r="L443" i="2" s="1"/>
  <c r="M443" i="2" s="1"/>
  <c r="J466" i="2"/>
  <c r="I466" i="2"/>
  <c r="H466" i="2"/>
  <c r="N466" i="2"/>
  <c r="K466" i="2" s="1"/>
  <c r="L466" i="2" s="1"/>
  <c r="M466" i="2" s="1"/>
  <c r="E466" i="2"/>
  <c r="J486" i="2"/>
  <c r="H486" i="2"/>
  <c r="N486" i="2"/>
  <c r="K486" i="2" s="1"/>
  <c r="L486" i="2" s="1"/>
  <c r="M486" i="2" s="1"/>
  <c r="I486" i="2"/>
  <c r="E486" i="2"/>
  <c r="N116" i="2"/>
  <c r="K116" i="2" s="1"/>
  <c r="L116" i="2" s="1"/>
  <c r="M116" i="2" s="1"/>
  <c r="J116" i="2"/>
  <c r="I116" i="2"/>
  <c r="H116" i="2"/>
  <c r="F116" i="2"/>
  <c r="E116" i="2"/>
  <c r="F77" i="2"/>
  <c r="N77" i="2" s="1"/>
  <c r="K77" i="2" s="1"/>
  <c r="H77" i="2"/>
  <c r="I77" i="2" s="1"/>
  <c r="I207" i="2"/>
  <c r="F72" i="2"/>
  <c r="N72" i="2" s="1"/>
  <c r="K72" i="2" s="1"/>
  <c r="H72" i="2"/>
  <c r="I72" i="2" s="1"/>
  <c r="I15" i="2"/>
  <c r="N15" i="2"/>
  <c r="K15" i="2" s="1"/>
  <c r="L15" i="2" s="1"/>
  <c r="M15" i="2" s="1"/>
  <c r="F611" i="2"/>
  <c r="N611" i="2" s="1"/>
  <c r="K611" i="2" s="1"/>
  <c r="N665" i="2"/>
  <c r="K665" i="2" s="1"/>
  <c r="L665" i="2" s="1"/>
  <c r="M665" i="2" s="1"/>
  <c r="F665" i="2"/>
  <c r="H665" i="2"/>
  <c r="J665" i="2"/>
  <c r="I665" i="2"/>
  <c r="E665" i="2"/>
  <c r="F621" i="2"/>
  <c r="N621" i="2" s="1"/>
  <c r="K621" i="2" s="1"/>
  <c r="L621" i="2" s="1"/>
  <c r="M621" i="2" s="1"/>
  <c r="H621" i="2"/>
  <c r="I621" i="2" s="1"/>
  <c r="J900" i="2"/>
  <c r="I900" i="2"/>
  <c r="H900" i="2"/>
  <c r="E900" i="2"/>
  <c r="N900" i="2"/>
  <c r="K900" i="2" s="1"/>
  <c r="L900" i="2" s="1"/>
  <c r="M900" i="2" s="1"/>
  <c r="F900" i="2"/>
  <c r="N898" i="2"/>
  <c r="K898" i="2" s="1"/>
  <c r="L898" i="2" s="1"/>
  <c r="M898" i="2" s="1"/>
  <c r="E898" i="2"/>
  <c r="J898" i="2"/>
  <c r="I898" i="2"/>
  <c r="H898" i="2"/>
  <c r="F898" i="2"/>
  <c r="N903" i="2"/>
  <c r="K903" i="2" s="1"/>
  <c r="L903" i="2" s="1"/>
  <c r="M903" i="2" s="1"/>
  <c r="J903" i="2"/>
  <c r="H903" i="2"/>
  <c r="E903" i="2"/>
  <c r="F903" i="2"/>
  <c r="I903" i="2"/>
  <c r="H479" i="2"/>
  <c r="E479" i="2"/>
  <c r="N479" i="2"/>
  <c r="K479" i="2" s="1"/>
  <c r="L479" i="2" s="1"/>
  <c r="M479" i="2" s="1"/>
  <c r="J479" i="2"/>
  <c r="I479" i="2"/>
  <c r="N430" i="2"/>
  <c r="K430" i="2" s="1"/>
  <c r="L430" i="2" s="1"/>
  <c r="M430" i="2" s="1"/>
  <c r="H439" i="2"/>
  <c r="I439" i="2" s="1"/>
  <c r="N439" i="2"/>
  <c r="K439" i="2" s="1"/>
  <c r="J97" i="2"/>
  <c r="I97" i="2"/>
  <c r="F97" i="2"/>
  <c r="H97" i="2"/>
  <c r="E97" i="2"/>
  <c r="N97" i="2"/>
  <c r="K97" i="2" s="1"/>
  <c r="L97" i="2" s="1"/>
  <c r="M97" i="2" s="1"/>
  <c r="F88" i="2"/>
  <c r="N88" i="2" s="1"/>
  <c r="K88" i="2" s="1"/>
  <c r="L88" i="2" s="1"/>
  <c r="M88" i="2" s="1"/>
  <c r="H88" i="2"/>
  <c r="I88" i="2" s="1"/>
  <c r="J292" i="2"/>
  <c r="I292" i="2"/>
  <c r="H292" i="2"/>
  <c r="E292" i="2"/>
  <c r="N292" i="2"/>
  <c r="K292" i="2" s="1"/>
  <c r="L292" i="2" s="1"/>
  <c r="M292" i="2" s="1"/>
  <c r="H741" i="2"/>
  <c r="I741" i="2" s="1"/>
  <c r="F741" i="2"/>
  <c r="N741" i="2" s="1"/>
  <c r="K741" i="2" s="1"/>
  <c r="L741" i="2" s="1"/>
  <c r="M741" i="2" s="1"/>
  <c r="F749" i="2"/>
  <c r="N749" i="2" s="1"/>
  <c r="K749" i="2" s="1"/>
  <c r="H749" i="2"/>
  <c r="I749" i="2" s="1"/>
  <c r="I215" i="2"/>
  <c r="H215" i="2"/>
  <c r="F215" i="2"/>
  <c r="E215" i="2"/>
  <c r="N215" i="2"/>
  <c r="K215" i="2" s="1"/>
  <c r="L215" i="2" s="1"/>
  <c r="M215" i="2" s="1"/>
  <c r="J215" i="2"/>
  <c r="F852" i="2"/>
  <c r="N852" i="2" s="1"/>
  <c r="K852" i="2" s="1"/>
  <c r="F861" i="2"/>
  <c r="N861" i="2" s="1"/>
  <c r="K861" i="2" s="1"/>
  <c r="H861" i="2"/>
  <c r="F856" i="2"/>
  <c r="N856" i="2" s="1"/>
  <c r="K856" i="2" s="1"/>
  <c r="L856" i="2" s="1"/>
  <c r="M856" i="2" s="1"/>
  <c r="H444" i="2"/>
  <c r="I444" i="2" s="1"/>
  <c r="N444" i="2"/>
  <c r="K444" i="2" s="1"/>
  <c r="L444" i="2" s="1"/>
  <c r="M444" i="2" s="1"/>
  <c r="H446" i="2"/>
  <c r="I446" i="2" s="1"/>
  <c r="N446" i="2"/>
  <c r="K446" i="2" s="1"/>
  <c r="H455" i="2"/>
  <c r="E455" i="2"/>
  <c r="N455" i="2"/>
  <c r="K455" i="2" s="1"/>
  <c r="L455" i="2" s="1"/>
  <c r="M455" i="2" s="1"/>
  <c r="J455" i="2"/>
  <c r="I455" i="2"/>
  <c r="H76" i="2"/>
  <c r="I76" i="2" s="1"/>
  <c r="F76" i="2"/>
  <c r="N76" i="2" s="1"/>
  <c r="K76" i="2" s="1"/>
  <c r="F104" i="2"/>
  <c r="E104" i="2"/>
  <c r="N104" i="2"/>
  <c r="K104" i="2" s="1"/>
  <c r="L104" i="2" s="1"/>
  <c r="M104" i="2" s="1"/>
  <c r="J104" i="2"/>
  <c r="I104" i="2"/>
  <c r="H104" i="2"/>
  <c r="E294" i="2"/>
  <c r="N294" i="2"/>
  <c r="K294" i="2" s="1"/>
  <c r="L294" i="2" s="1"/>
  <c r="M294" i="2" s="1"/>
  <c r="J294" i="2"/>
  <c r="I294" i="2"/>
  <c r="H294" i="2"/>
  <c r="I231" i="2"/>
  <c r="H231" i="2"/>
  <c r="F231" i="2"/>
  <c r="E231" i="2"/>
  <c r="J231" i="2"/>
  <c r="N231" i="2"/>
  <c r="K231" i="2" s="1"/>
  <c r="L231" i="2" s="1"/>
  <c r="M231" i="2" s="1"/>
  <c r="F120" i="2"/>
  <c r="E120" i="2"/>
  <c r="N120" i="2"/>
  <c r="K120" i="2" s="1"/>
  <c r="L120" i="2" s="1"/>
  <c r="M120" i="2" s="1"/>
  <c r="H120" i="2"/>
  <c r="I120" i="2"/>
  <c r="J120" i="2"/>
  <c r="N275" i="2"/>
  <c r="K275" i="2" s="1"/>
  <c r="L275" i="2" s="1"/>
  <c r="M275" i="2" s="1"/>
  <c r="H275" i="2"/>
  <c r="J275" i="2"/>
  <c r="I275" i="2"/>
  <c r="E275" i="2"/>
  <c r="N290" i="2"/>
  <c r="K290" i="2" s="1"/>
  <c r="L290" i="2" s="1"/>
  <c r="M290" i="2" s="1"/>
  <c r="J290" i="2"/>
  <c r="H290" i="2"/>
  <c r="E290" i="2"/>
  <c r="I290" i="2"/>
  <c r="H271" i="2"/>
  <c r="N271" i="2"/>
  <c r="K271" i="2" s="1"/>
  <c r="H191" i="2"/>
  <c r="I191" i="2" s="1"/>
  <c r="F191" i="2"/>
  <c r="N191" i="2" s="1"/>
  <c r="K191" i="2" s="1"/>
  <c r="L191" i="2" s="1"/>
  <c r="M191" i="2" s="1"/>
  <c r="N164" i="2"/>
  <c r="K164" i="2" s="1"/>
  <c r="L164" i="2" s="1"/>
  <c r="M164" i="2" s="1"/>
  <c r="J164" i="2"/>
  <c r="I164" i="2"/>
  <c r="H164" i="2"/>
  <c r="F164" i="2"/>
  <c r="E164" i="2"/>
  <c r="F504" i="2"/>
  <c r="N504" i="2" s="1"/>
  <c r="K504" i="2" s="1"/>
  <c r="L504" i="2" s="1"/>
  <c r="M504" i="2" s="1"/>
  <c r="H504" i="2"/>
  <c r="I504" i="2" s="1"/>
  <c r="F509" i="2"/>
  <c r="N509" i="2" s="1"/>
  <c r="K509" i="2" s="1"/>
  <c r="H509" i="2"/>
  <c r="I509" i="2" s="1"/>
  <c r="I247" i="2"/>
  <c r="H247" i="2"/>
  <c r="F247" i="2"/>
  <c r="E247" i="2"/>
  <c r="J247" i="2"/>
  <c r="N247" i="2"/>
  <c r="K247" i="2" s="1"/>
  <c r="L247" i="2" s="1"/>
  <c r="M247" i="2" s="1"/>
  <c r="I332" i="2"/>
  <c r="E278" i="2"/>
  <c r="J278" i="2"/>
  <c r="I278" i="2"/>
  <c r="H278" i="2"/>
  <c r="N278" i="2"/>
  <c r="K278" i="2" s="1"/>
  <c r="L278" i="2" s="1"/>
  <c r="M278" i="2" s="1"/>
  <c r="H265" i="2"/>
  <c r="I265" i="2" s="1"/>
  <c r="N265" i="2"/>
  <c r="K265" i="2" s="1"/>
  <c r="L265" i="2" s="1"/>
  <c r="M265" i="2" s="1"/>
  <c r="J287" i="2"/>
  <c r="I287" i="2"/>
  <c r="H287" i="2"/>
  <c r="N287" i="2"/>
  <c r="K287" i="2" s="1"/>
  <c r="L287" i="2" s="1"/>
  <c r="M287" i="2" s="1"/>
  <c r="E287" i="2"/>
  <c r="I203" i="2"/>
  <c r="N32" i="2"/>
  <c r="K32" i="2" s="1"/>
  <c r="L32" i="2" s="1"/>
  <c r="M32" i="2" s="1"/>
  <c r="J32" i="2"/>
  <c r="E32" i="2"/>
  <c r="H32" i="2"/>
  <c r="I32" i="2"/>
  <c r="F32" i="2"/>
  <c r="N29" i="2"/>
  <c r="K29" i="2" s="1"/>
  <c r="L29" i="2" s="1"/>
  <c r="M29" i="2" s="1"/>
  <c r="H29" i="2"/>
  <c r="J29" i="2"/>
  <c r="I29" i="2"/>
  <c r="F29" i="2"/>
  <c r="E29" i="2"/>
  <c r="J26" i="2"/>
  <c r="E26" i="2"/>
  <c r="H26" i="2"/>
  <c r="F26" i="2"/>
  <c r="I26" i="2"/>
  <c r="N26" i="2"/>
  <c r="K26" i="2" s="1"/>
  <c r="L26" i="2" s="1"/>
  <c r="M26" i="2" s="1"/>
  <c r="F2388" i="2"/>
  <c r="I2388" i="2"/>
  <c r="H2388" i="2"/>
  <c r="N2388" i="2"/>
  <c r="K2388" i="2" s="1"/>
  <c r="L2388" i="2" s="1"/>
  <c r="M2388" i="2" s="1"/>
  <c r="J2388" i="2"/>
  <c r="E2388" i="2"/>
  <c r="I2389" i="2"/>
  <c r="J2389" i="2"/>
  <c r="F2389" i="2"/>
  <c r="H2389" i="2"/>
  <c r="N2389" i="2"/>
  <c r="K2389" i="2" s="1"/>
  <c r="L2389" i="2" s="1"/>
  <c r="M2389" i="2" s="1"/>
  <c r="E2389" i="2"/>
  <c r="J2261" i="2"/>
  <c r="N2261" i="2"/>
  <c r="K2261" i="2" s="1"/>
  <c r="L2261" i="2" s="1"/>
  <c r="M2261" i="2" s="1"/>
  <c r="I2261" i="2"/>
  <c r="H2261" i="2"/>
  <c r="F2261" i="2"/>
  <c r="E2261" i="2"/>
  <c r="H2305" i="2"/>
  <c r="E2305" i="2"/>
  <c r="I2305" i="2"/>
  <c r="F2305" i="2"/>
  <c r="N2305" i="2"/>
  <c r="K2305" i="2" s="1"/>
  <c r="L2305" i="2" s="1"/>
  <c r="M2305" i="2" s="1"/>
  <c r="J2305" i="2"/>
  <c r="E2346" i="2"/>
  <c r="N2346" i="2"/>
  <c r="K2346" i="2" s="1"/>
  <c r="L2346" i="2" s="1"/>
  <c r="M2346" i="2" s="1"/>
  <c r="J2346" i="2"/>
  <c r="H2346" i="2"/>
  <c r="I2346" i="2"/>
  <c r="F2346" i="2"/>
  <c r="H2289" i="2"/>
  <c r="E2289" i="2"/>
  <c r="F2289" i="2"/>
  <c r="J2289" i="2"/>
  <c r="N2289" i="2"/>
  <c r="K2289" i="2" s="1"/>
  <c r="L2289" i="2" s="1"/>
  <c r="M2289" i="2" s="1"/>
  <c r="I2289" i="2"/>
  <c r="E2343" i="2"/>
  <c r="H2343" i="2"/>
  <c r="I2343" i="2"/>
  <c r="F2343" i="2"/>
  <c r="N2343" i="2"/>
  <c r="K2343" i="2" s="1"/>
  <c r="L2343" i="2" s="1"/>
  <c r="M2343" i="2" s="1"/>
  <c r="J2343" i="2"/>
  <c r="E2059" i="2"/>
  <c r="N2059" i="2"/>
  <c r="K2059" i="2" s="1"/>
  <c r="L2059" i="2" s="1"/>
  <c r="M2059" i="2" s="1"/>
  <c r="J2059" i="2"/>
  <c r="I2059" i="2"/>
  <c r="H2059" i="2"/>
  <c r="F2059" i="2"/>
  <c r="N2206" i="2"/>
  <c r="K2206" i="2" s="1"/>
  <c r="L2206" i="2" s="1"/>
  <c r="M2206" i="2" s="1"/>
  <c r="E2206" i="2"/>
  <c r="J2206" i="2"/>
  <c r="I2206" i="2"/>
  <c r="H2206" i="2"/>
  <c r="F2206" i="2"/>
  <c r="F2193" i="2"/>
  <c r="N2193" i="2"/>
  <c r="K2193" i="2" s="1"/>
  <c r="L2193" i="2" s="1"/>
  <c r="M2193" i="2" s="1"/>
  <c r="H2193" i="2"/>
  <c r="I2193" i="2"/>
  <c r="E2193" i="2"/>
  <c r="J2193" i="2"/>
  <c r="H2223" i="2"/>
  <c r="J2223" i="2"/>
  <c r="F2223" i="2"/>
  <c r="E2223" i="2"/>
  <c r="I2223" i="2"/>
  <c r="N2223" i="2"/>
  <c r="K2223" i="2" s="1"/>
  <c r="L2223" i="2" s="1"/>
  <c r="M2223" i="2" s="1"/>
  <c r="J2056" i="2"/>
  <c r="I2056" i="2"/>
  <c r="N2056" i="2"/>
  <c r="K2056" i="2" s="1"/>
  <c r="L2056" i="2" s="1"/>
  <c r="M2056" i="2" s="1"/>
  <c r="H2056" i="2"/>
  <c r="F2056" i="2"/>
  <c r="E2056" i="2"/>
  <c r="N1925" i="2"/>
  <c r="K1925" i="2" s="1"/>
  <c r="L1925" i="2" s="1"/>
  <c r="M1925" i="2" s="1"/>
  <c r="J1925" i="2"/>
  <c r="I1925" i="2"/>
  <c r="H1925" i="2"/>
  <c r="F1925" i="2"/>
  <c r="E1925" i="2"/>
  <c r="I1874" i="2"/>
  <c r="H1874" i="2"/>
  <c r="F1874" i="2"/>
  <c r="E1874" i="2"/>
  <c r="N1874" i="2"/>
  <c r="K1874" i="2" s="1"/>
  <c r="L1874" i="2" s="1"/>
  <c r="M1874" i="2" s="1"/>
  <c r="J1874" i="2"/>
  <c r="E1889" i="2"/>
  <c r="J1889" i="2"/>
  <c r="I1889" i="2"/>
  <c r="H1889" i="2"/>
  <c r="N1889" i="2"/>
  <c r="K1889" i="2" s="1"/>
  <c r="L1889" i="2" s="1"/>
  <c r="M1889" i="2" s="1"/>
  <c r="F1889" i="2"/>
  <c r="J2042" i="2"/>
  <c r="N2042" i="2"/>
  <c r="K2042" i="2" s="1"/>
  <c r="L2042" i="2" s="1"/>
  <c r="M2042" i="2" s="1"/>
  <c r="I2042" i="2"/>
  <c r="H2042" i="2"/>
  <c r="F2042" i="2"/>
  <c r="E2042" i="2"/>
  <c r="J1995" i="2"/>
  <c r="N1995" i="2"/>
  <c r="K1995" i="2" s="1"/>
  <c r="L1995" i="2" s="1"/>
  <c r="M1995" i="2" s="1"/>
  <c r="I1995" i="2"/>
  <c r="H1995" i="2"/>
  <c r="F1995" i="2"/>
  <c r="E1995" i="2"/>
  <c r="J2018" i="2"/>
  <c r="F2018" i="2"/>
  <c r="N2018" i="2"/>
  <c r="K2018" i="2" s="1"/>
  <c r="L2018" i="2" s="1"/>
  <c r="M2018" i="2" s="1"/>
  <c r="E2018" i="2"/>
  <c r="I2018" i="2"/>
  <c r="H2018" i="2"/>
  <c r="N1931" i="2"/>
  <c r="K1931" i="2" s="1"/>
  <c r="L1931" i="2" s="1"/>
  <c r="M1931" i="2" s="1"/>
  <c r="J1931" i="2"/>
  <c r="H1931" i="2"/>
  <c r="F1931" i="2"/>
  <c r="E1931" i="2"/>
  <c r="I1931" i="2"/>
  <c r="J1947" i="2"/>
  <c r="I1947" i="2"/>
  <c r="H1947" i="2"/>
  <c r="F1947" i="2"/>
  <c r="E1947" i="2"/>
  <c r="N1947" i="2"/>
  <c r="K1947" i="2" s="1"/>
  <c r="L1947" i="2" s="1"/>
  <c r="M1947" i="2" s="1"/>
  <c r="I1969" i="2"/>
  <c r="H1969" i="2"/>
  <c r="F1969" i="2"/>
  <c r="E1969" i="2"/>
  <c r="N1969" i="2"/>
  <c r="K1969" i="2" s="1"/>
  <c r="L1969" i="2" s="1"/>
  <c r="M1969" i="2" s="1"/>
  <c r="J1969" i="2"/>
  <c r="I1716" i="2"/>
  <c r="H1716" i="2"/>
  <c r="E1716" i="2"/>
  <c r="J1716" i="2"/>
  <c r="F1716" i="2"/>
  <c r="N1716" i="2"/>
  <c r="K1716" i="2" s="1"/>
  <c r="L1716" i="2" s="1"/>
  <c r="M1716" i="2" s="1"/>
  <c r="N1571" i="2"/>
  <c r="K1571" i="2" s="1"/>
  <c r="L1571" i="2" s="1"/>
  <c r="M1571" i="2" s="1"/>
  <c r="F1571" i="2"/>
  <c r="E1571" i="2"/>
  <c r="I1571" i="2"/>
  <c r="J1571" i="2"/>
  <c r="H1571" i="2"/>
  <c r="H1618" i="2"/>
  <c r="F1618" i="2"/>
  <c r="E1618" i="2"/>
  <c r="N1618" i="2"/>
  <c r="K1618" i="2" s="1"/>
  <c r="L1618" i="2" s="1"/>
  <c r="M1618" i="2" s="1"/>
  <c r="J1618" i="2"/>
  <c r="I1618" i="2"/>
  <c r="H1686" i="2"/>
  <c r="F1686" i="2"/>
  <c r="E1686" i="2"/>
  <c r="I1686" i="2"/>
  <c r="N1686" i="2"/>
  <c r="K1686" i="2" s="1"/>
  <c r="L1686" i="2" s="1"/>
  <c r="M1686" i="2" s="1"/>
  <c r="J1686" i="2"/>
  <c r="N1529" i="2"/>
  <c r="K1529" i="2" s="1"/>
  <c r="L1529" i="2" s="1"/>
  <c r="M1529" i="2" s="1"/>
  <c r="H1529" i="2"/>
  <c r="J1529" i="2"/>
  <c r="I1529" i="2"/>
  <c r="F1529" i="2"/>
  <c r="E1529" i="2"/>
  <c r="N1611" i="2"/>
  <c r="K1611" i="2" s="1"/>
  <c r="L1611" i="2" s="1"/>
  <c r="M1611" i="2" s="1"/>
  <c r="E1611" i="2"/>
  <c r="H1611" i="2"/>
  <c r="J1611" i="2"/>
  <c r="F1611" i="2"/>
  <c r="I1611" i="2"/>
  <c r="F1816" i="2"/>
  <c r="E1816" i="2"/>
  <c r="N1816" i="2"/>
  <c r="K1816" i="2" s="1"/>
  <c r="L1816" i="2" s="1"/>
  <c r="M1816" i="2" s="1"/>
  <c r="J1816" i="2"/>
  <c r="I1816" i="2"/>
  <c r="H1816" i="2"/>
  <c r="I1811" i="2"/>
  <c r="H1811" i="2"/>
  <c r="F1811" i="2"/>
  <c r="E1811" i="2"/>
  <c r="N1811" i="2"/>
  <c r="K1811" i="2" s="1"/>
  <c r="L1811" i="2" s="1"/>
  <c r="M1811" i="2" s="1"/>
  <c r="J1811" i="2"/>
  <c r="N1866" i="2"/>
  <c r="K1866" i="2" s="1"/>
  <c r="L1866" i="2" s="1"/>
  <c r="M1866" i="2" s="1"/>
  <c r="E1866" i="2"/>
  <c r="H1866" i="2"/>
  <c r="F1866" i="2"/>
  <c r="J1866" i="2"/>
  <c r="I1866" i="2"/>
  <c r="N1465" i="2"/>
  <c r="K1465" i="2" s="1"/>
  <c r="L1465" i="2" s="1"/>
  <c r="M1465" i="2" s="1"/>
  <c r="J1465" i="2"/>
  <c r="I1465" i="2"/>
  <c r="H1465" i="2"/>
  <c r="F1465" i="2"/>
  <c r="E1465" i="2"/>
  <c r="E1376" i="2"/>
  <c r="J1376" i="2"/>
  <c r="I1376" i="2"/>
  <c r="H1376" i="2"/>
  <c r="F1376" i="2"/>
  <c r="N1376" i="2"/>
  <c r="K1376" i="2" s="1"/>
  <c r="L1376" i="2" s="1"/>
  <c r="M1376" i="2" s="1"/>
  <c r="F1152" i="2"/>
  <c r="N1152" i="2" s="1"/>
  <c r="K1152" i="2" s="1"/>
  <c r="L1152" i="2" s="1"/>
  <c r="M1152" i="2" s="1"/>
  <c r="N1183" i="2"/>
  <c r="K1183" i="2" s="1"/>
  <c r="L1183" i="2" s="1"/>
  <c r="M1183" i="2" s="1"/>
  <c r="F1183" i="2"/>
  <c r="E1183" i="2"/>
  <c r="J1183" i="2"/>
  <c r="H1183" i="2"/>
  <c r="I1183" i="2"/>
  <c r="N1420" i="2"/>
  <c r="K1420" i="2" s="1"/>
  <c r="L1420" i="2" s="1"/>
  <c r="M1420" i="2" s="1"/>
  <c r="J1420" i="2"/>
  <c r="I1420" i="2"/>
  <c r="H1420" i="2"/>
  <c r="F1420" i="2"/>
  <c r="E1420" i="2"/>
  <c r="H1394" i="2"/>
  <c r="F1394" i="2"/>
  <c r="E1394" i="2"/>
  <c r="J1394" i="2"/>
  <c r="I1394" i="2"/>
  <c r="N1394" i="2"/>
  <c r="K1394" i="2" s="1"/>
  <c r="L1394" i="2" s="1"/>
  <c r="M1394" i="2" s="1"/>
  <c r="F1150" i="2"/>
  <c r="N1150" i="2" s="1"/>
  <c r="K1150" i="2" s="1"/>
  <c r="L1150" i="2" s="1"/>
  <c r="M1150" i="2" s="1"/>
  <c r="J1181" i="2"/>
  <c r="N1181" i="2"/>
  <c r="K1181" i="2" s="1"/>
  <c r="L1181" i="2" s="1"/>
  <c r="M1181" i="2" s="1"/>
  <c r="F1181" i="2"/>
  <c r="I1181" i="2"/>
  <c r="E1181" i="2"/>
  <c r="H1181" i="2"/>
  <c r="J1261" i="2"/>
  <c r="I1261" i="2"/>
  <c r="H1261" i="2"/>
  <c r="F1261" i="2"/>
  <c r="E1261" i="2"/>
  <c r="N1261" i="2"/>
  <c r="K1261" i="2" s="1"/>
  <c r="L1261" i="2" s="1"/>
  <c r="M1261" i="2" s="1"/>
  <c r="J1238" i="2"/>
  <c r="I1238" i="2"/>
  <c r="H1238" i="2"/>
  <c r="F1238" i="2"/>
  <c r="E1238" i="2"/>
  <c r="N1238" i="2"/>
  <c r="K1238" i="2" s="1"/>
  <c r="L1238" i="2" s="1"/>
  <c r="M1238" i="2" s="1"/>
  <c r="H1296" i="2"/>
  <c r="F1296" i="2"/>
  <c r="E1296" i="2"/>
  <c r="N1296" i="2"/>
  <c r="K1296" i="2" s="1"/>
  <c r="L1296" i="2" s="1"/>
  <c r="M1296" i="2" s="1"/>
  <c r="I1296" i="2"/>
  <c r="J1296" i="2"/>
  <c r="I1287" i="2"/>
  <c r="H1287" i="2"/>
  <c r="F1287" i="2"/>
  <c r="E1287" i="2"/>
  <c r="N1287" i="2"/>
  <c r="K1287" i="2" s="1"/>
  <c r="L1287" i="2" s="1"/>
  <c r="M1287" i="2" s="1"/>
  <c r="J1287" i="2"/>
  <c r="F968" i="2"/>
  <c r="N968" i="2" s="1"/>
  <c r="K968" i="2" s="1"/>
  <c r="L968" i="2" s="1"/>
  <c r="M968" i="2" s="1"/>
  <c r="H820" i="2"/>
  <c r="I820" i="2" s="1"/>
  <c r="F820" i="2"/>
  <c r="N820" i="2" s="1"/>
  <c r="K820" i="2" s="1"/>
  <c r="H938" i="2"/>
  <c r="I938" i="2" s="1"/>
  <c r="F938" i="2"/>
  <c r="N938" i="2" s="1"/>
  <c r="K938" i="2" s="1"/>
  <c r="J724" i="2"/>
  <c r="F724" i="2"/>
  <c r="E724" i="2"/>
  <c r="I724" i="2"/>
  <c r="H724" i="2"/>
  <c r="N724" i="2"/>
  <c r="K724" i="2" s="1"/>
  <c r="L724" i="2" s="1"/>
  <c r="M724" i="2" s="1"/>
  <c r="F909" i="2"/>
  <c r="N909" i="2" s="1"/>
  <c r="K909" i="2" s="1"/>
  <c r="F913" i="2"/>
  <c r="N913" i="2" s="1"/>
  <c r="K913" i="2" s="1"/>
  <c r="F1088" i="2"/>
  <c r="N1088" i="2" s="1"/>
  <c r="K1088" i="2" s="1"/>
  <c r="J1132" i="2"/>
  <c r="I1132" i="2"/>
  <c r="H1132" i="2"/>
  <c r="F1132" i="2"/>
  <c r="E1132" i="2"/>
  <c r="N1132" i="2"/>
  <c r="K1132" i="2" s="1"/>
  <c r="L1132" i="2" s="1"/>
  <c r="M1132" i="2" s="1"/>
  <c r="I1113" i="2"/>
  <c r="H1113" i="2"/>
  <c r="F1113" i="2"/>
  <c r="E1113" i="2"/>
  <c r="J1113" i="2"/>
  <c r="N1113" i="2"/>
  <c r="K1113" i="2" s="1"/>
  <c r="L1113" i="2" s="1"/>
  <c r="M1113" i="2" s="1"/>
  <c r="F1036" i="2"/>
  <c r="N1036" i="2" s="1"/>
  <c r="K1036" i="2" s="1"/>
  <c r="L1036" i="2" s="1"/>
  <c r="M1036" i="2" s="1"/>
  <c r="J1079" i="2"/>
  <c r="I1079" i="2"/>
  <c r="H1079" i="2"/>
  <c r="F1079" i="2"/>
  <c r="N1079" i="2"/>
  <c r="K1079" i="2" s="1"/>
  <c r="L1079" i="2" s="1"/>
  <c r="M1079" i="2" s="1"/>
  <c r="E1079" i="2"/>
  <c r="F1073" i="2"/>
  <c r="E1073" i="2"/>
  <c r="N1073" i="2"/>
  <c r="K1073" i="2" s="1"/>
  <c r="L1073" i="2" s="1"/>
  <c r="M1073" i="2" s="1"/>
  <c r="J1073" i="2"/>
  <c r="H1073" i="2"/>
  <c r="I1073" i="2"/>
  <c r="J773" i="2"/>
  <c r="N773" i="2"/>
  <c r="K773" i="2" s="1"/>
  <c r="L773" i="2" s="1"/>
  <c r="M773" i="2" s="1"/>
  <c r="H773" i="2"/>
  <c r="E773" i="2"/>
  <c r="I773" i="2"/>
  <c r="F773" i="2"/>
  <c r="J781" i="2"/>
  <c r="N781" i="2"/>
  <c r="K781" i="2" s="1"/>
  <c r="L781" i="2" s="1"/>
  <c r="M781" i="2" s="1"/>
  <c r="I781" i="2"/>
  <c r="F781" i="2"/>
  <c r="E781" i="2"/>
  <c r="H781" i="2"/>
  <c r="E357" i="2"/>
  <c r="N357" i="2"/>
  <c r="K357" i="2" s="1"/>
  <c r="L357" i="2" s="1"/>
  <c r="M357" i="2" s="1"/>
  <c r="J357" i="2"/>
  <c r="I357" i="2"/>
  <c r="H357" i="2"/>
  <c r="N649" i="2"/>
  <c r="K649" i="2" s="1"/>
  <c r="L649" i="2" s="1"/>
  <c r="M649" i="2" s="1"/>
  <c r="F649" i="2"/>
  <c r="E649" i="2"/>
  <c r="J649" i="2"/>
  <c r="I649" i="2"/>
  <c r="H649" i="2"/>
  <c r="H619" i="2"/>
  <c r="I619" i="2" s="1"/>
  <c r="F619" i="2"/>
  <c r="N619" i="2" s="1"/>
  <c r="K619" i="2" s="1"/>
  <c r="F637" i="2"/>
  <c r="N637" i="2" s="1"/>
  <c r="K637" i="2" s="1"/>
  <c r="H637" i="2"/>
  <c r="I637" i="2" s="1"/>
  <c r="H144" i="2"/>
  <c r="I144" i="2" s="1"/>
  <c r="F144" i="2"/>
  <c r="N144" i="2" s="1"/>
  <c r="K144" i="2" s="1"/>
  <c r="L144" i="2" s="1"/>
  <c r="M144" i="2" s="1"/>
  <c r="J237" i="2"/>
  <c r="I237" i="2"/>
  <c r="N237" i="2"/>
  <c r="K237" i="2" s="1"/>
  <c r="L237" i="2" s="1"/>
  <c r="M237" i="2" s="1"/>
  <c r="F237" i="2"/>
  <c r="E237" i="2"/>
  <c r="H237" i="2"/>
  <c r="H500" i="2"/>
  <c r="F500" i="2"/>
  <c r="N500" i="2" s="1"/>
  <c r="K500" i="2" s="1"/>
  <c r="L500" i="2" s="1"/>
  <c r="M500" i="2" s="1"/>
  <c r="H508" i="2"/>
  <c r="I508" i="2" s="1"/>
  <c r="F508" i="2"/>
  <c r="N508" i="2" s="1"/>
  <c r="K508" i="2" s="1"/>
  <c r="L508" i="2" s="1"/>
  <c r="M508" i="2" s="1"/>
  <c r="N214" i="2"/>
  <c r="K214" i="2" s="1"/>
  <c r="L214" i="2" s="1"/>
  <c r="M214" i="2" s="1"/>
  <c r="J214" i="2"/>
  <c r="F214" i="2"/>
  <c r="E214" i="2"/>
  <c r="I214" i="2"/>
  <c r="H214" i="2"/>
  <c r="H860" i="2"/>
  <c r="I860" i="2" s="1"/>
  <c r="F860" i="2"/>
  <c r="N860" i="2" s="1"/>
  <c r="K860" i="2" s="1"/>
  <c r="L860" i="2" s="1"/>
  <c r="M860" i="2" s="1"/>
  <c r="F849" i="2"/>
  <c r="N849" i="2" s="1"/>
  <c r="K849" i="2" s="1"/>
  <c r="L849" i="2" s="1"/>
  <c r="M849" i="2" s="1"/>
  <c r="H886" i="2"/>
  <c r="I886" i="2" s="1"/>
  <c r="F886" i="2"/>
  <c r="N886" i="2" s="1"/>
  <c r="K886" i="2" s="1"/>
  <c r="N890" i="2"/>
  <c r="K890" i="2" s="1"/>
  <c r="L890" i="2" s="1"/>
  <c r="M890" i="2" s="1"/>
  <c r="F890" i="2"/>
  <c r="E890" i="2"/>
  <c r="H890" i="2"/>
  <c r="J890" i="2"/>
  <c r="I890" i="2"/>
  <c r="N431" i="2"/>
  <c r="K431" i="2" s="1"/>
  <c r="H463" i="2"/>
  <c r="E463" i="2"/>
  <c r="N463" i="2"/>
  <c r="K463" i="2" s="1"/>
  <c r="L463" i="2" s="1"/>
  <c r="M463" i="2" s="1"/>
  <c r="J463" i="2"/>
  <c r="I463" i="2"/>
  <c r="J485" i="2"/>
  <c r="I485" i="2"/>
  <c r="N485" i="2"/>
  <c r="K485" i="2" s="1"/>
  <c r="L485" i="2" s="1"/>
  <c r="M485" i="2" s="1"/>
  <c r="E485" i="2"/>
  <c r="H485" i="2"/>
  <c r="J94" i="2"/>
  <c r="I94" i="2"/>
  <c r="H94" i="2"/>
  <c r="F94" i="2"/>
  <c r="E94" i="2"/>
  <c r="N94" i="2"/>
  <c r="K94" i="2" s="1"/>
  <c r="L94" i="2" s="1"/>
  <c r="M94" i="2" s="1"/>
  <c r="N266" i="2"/>
  <c r="K266" i="2" s="1"/>
  <c r="L266" i="2" s="1"/>
  <c r="M266" i="2" s="1"/>
  <c r="H266" i="2"/>
  <c r="I266" i="2" s="1"/>
  <c r="J283" i="2"/>
  <c r="I283" i="2"/>
  <c r="H283" i="2"/>
  <c r="E283" i="2"/>
  <c r="N283" i="2"/>
  <c r="K283" i="2" s="1"/>
  <c r="L283" i="2" s="1"/>
  <c r="M283" i="2" s="1"/>
  <c r="H270" i="2"/>
  <c r="I270" i="2" s="1"/>
  <c r="N270" i="2"/>
  <c r="K270" i="2" s="1"/>
  <c r="L270" i="2" s="1"/>
  <c r="M270" i="2" s="1"/>
  <c r="J42" i="2"/>
  <c r="E42" i="2"/>
  <c r="I42" i="2"/>
  <c r="F42" i="2"/>
  <c r="N42" i="2"/>
  <c r="K42" i="2" s="1"/>
  <c r="L42" i="2" s="1"/>
  <c r="M42" i="2" s="1"/>
  <c r="H42" i="2"/>
  <c r="I2352" i="2"/>
  <c r="F2352" i="2"/>
  <c r="N2352" i="2"/>
  <c r="K2352" i="2" s="1"/>
  <c r="L2352" i="2" s="1"/>
  <c r="M2352" i="2" s="1"/>
  <c r="H2352" i="2"/>
  <c r="E2352" i="2"/>
  <c r="J2352" i="2"/>
  <c r="I2405" i="2"/>
  <c r="H2405" i="2"/>
  <c r="E2405" i="2"/>
  <c r="F2405" i="2"/>
  <c r="N2405" i="2"/>
  <c r="K2405" i="2" s="1"/>
  <c r="L2405" i="2" s="1"/>
  <c r="M2405" i="2" s="1"/>
  <c r="J2405" i="2"/>
  <c r="N2244" i="2"/>
  <c r="K2244" i="2" s="1"/>
  <c r="L2244" i="2" s="1"/>
  <c r="M2244" i="2" s="1"/>
  <c r="J2244" i="2"/>
  <c r="E2244" i="2"/>
  <c r="F2244" i="2"/>
  <c r="H2244" i="2"/>
  <c r="I2244" i="2"/>
  <c r="J2162" i="2"/>
  <c r="H2162" i="2"/>
  <c r="N2162" i="2"/>
  <c r="K2162" i="2" s="1"/>
  <c r="L2162" i="2" s="1"/>
  <c r="M2162" i="2" s="1"/>
  <c r="I2162" i="2"/>
  <c r="F2162" i="2"/>
  <c r="E2162" i="2"/>
  <c r="E2296" i="2"/>
  <c r="N2296" i="2"/>
  <c r="K2296" i="2" s="1"/>
  <c r="L2296" i="2" s="1"/>
  <c r="M2296" i="2" s="1"/>
  <c r="J2296" i="2"/>
  <c r="H2296" i="2"/>
  <c r="I2296" i="2"/>
  <c r="F2296" i="2"/>
  <c r="F2291" i="2"/>
  <c r="I2291" i="2"/>
  <c r="H2291" i="2"/>
  <c r="J2291" i="2"/>
  <c r="E2291" i="2"/>
  <c r="N2291" i="2"/>
  <c r="K2291" i="2" s="1"/>
  <c r="L2291" i="2" s="1"/>
  <c r="M2291" i="2" s="1"/>
  <c r="H2309" i="2"/>
  <c r="E2309" i="2"/>
  <c r="I2309" i="2"/>
  <c r="F2309" i="2"/>
  <c r="N2309" i="2"/>
  <c r="K2309" i="2" s="1"/>
  <c r="L2309" i="2" s="1"/>
  <c r="M2309" i="2" s="1"/>
  <c r="J2309" i="2"/>
  <c r="H2341" i="2"/>
  <c r="E2341" i="2"/>
  <c r="F2341" i="2"/>
  <c r="I2341" i="2"/>
  <c r="N2341" i="2"/>
  <c r="K2341" i="2" s="1"/>
  <c r="L2341" i="2" s="1"/>
  <c r="M2341" i="2" s="1"/>
  <c r="J2341" i="2"/>
  <c r="F2178" i="2"/>
  <c r="H2178" i="2"/>
  <c r="N2178" i="2"/>
  <c r="K2178" i="2" s="1"/>
  <c r="L2178" i="2" s="1"/>
  <c r="M2178" i="2" s="1"/>
  <c r="J2178" i="2"/>
  <c r="E2178" i="2"/>
  <c r="I2178" i="2"/>
  <c r="H2212" i="2"/>
  <c r="E2212" i="2"/>
  <c r="J2212" i="2"/>
  <c r="F2212" i="2"/>
  <c r="I2212" i="2"/>
  <c r="N2212" i="2"/>
  <c r="K2212" i="2" s="1"/>
  <c r="L2212" i="2" s="1"/>
  <c r="M2212" i="2" s="1"/>
  <c r="J2072" i="2"/>
  <c r="I2072" i="2"/>
  <c r="F2072" i="2"/>
  <c r="E2072" i="2"/>
  <c r="N2072" i="2"/>
  <c r="K2072" i="2" s="1"/>
  <c r="L2072" i="2" s="1"/>
  <c r="M2072" i="2" s="1"/>
  <c r="H2072" i="2"/>
  <c r="I2044" i="2"/>
  <c r="H2044" i="2"/>
  <c r="F2044" i="2"/>
  <c r="E2044" i="2"/>
  <c r="N2044" i="2"/>
  <c r="K2044" i="2" s="1"/>
  <c r="L2044" i="2" s="1"/>
  <c r="M2044" i="2" s="1"/>
  <c r="J2044" i="2"/>
  <c r="N1901" i="2"/>
  <c r="K1901" i="2" s="1"/>
  <c r="L1901" i="2" s="1"/>
  <c r="M1901" i="2" s="1"/>
  <c r="H1901" i="2"/>
  <c r="J1901" i="2"/>
  <c r="F1901" i="2"/>
  <c r="I1901" i="2"/>
  <c r="E1901" i="2"/>
  <c r="I2004" i="2"/>
  <c r="H2004" i="2"/>
  <c r="F2004" i="2"/>
  <c r="E2004" i="2"/>
  <c r="J2004" i="2"/>
  <c r="N2004" i="2"/>
  <c r="K2004" i="2" s="1"/>
  <c r="L2004" i="2" s="1"/>
  <c r="M2004" i="2" s="1"/>
  <c r="E1905" i="2"/>
  <c r="J1905" i="2"/>
  <c r="F1905" i="2"/>
  <c r="N1905" i="2"/>
  <c r="K1905" i="2" s="1"/>
  <c r="L1905" i="2" s="1"/>
  <c r="M1905" i="2" s="1"/>
  <c r="I1905" i="2"/>
  <c r="H1905" i="2"/>
  <c r="J1999" i="2"/>
  <c r="I1999" i="2"/>
  <c r="H1999" i="2"/>
  <c r="N1999" i="2"/>
  <c r="K1999" i="2" s="1"/>
  <c r="L1999" i="2" s="1"/>
  <c r="M1999" i="2" s="1"/>
  <c r="F1999" i="2"/>
  <c r="E1999" i="2"/>
  <c r="J2015" i="2"/>
  <c r="I2015" i="2"/>
  <c r="H2015" i="2"/>
  <c r="N2015" i="2"/>
  <c r="K2015" i="2" s="1"/>
  <c r="L2015" i="2" s="1"/>
  <c r="M2015" i="2" s="1"/>
  <c r="F2015" i="2"/>
  <c r="E2015" i="2"/>
  <c r="J2034" i="2"/>
  <c r="F2034" i="2"/>
  <c r="E2034" i="2"/>
  <c r="I2034" i="2"/>
  <c r="H2034" i="2"/>
  <c r="N2034" i="2"/>
  <c r="K2034" i="2" s="1"/>
  <c r="L2034" i="2" s="1"/>
  <c r="M2034" i="2" s="1"/>
  <c r="J1956" i="2"/>
  <c r="I1956" i="2"/>
  <c r="H1956" i="2"/>
  <c r="N1956" i="2"/>
  <c r="K1956" i="2" s="1"/>
  <c r="L1956" i="2" s="1"/>
  <c r="M1956" i="2" s="1"/>
  <c r="E1956" i="2"/>
  <c r="F1956" i="2"/>
  <c r="I1961" i="2"/>
  <c r="H1961" i="2"/>
  <c r="F1961" i="2"/>
  <c r="E1961" i="2"/>
  <c r="J1961" i="2"/>
  <c r="N1961" i="2"/>
  <c r="K1961" i="2" s="1"/>
  <c r="L1961" i="2" s="1"/>
  <c r="M1961" i="2" s="1"/>
  <c r="J1971" i="2"/>
  <c r="F1971" i="2"/>
  <c r="H1971" i="2"/>
  <c r="N1971" i="2"/>
  <c r="K1971" i="2" s="1"/>
  <c r="L1971" i="2" s="1"/>
  <c r="M1971" i="2" s="1"/>
  <c r="I1971" i="2"/>
  <c r="E1971" i="2"/>
  <c r="E1985" i="2"/>
  <c r="N1985" i="2"/>
  <c r="K1985" i="2" s="1"/>
  <c r="L1985" i="2" s="1"/>
  <c r="M1985" i="2" s="1"/>
  <c r="H1985" i="2"/>
  <c r="F1985" i="2"/>
  <c r="J1985" i="2"/>
  <c r="I1985" i="2"/>
  <c r="I1732" i="2"/>
  <c r="H1732" i="2"/>
  <c r="F1732" i="2"/>
  <c r="E1732" i="2"/>
  <c r="J1732" i="2"/>
  <c r="N1732" i="2"/>
  <c r="K1732" i="2" s="1"/>
  <c r="L1732" i="2" s="1"/>
  <c r="M1732" i="2" s="1"/>
  <c r="J1548" i="2"/>
  <c r="H1548" i="2"/>
  <c r="F1548" i="2"/>
  <c r="E1548" i="2"/>
  <c r="I1548" i="2"/>
  <c r="N1548" i="2"/>
  <c r="K1548" i="2" s="1"/>
  <c r="L1548" i="2" s="1"/>
  <c r="M1548" i="2" s="1"/>
  <c r="H1602" i="2"/>
  <c r="F1602" i="2"/>
  <c r="E1602" i="2"/>
  <c r="N1602" i="2"/>
  <c r="K1602" i="2" s="1"/>
  <c r="L1602" i="2" s="1"/>
  <c r="M1602" i="2" s="1"/>
  <c r="J1602" i="2"/>
  <c r="I1602" i="2"/>
  <c r="I1639" i="2"/>
  <c r="H1639" i="2"/>
  <c r="F1639" i="2"/>
  <c r="E1639" i="2"/>
  <c r="N1639" i="2"/>
  <c r="K1639" i="2" s="1"/>
  <c r="L1639" i="2" s="1"/>
  <c r="M1639" i="2" s="1"/>
  <c r="J1639" i="2"/>
  <c r="N1513" i="2"/>
  <c r="K1513" i="2" s="1"/>
  <c r="L1513" i="2" s="1"/>
  <c r="M1513" i="2" s="1"/>
  <c r="H1513" i="2"/>
  <c r="I1513" i="2"/>
  <c r="F1513" i="2"/>
  <c r="E1513" i="2"/>
  <c r="J1513" i="2"/>
  <c r="N1595" i="2"/>
  <c r="K1595" i="2" s="1"/>
  <c r="L1595" i="2" s="1"/>
  <c r="M1595" i="2" s="1"/>
  <c r="E1595" i="2"/>
  <c r="H1595" i="2"/>
  <c r="F1595" i="2"/>
  <c r="J1595" i="2"/>
  <c r="I1595" i="2"/>
  <c r="N1855" i="2"/>
  <c r="K1855" i="2" s="1"/>
  <c r="L1855" i="2" s="1"/>
  <c r="M1855" i="2" s="1"/>
  <c r="I1855" i="2"/>
  <c r="H1855" i="2"/>
  <c r="F1855" i="2"/>
  <c r="E1855" i="2"/>
  <c r="J1855" i="2"/>
  <c r="J1833" i="2"/>
  <c r="I1833" i="2"/>
  <c r="H1833" i="2"/>
  <c r="N1833" i="2"/>
  <c r="K1833" i="2" s="1"/>
  <c r="L1833" i="2" s="1"/>
  <c r="M1833" i="2" s="1"/>
  <c r="F1833" i="2"/>
  <c r="E1833" i="2"/>
  <c r="I1819" i="2"/>
  <c r="H1819" i="2"/>
  <c r="F1819" i="2"/>
  <c r="E1819" i="2"/>
  <c r="J1819" i="2"/>
  <c r="N1819" i="2"/>
  <c r="K1819" i="2" s="1"/>
  <c r="L1819" i="2" s="1"/>
  <c r="M1819" i="2" s="1"/>
  <c r="J1449" i="2"/>
  <c r="I1449" i="2"/>
  <c r="E1449" i="2"/>
  <c r="H1449" i="2"/>
  <c r="N1449" i="2"/>
  <c r="K1449" i="2" s="1"/>
  <c r="L1449" i="2" s="1"/>
  <c r="M1449" i="2" s="1"/>
  <c r="F1449" i="2"/>
  <c r="E1360" i="2"/>
  <c r="F1360" i="2"/>
  <c r="N1360" i="2"/>
  <c r="K1360" i="2" s="1"/>
  <c r="L1360" i="2" s="1"/>
  <c r="M1360" i="2" s="1"/>
  <c r="H1360" i="2"/>
  <c r="I1360" i="2"/>
  <c r="J1360" i="2"/>
  <c r="N1167" i="2"/>
  <c r="K1167" i="2" s="1"/>
  <c r="L1167" i="2" s="1"/>
  <c r="M1167" i="2" s="1"/>
  <c r="E1167" i="2"/>
  <c r="J1167" i="2"/>
  <c r="I1167" i="2"/>
  <c r="H1167" i="2"/>
  <c r="F1167" i="2"/>
  <c r="N1444" i="2"/>
  <c r="K1444" i="2" s="1"/>
  <c r="L1444" i="2" s="1"/>
  <c r="M1444" i="2" s="1"/>
  <c r="J1444" i="2"/>
  <c r="F1444" i="2"/>
  <c r="I1444" i="2"/>
  <c r="H1444" i="2"/>
  <c r="E1444" i="2"/>
  <c r="N1410" i="2"/>
  <c r="K1410" i="2" s="1"/>
  <c r="L1410" i="2" s="1"/>
  <c r="M1410" i="2" s="1"/>
  <c r="E1410" i="2"/>
  <c r="J1410" i="2"/>
  <c r="H1410" i="2"/>
  <c r="I1410" i="2"/>
  <c r="F1410" i="2"/>
  <c r="J1165" i="2"/>
  <c r="I1165" i="2"/>
  <c r="N1165" i="2"/>
  <c r="K1165" i="2" s="1"/>
  <c r="L1165" i="2" s="1"/>
  <c r="M1165" i="2" s="1"/>
  <c r="H1165" i="2"/>
  <c r="E1165" i="2"/>
  <c r="F1165" i="2"/>
  <c r="F1214" i="2"/>
  <c r="N1214" i="2" s="1"/>
  <c r="K1214" i="2" s="1"/>
  <c r="I1254" i="2"/>
  <c r="H1254" i="2"/>
  <c r="F1254" i="2"/>
  <c r="E1254" i="2"/>
  <c r="N1254" i="2"/>
  <c r="K1254" i="2" s="1"/>
  <c r="L1254" i="2" s="1"/>
  <c r="M1254" i="2" s="1"/>
  <c r="J1254" i="2"/>
  <c r="N1316" i="2"/>
  <c r="K1316" i="2" s="1"/>
  <c r="L1316" i="2" s="1"/>
  <c r="M1316" i="2" s="1"/>
  <c r="J1316" i="2"/>
  <c r="I1316" i="2"/>
  <c r="H1316" i="2"/>
  <c r="F1316" i="2"/>
  <c r="E1316" i="2"/>
  <c r="N1303" i="2"/>
  <c r="K1303" i="2" s="1"/>
  <c r="L1303" i="2" s="1"/>
  <c r="M1303" i="2" s="1"/>
  <c r="H1303" i="2"/>
  <c r="F1303" i="2"/>
  <c r="E1303" i="2"/>
  <c r="I1303" i="2"/>
  <c r="J1303" i="2"/>
  <c r="H804" i="2"/>
  <c r="I804" i="2" s="1"/>
  <c r="F804" i="2"/>
  <c r="N804" i="2" s="1"/>
  <c r="K804" i="2" s="1"/>
  <c r="L804" i="2" s="1"/>
  <c r="M804" i="2" s="1"/>
  <c r="J708" i="2"/>
  <c r="I708" i="2"/>
  <c r="H708" i="2"/>
  <c r="F708" i="2"/>
  <c r="E708" i="2"/>
  <c r="N708" i="2"/>
  <c r="K708" i="2" s="1"/>
  <c r="L708" i="2" s="1"/>
  <c r="M708" i="2" s="1"/>
  <c r="H925" i="2"/>
  <c r="I925" i="2" s="1"/>
  <c r="F925" i="2"/>
  <c r="N925" i="2" s="1"/>
  <c r="K925" i="2" s="1"/>
  <c r="F929" i="2"/>
  <c r="N929" i="2" s="1"/>
  <c r="K929" i="2" s="1"/>
  <c r="H929" i="2"/>
  <c r="N1109" i="2"/>
  <c r="K1109" i="2" s="1"/>
  <c r="L1109" i="2" s="1"/>
  <c r="M1109" i="2" s="1"/>
  <c r="I1109" i="2"/>
  <c r="H1109" i="2"/>
  <c r="F1109" i="2"/>
  <c r="E1109" i="2"/>
  <c r="J1109" i="2"/>
  <c r="J1108" i="2"/>
  <c r="I1108" i="2"/>
  <c r="H1108" i="2"/>
  <c r="N1108" i="2"/>
  <c r="K1108" i="2" s="1"/>
  <c r="L1108" i="2" s="1"/>
  <c r="M1108" i="2" s="1"/>
  <c r="F1108" i="2"/>
  <c r="E1108" i="2"/>
  <c r="I1129" i="2"/>
  <c r="H1129" i="2"/>
  <c r="F1129" i="2"/>
  <c r="E1129" i="2"/>
  <c r="N1129" i="2"/>
  <c r="K1129" i="2" s="1"/>
  <c r="L1129" i="2" s="1"/>
  <c r="M1129" i="2" s="1"/>
  <c r="J1129" i="2"/>
  <c r="N1061" i="2"/>
  <c r="K1061" i="2" s="1"/>
  <c r="L1061" i="2" s="1"/>
  <c r="M1061" i="2" s="1"/>
  <c r="F1061" i="2"/>
  <c r="E1061" i="2"/>
  <c r="H1061" i="2"/>
  <c r="I1061" i="2"/>
  <c r="J1061" i="2"/>
  <c r="F1033" i="2"/>
  <c r="N1033" i="2" s="1"/>
  <c r="K1033" i="2" s="1"/>
  <c r="J1042" i="2"/>
  <c r="F1042" i="2"/>
  <c r="E1042" i="2"/>
  <c r="I1042" i="2"/>
  <c r="H1042" i="2"/>
  <c r="N1042" i="2"/>
  <c r="K1042" i="2" s="1"/>
  <c r="L1042" i="2" s="1"/>
  <c r="M1042" i="2" s="1"/>
  <c r="N596" i="2"/>
  <c r="K596" i="2" s="1"/>
  <c r="L596" i="2" s="1"/>
  <c r="M596" i="2" s="1"/>
  <c r="E596" i="2"/>
  <c r="J596" i="2"/>
  <c r="I596" i="2"/>
  <c r="H596" i="2"/>
  <c r="F596" i="2"/>
  <c r="H595" i="2"/>
  <c r="F595" i="2"/>
  <c r="E595" i="2"/>
  <c r="J595" i="2"/>
  <c r="N595" i="2"/>
  <c r="K595" i="2" s="1"/>
  <c r="L595" i="2" s="1"/>
  <c r="M595" i="2" s="1"/>
  <c r="I595" i="2"/>
  <c r="F730" i="2"/>
  <c r="N730" i="2" s="1"/>
  <c r="K730" i="2" s="1"/>
  <c r="E341" i="2"/>
  <c r="N341" i="2"/>
  <c r="K341" i="2" s="1"/>
  <c r="L341" i="2" s="1"/>
  <c r="M341" i="2" s="1"/>
  <c r="J341" i="2"/>
  <c r="I341" i="2"/>
  <c r="H341" i="2"/>
  <c r="F613" i="2"/>
  <c r="N613" i="2" s="1"/>
  <c r="K613" i="2" s="1"/>
  <c r="L613" i="2" s="1"/>
  <c r="M613" i="2" s="1"/>
  <c r="H644" i="2"/>
  <c r="I644" i="2" s="1"/>
  <c r="F644" i="2"/>
  <c r="N644" i="2" s="1"/>
  <c r="K644" i="2" s="1"/>
  <c r="L644" i="2" s="1"/>
  <c r="M644" i="2" s="1"/>
  <c r="F653" i="2"/>
  <c r="E653" i="2"/>
  <c r="J653" i="2"/>
  <c r="N653" i="2"/>
  <c r="K653" i="2" s="1"/>
  <c r="L653" i="2" s="1"/>
  <c r="M653" i="2" s="1"/>
  <c r="I653" i="2"/>
  <c r="H653" i="2"/>
  <c r="N158" i="2"/>
  <c r="K158" i="2" s="1"/>
  <c r="L158" i="2" s="1"/>
  <c r="M158" i="2" s="1"/>
  <c r="H158" i="2"/>
  <c r="F158" i="2"/>
  <c r="E158" i="2"/>
  <c r="I158" i="2"/>
  <c r="J158" i="2"/>
  <c r="H211" i="2"/>
  <c r="F211" i="2"/>
  <c r="N211" i="2" s="1"/>
  <c r="K211" i="2" s="1"/>
  <c r="L211" i="2" s="1"/>
  <c r="M211" i="2" s="1"/>
  <c r="N528" i="2"/>
  <c r="K528" i="2" s="1"/>
  <c r="L528" i="2" s="1"/>
  <c r="M528" i="2" s="1"/>
  <c r="I528" i="2"/>
  <c r="F528" i="2"/>
  <c r="H528" i="2"/>
  <c r="J528" i="2"/>
  <c r="E528" i="2"/>
  <c r="I524" i="2"/>
  <c r="H524" i="2"/>
  <c r="F524" i="2"/>
  <c r="E524" i="2"/>
  <c r="J524" i="2"/>
  <c r="N524" i="2"/>
  <c r="K524" i="2" s="1"/>
  <c r="L524" i="2" s="1"/>
  <c r="M524" i="2" s="1"/>
  <c r="N230" i="2"/>
  <c r="K230" i="2" s="1"/>
  <c r="L230" i="2" s="1"/>
  <c r="M230" i="2" s="1"/>
  <c r="F230" i="2"/>
  <c r="E230" i="2"/>
  <c r="J230" i="2"/>
  <c r="I230" i="2"/>
  <c r="H230" i="2"/>
  <c r="J892" i="2"/>
  <c r="I892" i="2"/>
  <c r="H892" i="2"/>
  <c r="N892" i="2"/>
  <c r="K892" i="2" s="1"/>
  <c r="L892" i="2" s="1"/>
  <c r="M892" i="2" s="1"/>
  <c r="F892" i="2"/>
  <c r="E892" i="2"/>
  <c r="H875" i="2"/>
  <c r="I875" i="2" s="1"/>
  <c r="F875" i="2"/>
  <c r="N875" i="2" s="1"/>
  <c r="K875" i="2" s="1"/>
  <c r="L875" i="2" s="1"/>
  <c r="M875" i="2" s="1"/>
  <c r="H902" i="2"/>
  <c r="F902" i="2"/>
  <c r="E902" i="2"/>
  <c r="N902" i="2"/>
  <c r="K902" i="2" s="1"/>
  <c r="L902" i="2" s="1"/>
  <c r="M902" i="2" s="1"/>
  <c r="I902" i="2"/>
  <c r="J902" i="2"/>
  <c r="N906" i="2"/>
  <c r="K906" i="2" s="1"/>
  <c r="L906" i="2" s="1"/>
  <c r="M906" i="2" s="1"/>
  <c r="E906" i="2"/>
  <c r="J906" i="2"/>
  <c r="H906" i="2"/>
  <c r="I906" i="2"/>
  <c r="F906" i="2"/>
  <c r="N475" i="2"/>
  <c r="K475" i="2" s="1"/>
  <c r="L475" i="2" s="1"/>
  <c r="M475" i="2" s="1"/>
  <c r="H475" i="2"/>
  <c r="E475" i="2"/>
  <c r="J475" i="2"/>
  <c r="I475" i="2"/>
  <c r="H441" i="2"/>
  <c r="N441" i="2"/>
  <c r="K441" i="2" s="1"/>
  <c r="L441" i="2" s="1"/>
  <c r="M441" i="2" s="1"/>
  <c r="H438" i="2"/>
  <c r="I438" i="2" s="1"/>
  <c r="N438" i="2"/>
  <c r="K438" i="2" s="1"/>
  <c r="H75" i="2"/>
  <c r="I75" i="2" s="1"/>
  <c r="F75" i="2"/>
  <c r="N75" i="2" s="1"/>
  <c r="K75" i="2" s="1"/>
  <c r="L75" i="2" s="1"/>
  <c r="M75" i="2" s="1"/>
  <c r="N109" i="2"/>
  <c r="K109" i="2" s="1"/>
  <c r="L109" i="2" s="1"/>
  <c r="M109" i="2" s="1"/>
  <c r="F109" i="2"/>
  <c r="J109" i="2"/>
  <c r="I109" i="2"/>
  <c r="H109" i="2"/>
  <c r="E109" i="2"/>
  <c r="N306" i="2"/>
  <c r="K306" i="2" s="1"/>
  <c r="L306" i="2" s="1"/>
  <c r="M306" i="2" s="1"/>
  <c r="J306" i="2"/>
  <c r="I306" i="2"/>
  <c r="E306" i="2"/>
  <c r="H306" i="2"/>
  <c r="H263" i="2"/>
  <c r="N263" i="2"/>
  <c r="K263" i="2" s="1"/>
  <c r="L263" i="2" s="1"/>
  <c r="M263" i="2" s="1"/>
  <c r="E286" i="2"/>
  <c r="J286" i="2"/>
  <c r="I286" i="2"/>
  <c r="H286" i="2"/>
  <c r="N286" i="2"/>
  <c r="K286" i="2" s="1"/>
  <c r="L286" i="2" s="1"/>
  <c r="M286" i="2" s="1"/>
  <c r="J58" i="2"/>
  <c r="E58" i="2"/>
  <c r="I58" i="2"/>
  <c r="H58" i="2"/>
  <c r="N58" i="2"/>
  <c r="K58" i="2" s="1"/>
  <c r="L58" i="2" s="1"/>
  <c r="M58" i="2" s="1"/>
  <c r="F58" i="2"/>
  <c r="F2359" i="2"/>
  <c r="N2359" i="2"/>
  <c r="K2359" i="2" s="1"/>
  <c r="L2359" i="2" s="1"/>
  <c r="M2359" i="2" s="1"/>
  <c r="H2359" i="2"/>
  <c r="E2359" i="2"/>
  <c r="J2359" i="2"/>
  <c r="I2359" i="2"/>
  <c r="H2319" i="2"/>
  <c r="E2319" i="2"/>
  <c r="F2319" i="2"/>
  <c r="I2319" i="2"/>
  <c r="N2319" i="2"/>
  <c r="K2319" i="2" s="1"/>
  <c r="L2319" i="2" s="1"/>
  <c r="M2319" i="2" s="1"/>
  <c r="J2319" i="2"/>
  <c r="N2329" i="2"/>
  <c r="K2329" i="2" s="1"/>
  <c r="L2329" i="2" s="1"/>
  <c r="M2329" i="2" s="1"/>
  <c r="J2329" i="2"/>
  <c r="H2329" i="2"/>
  <c r="F2329" i="2"/>
  <c r="I2329" i="2"/>
  <c r="E2329" i="2"/>
  <c r="J2208" i="2"/>
  <c r="I2208" i="2"/>
  <c r="N2208" i="2"/>
  <c r="K2208" i="2" s="1"/>
  <c r="L2208" i="2" s="1"/>
  <c r="M2208" i="2" s="1"/>
  <c r="E2208" i="2"/>
  <c r="F2208" i="2"/>
  <c r="H2208" i="2"/>
  <c r="F2098" i="2"/>
  <c r="N2098" i="2"/>
  <c r="K2098" i="2" s="1"/>
  <c r="L2098" i="2" s="1"/>
  <c r="M2098" i="2" s="1"/>
  <c r="J2098" i="2"/>
  <c r="H2098" i="2"/>
  <c r="E2098" i="2"/>
  <c r="I2098" i="2"/>
  <c r="I2088" i="2"/>
  <c r="E2088" i="2"/>
  <c r="N2088" i="2"/>
  <c r="K2088" i="2" s="1"/>
  <c r="L2088" i="2" s="1"/>
  <c r="M2088" i="2" s="1"/>
  <c r="J2088" i="2"/>
  <c r="H2088" i="2"/>
  <c r="F2088" i="2"/>
  <c r="I2085" i="2"/>
  <c r="F2085" i="2"/>
  <c r="J2085" i="2"/>
  <c r="H2085" i="2"/>
  <c r="E2085" i="2"/>
  <c r="N2085" i="2"/>
  <c r="K2085" i="2" s="1"/>
  <c r="L2085" i="2" s="1"/>
  <c r="M2085" i="2" s="1"/>
  <c r="E1926" i="2"/>
  <c r="N1926" i="2"/>
  <c r="K1926" i="2" s="1"/>
  <c r="L1926" i="2" s="1"/>
  <c r="M1926" i="2" s="1"/>
  <c r="F1926" i="2"/>
  <c r="I1926" i="2"/>
  <c r="J1926" i="2"/>
  <c r="H1926" i="2"/>
  <c r="J1932" i="2"/>
  <c r="I1932" i="2"/>
  <c r="H1932" i="2"/>
  <c r="F1932" i="2"/>
  <c r="E1932" i="2"/>
  <c r="N1932" i="2"/>
  <c r="K1932" i="2" s="1"/>
  <c r="L1932" i="2" s="1"/>
  <c r="M1932" i="2" s="1"/>
  <c r="F1934" i="2"/>
  <c r="E1934" i="2"/>
  <c r="J1934" i="2"/>
  <c r="N1934" i="2"/>
  <c r="K1934" i="2" s="1"/>
  <c r="L1934" i="2" s="1"/>
  <c r="M1934" i="2" s="1"/>
  <c r="H1934" i="2"/>
  <c r="I1934" i="2"/>
  <c r="J1701" i="2"/>
  <c r="I1701" i="2"/>
  <c r="H1701" i="2"/>
  <c r="F1701" i="2"/>
  <c r="N1701" i="2"/>
  <c r="K1701" i="2" s="1"/>
  <c r="L1701" i="2" s="1"/>
  <c r="M1701" i="2" s="1"/>
  <c r="E1701" i="2"/>
  <c r="J1532" i="2"/>
  <c r="E1532" i="2"/>
  <c r="N1532" i="2"/>
  <c r="K1532" i="2" s="1"/>
  <c r="L1532" i="2" s="1"/>
  <c r="M1532" i="2" s="1"/>
  <c r="H1532" i="2"/>
  <c r="I1532" i="2"/>
  <c r="F1532" i="2"/>
  <c r="H1586" i="2"/>
  <c r="F1586" i="2"/>
  <c r="E1586" i="2"/>
  <c r="N1586" i="2"/>
  <c r="K1586" i="2" s="1"/>
  <c r="L1586" i="2" s="1"/>
  <c r="M1586" i="2" s="1"/>
  <c r="I1586" i="2"/>
  <c r="J1586" i="2"/>
  <c r="J1676" i="2"/>
  <c r="I1676" i="2"/>
  <c r="H1676" i="2"/>
  <c r="E1676" i="2"/>
  <c r="F1676" i="2"/>
  <c r="N1676" i="2"/>
  <c r="K1676" i="2" s="1"/>
  <c r="L1676" i="2" s="1"/>
  <c r="M1676" i="2" s="1"/>
  <c r="I1655" i="2"/>
  <c r="H1655" i="2"/>
  <c r="F1655" i="2"/>
  <c r="E1655" i="2"/>
  <c r="J1655" i="2"/>
  <c r="N1655" i="2"/>
  <c r="K1655" i="2" s="1"/>
  <c r="L1655" i="2" s="1"/>
  <c r="M1655" i="2" s="1"/>
  <c r="J1556" i="2"/>
  <c r="N1556" i="2"/>
  <c r="K1556" i="2" s="1"/>
  <c r="L1556" i="2" s="1"/>
  <c r="M1556" i="2" s="1"/>
  <c r="H1556" i="2"/>
  <c r="E1556" i="2"/>
  <c r="I1556" i="2"/>
  <c r="F1556" i="2"/>
  <c r="J1817" i="2"/>
  <c r="E1817" i="2"/>
  <c r="N1817" i="2"/>
  <c r="K1817" i="2" s="1"/>
  <c r="L1817" i="2" s="1"/>
  <c r="M1817" i="2" s="1"/>
  <c r="I1817" i="2"/>
  <c r="F1817" i="2"/>
  <c r="H1817" i="2"/>
  <c r="J1858" i="2"/>
  <c r="N1858" i="2"/>
  <c r="K1858" i="2" s="1"/>
  <c r="L1858" i="2" s="1"/>
  <c r="M1858" i="2" s="1"/>
  <c r="E1858" i="2"/>
  <c r="I1858" i="2"/>
  <c r="H1858" i="2"/>
  <c r="F1858" i="2"/>
  <c r="I1835" i="2"/>
  <c r="H1835" i="2"/>
  <c r="F1835" i="2"/>
  <c r="E1835" i="2"/>
  <c r="N1835" i="2"/>
  <c r="K1835" i="2" s="1"/>
  <c r="L1835" i="2" s="1"/>
  <c r="M1835" i="2" s="1"/>
  <c r="J1835" i="2"/>
  <c r="E1344" i="2"/>
  <c r="J1344" i="2"/>
  <c r="I1344" i="2"/>
  <c r="F1344" i="2"/>
  <c r="H1344" i="2"/>
  <c r="N1344" i="2"/>
  <c r="K1344" i="2" s="1"/>
  <c r="L1344" i="2" s="1"/>
  <c r="M1344" i="2" s="1"/>
  <c r="N1428" i="2"/>
  <c r="K1428" i="2" s="1"/>
  <c r="L1428" i="2" s="1"/>
  <c r="M1428" i="2" s="1"/>
  <c r="I1428" i="2"/>
  <c r="H1428" i="2"/>
  <c r="F1428" i="2"/>
  <c r="E1428" i="2"/>
  <c r="J1428" i="2"/>
  <c r="F1151" i="2"/>
  <c r="N1151" i="2" s="1"/>
  <c r="K1151" i="2" s="1"/>
  <c r="N1401" i="2"/>
  <c r="K1401" i="2" s="1"/>
  <c r="L1401" i="2" s="1"/>
  <c r="M1401" i="2" s="1"/>
  <c r="F1401" i="2"/>
  <c r="J1401" i="2"/>
  <c r="I1401" i="2"/>
  <c r="E1401" i="2"/>
  <c r="H1401" i="2"/>
  <c r="N1426" i="2"/>
  <c r="K1426" i="2" s="1"/>
  <c r="L1426" i="2" s="1"/>
  <c r="M1426" i="2" s="1"/>
  <c r="H1426" i="2"/>
  <c r="F1426" i="2"/>
  <c r="I1426" i="2"/>
  <c r="E1426" i="2"/>
  <c r="J1426" i="2"/>
  <c r="F1149" i="2"/>
  <c r="N1149" i="2" s="1"/>
  <c r="K1149" i="2" s="1"/>
  <c r="L1149" i="2" s="1"/>
  <c r="M1149" i="2" s="1"/>
  <c r="E1293" i="2"/>
  <c r="J1293" i="2"/>
  <c r="I1293" i="2"/>
  <c r="N1293" i="2"/>
  <c r="K1293" i="2" s="1"/>
  <c r="L1293" i="2" s="1"/>
  <c r="M1293" i="2" s="1"/>
  <c r="H1293" i="2"/>
  <c r="F1293" i="2"/>
  <c r="J1230" i="2"/>
  <c r="I1230" i="2"/>
  <c r="N1230" i="2"/>
  <c r="K1230" i="2" s="1"/>
  <c r="L1230" i="2" s="1"/>
  <c r="M1230" i="2" s="1"/>
  <c r="F1230" i="2"/>
  <c r="H1230" i="2"/>
  <c r="E1230" i="2"/>
  <c r="F1208" i="2"/>
  <c r="N1208" i="2" s="1"/>
  <c r="K1208" i="2" s="1"/>
  <c r="N1281" i="2"/>
  <c r="K1281" i="2" s="1"/>
  <c r="L1281" i="2" s="1"/>
  <c r="M1281" i="2" s="1"/>
  <c r="F1281" i="2"/>
  <c r="J1281" i="2"/>
  <c r="I1281" i="2"/>
  <c r="H1281" i="2"/>
  <c r="E1281" i="2"/>
  <c r="N1319" i="2"/>
  <c r="K1319" i="2" s="1"/>
  <c r="L1319" i="2" s="1"/>
  <c r="M1319" i="2" s="1"/>
  <c r="E1319" i="2"/>
  <c r="J1319" i="2"/>
  <c r="I1319" i="2"/>
  <c r="H1319" i="2"/>
  <c r="F1319" i="2"/>
  <c r="N710" i="2"/>
  <c r="K710" i="2" s="1"/>
  <c r="L710" i="2" s="1"/>
  <c r="M710" i="2" s="1"/>
  <c r="H710" i="2"/>
  <c r="E710" i="2"/>
  <c r="I710" i="2"/>
  <c r="F710" i="2"/>
  <c r="J710" i="2"/>
  <c r="F692" i="2"/>
  <c r="N692" i="2" s="1"/>
  <c r="K692" i="2" s="1"/>
  <c r="H692" i="2"/>
  <c r="J953" i="2"/>
  <c r="I953" i="2"/>
  <c r="N953" i="2"/>
  <c r="K953" i="2" s="1"/>
  <c r="L953" i="2" s="1"/>
  <c r="M953" i="2" s="1"/>
  <c r="F953" i="2"/>
  <c r="E953" i="2"/>
  <c r="H953" i="2"/>
  <c r="H941" i="2"/>
  <c r="I941" i="2" s="1"/>
  <c r="F941" i="2"/>
  <c r="N941" i="2" s="1"/>
  <c r="K941" i="2" s="1"/>
  <c r="F945" i="2"/>
  <c r="N945" i="2" s="1"/>
  <c r="K945" i="2" s="1"/>
  <c r="H945" i="2"/>
  <c r="F1134" i="2"/>
  <c r="E1134" i="2"/>
  <c r="J1134" i="2"/>
  <c r="N1134" i="2"/>
  <c r="K1134" i="2" s="1"/>
  <c r="L1134" i="2" s="1"/>
  <c r="M1134" i="2" s="1"/>
  <c r="I1134" i="2"/>
  <c r="H1134" i="2"/>
  <c r="N1133" i="2"/>
  <c r="K1133" i="2" s="1"/>
  <c r="L1133" i="2" s="1"/>
  <c r="M1133" i="2" s="1"/>
  <c r="J1133" i="2"/>
  <c r="H1133" i="2"/>
  <c r="F1133" i="2"/>
  <c r="E1133" i="2"/>
  <c r="I1133" i="2"/>
  <c r="I1145" i="2"/>
  <c r="H1145" i="2"/>
  <c r="F1145" i="2"/>
  <c r="E1145" i="2"/>
  <c r="J1145" i="2"/>
  <c r="N1145" i="2"/>
  <c r="K1145" i="2" s="1"/>
  <c r="L1145" i="2" s="1"/>
  <c r="M1145" i="2" s="1"/>
  <c r="J1082" i="2"/>
  <c r="N1082" i="2"/>
  <c r="K1082" i="2" s="1"/>
  <c r="L1082" i="2" s="1"/>
  <c r="M1082" i="2" s="1"/>
  <c r="E1082" i="2"/>
  <c r="H1082" i="2"/>
  <c r="F1082" i="2"/>
  <c r="I1082" i="2"/>
  <c r="J1055" i="2"/>
  <c r="I1055" i="2"/>
  <c r="H1055" i="2"/>
  <c r="F1055" i="2"/>
  <c r="E1055" i="2"/>
  <c r="N1055" i="2"/>
  <c r="K1055" i="2" s="1"/>
  <c r="L1055" i="2" s="1"/>
  <c r="M1055" i="2" s="1"/>
  <c r="J1058" i="2"/>
  <c r="I1058" i="2"/>
  <c r="H1058" i="2"/>
  <c r="F1058" i="2"/>
  <c r="N1058" i="2"/>
  <c r="K1058" i="2" s="1"/>
  <c r="L1058" i="2" s="1"/>
  <c r="M1058" i="2" s="1"/>
  <c r="E1058" i="2"/>
  <c r="J770" i="2"/>
  <c r="I770" i="2"/>
  <c r="H770" i="2"/>
  <c r="E770" i="2"/>
  <c r="F770" i="2"/>
  <c r="N770" i="2"/>
  <c r="K770" i="2" s="1"/>
  <c r="L770" i="2" s="1"/>
  <c r="M770" i="2" s="1"/>
  <c r="N580" i="2"/>
  <c r="K580" i="2" s="1"/>
  <c r="L580" i="2" s="1"/>
  <c r="M580" i="2" s="1"/>
  <c r="E580" i="2"/>
  <c r="J580" i="2"/>
  <c r="H580" i="2"/>
  <c r="I580" i="2"/>
  <c r="F580" i="2"/>
  <c r="H579" i="2"/>
  <c r="F579" i="2"/>
  <c r="E579" i="2"/>
  <c r="J579" i="2"/>
  <c r="I579" i="2"/>
  <c r="N579" i="2"/>
  <c r="K579" i="2" s="1"/>
  <c r="L579" i="2" s="1"/>
  <c r="M579" i="2" s="1"/>
  <c r="H746" i="2"/>
  <c r="I746" i="2" s="1"/>
  <c r="F746" i="2"/>
  <c r="N746" i="2" s="1"/>
  <c r="K746" i="2" s="1"/>
  <c r="L746" i="2" s="1"/>
  <c r="M746" i="2" s="1"/>
  <c r="H325" i="2"/>
  <c r="N325" i="2"/>
  <c r="K325" i="2" s="1"/>
  <c r="H650" i="2"/>
  <c r="F650" i="2"/>
  <c r="E650" i="2"/>
  <c r="N650" i="2"/>
  <c r="K650" i="2" s="1"/>
  <c r="L650" i="2" s="1"/>
  <c r="M650" i="2" s="1"/>
  <c r="I650" i="2"/>
  <c r="J650" i="2"/>
  <c r="J666" i="2"/>
  <c r="I666" i="2"/>
  <c r="H666" i="2"/>
  <c r="F666" i="2"/>
  <c r="E666" i="2"/>
  <c r="N666" i="2"/>
  <c r="K666" i="2" s="1"/>
  <c r="L666" i="2" s="1"/>
  <c r="M666" i="2" s="1"/>
  <c r="F622" i="2"/>
  <c r="N622" i="2" s="1"/>
  <c r="K622" i="2" s="1"/>
  <c r="L622" i="2" s="1"/>
  <c r="M622" i="2" s="1"/>
  <c r="H622" i="2"/>
  <c r="I622" i="2" s="1"/>
  <c r="N174" i="2"/>
  <c r="K174" i="2" s="1"/>
  <c r="L174" i="2" s="1"/>
  <c r="M174" i="2" s="1"/>
  <c r="J174" i="2"/>
  <c r="I174" i="2"/>
  <c r="H174" i="2"/>
  <c r="F174" i="2"/>
  <c r="E174" i="2"/>
  <c r="I238" i="2"/>
  <c r="H238" i="2"/>
  <c r="F238" i="2"/>
  <c r="E238" i="2"/>
  <c r="J238" i="2"/>
  <c r="N238" i="2"/>
  <c r="K238" i="2" s="1"/>
  <c r="L238" i="2" s="1"/>
  <c r="M238" i="2" s="1"/>
  <c r="H190" i="2"/>
  <c r="F190" i="2"/>
  <c r="N190" i="2" s="1"/>
  <c r="K190" i="2" s="1"/>
  <c r="F502" i="2"/>
  <c r="N502" i="2" s="1"/>
  <c r="K502" i="2" s="1"/>
  <c r="H502" i="2"/>
  <c r="I502" i="2" s="1"/>
  <c r="I540" i="2"/>
  <c r="H540" i="2"/>
  <c r="F540" i="2"/>
  <c r="E540" i="2"/>
  <c r="J540" i="2"/>
  <c r="N540" i="2"/>
  <c r="K540" i="2" s="1"/>
  <c r="L540" i="2" s="1"/>
  <c r="M540" i="2" s="1"/>
  <c r="N246" i="2"/>
  <c r="K246" i="2" s="1"/>
  <c r="L246" i="2" s="1"/>
  <c r="M246" i="2" s="1"/>
  <c r="I246" i="2"/>
  <c r="H246" i="2"/>
  <c r="J246" i="2"/>
  <c r="F246" i="2"/>
  <c r="E246" i="2"/>
  <c r="N893" i="2"/>
  <c r="K893" i="2" s="1"/>
  <c r="L893" i="2" s="1"/>
  <c r="M893" i="2" s="1"/>
  <c r="F893" i="2"/>
  <c r="E893" i="2"/>
  <c r="I893" i="2"/>
  <c r="J893" i="2"/>
  <c r="H893" i="2"/>
  <c r="I896" i="2"/>
  <c r="N896" i="2"/>
  <c r="K896" i="2" s="1"/>
  <c r="L896" i="2" s="1"/>
  <c r="M896" i="2" s="1"/>
  <c r="E896" i="2"/>
  <c r="F896" i="2"/>
  <c r="J896" i="2"/>
  <c r="H896" i="2"/>
  <c r="F855" i="2"/>
  <c r="N855" i="2" s="1"/>
  <c r="K855" i="2" s="1"/>
  <c r="L855" i="2" s="1"/>
  <c r="M855" i="2" s="1"/>
  <c r="N433" i="2"/>
  <c r="K433" i="2" s="1"/>
  <c r="L433" i="2" s="1"/>
  <c r="M433" i="2" s="1"/>
  <c r="J465" i="2"/>
  <c r="H465" i="2"/>
  <c r="N465" i="2"/>
  <c r="K465" i="2" s="1"/>
  <c r="L465" i="2" s="1"/>
  <c r="M465" i="2" s="1"/>
  <c r="I465" i="2"/>
  <c r="E465" i="2"/>
  <c r="J454" i="2"/>
  <c r="H454" i="2"/>
  <c r="E454" i="2"/>
  <c r="N454" i="2"/>
  <c r="K454" i="2" s="1"/>
  <c r="L454" i="2" s="1"/>
  <c r="M454" i="2" s="1"/>
  <c r="I454" i="2"/>
  <c r="F90" i="2"/>
  <c r="N90" i="2" s="1"/>
  <c r="K90" i="2" s="1"/>
  <c r="H90" i="2"/>
  <c r="H273" i="2"/>
  <c r="E273" i="2"/>
  <c r="N273" i="2"/>
  <c r="K273" i="2" s="1"/>
  <c r="L273" i="2" s="1"/>
  <c r="M273" i="2" s="1"/>
  <c r="J273" i="2"/>
  <c r="I273" i="2"/>
  <c r="H289" i="2"/>
  <c r="E289" i="2"/>
  <c r="N289" i="2"/>
  <c r="K289" i="2" s="1"/>
  <c r="L289" i="2" s="1"/>
  <c r="M289" i="2" s="1"/>
  <c r="I289" i="2"/>
  <c r="J289" i="2"/>
  <c r="E302" i="2"/>
  <c r="I302" i="2"/>
  <c r="H302" i="2"/>
  <c r="N302" i="2"/>
  <c r="K302" i="2" s="1"/>
  <c r="L302" i="2" s="1"/>
  <c r="M302" i="2" s="1"/>
  <c r="J302" i="2"/>
  <c r="N64" i="2"/>
  <c r="K64" i="2" s="1"/>
  <c r="L64" i="2" s="1"/>
  <c r="M64" i="2" s="1"/>
  <c r="J64" i="2"/>
  <c r="I64" i="2"/>
  <c r="E64" i="2"/>
  <c r="H64" i="2"/>
  <c r="F64" i="2"/>
  <c r="J63" i="2"/>
  <c r="I63" i="2"/>
  <c r="H63" i="2"/>
  <c r="F63" i="2"/>
  <c r="E63" i="2"/>
  <c r="N63" i="2"/>
  <c r="K63" i="2" s="1"/>
  <c r="L63" i="2" s="1"/>
  <c r="M63" i="2" s="1"/>
  <c r="I267" i="2"/>
  <c r="I11" i="2"/>
  <c r="N2371" i="2"/>
  <c r="K2371" i="2" s="1"/>
  <c r="L2371" i="2" s="1"/>
  <c r="M2371" i="2" s="1"/>
  <c r="J2371" i="2"/>
  <c r="H2371" i="2"/>
  <c r="F2371" i="2"/>
  <c r="I2371" i="2"/>
  <c r="E2371" i="2"/>
  <c r="N2228" i="2"/>
  <c r="K2228" i="2" s="1"/>
  <c r="L2228" i="2" s="1"/>
  <c r="M2228" i="2" s="1"/>
  <c r="J2228" i="2"/>
  <c r="E2228" i="2"/>
  <c r="H2228" i="2"/>
  <c r="I2228" i="2"/>
  <c r="F2228" i="2"/>
  <c r="N2144" i="2"/>
  <c r="K2144" i="2" s="1"/>
  <c r="L2144" i="2" s="1"/>
  <c r="M2144" i="2" s="1"/>
  <c r="F2144" i="2"/>
  <c r="E2144" i="2"/>
  <c r="J2144" i="2"/>
  <c r="I2144" i="2"/>
  <c r="H2144" i="2"/>
  <c r="N2337" i="2"/>
  <c r="K2337" i="2" s="1"/>
  <c r="L2337" i="2" s="1"/>
  <c r="M2337" i="2" s="1"/>
  <c r="J2337" i="2"/>
  <c r="H2337" i="2"/>
  <c r="E2337" i="2"/>
  <c r="F2337" i="2"/>
  <c r="I2337" i="2"/>
  <c r="N2174" i="2"/>
  <c r="K2174" i="2" s="1"/>
  <c r="L2174" i="2" s="1"/>
  <c r="M2174" i="2" s="1"/>
  <c r="E2174" i="2"/>
  <c r="I2174" i="2"/>
  <c r="F2174" i="2"/>
  <c r="H2174" i="2"/>
  <c r="J2174" i="2"/>
  <c r="J1881" i="2"/>
  <c r="N1881" i="2"/>
  <c r="K1881" i="2" s="1"/>
  <c r="L1881" i="2" s="1"/>
  <c r="M1881" i="2" s="1"/>
  <c r="F1881" i="2"/>
  <c r="I1881" i="2"/>
  <c r="H1881" i="2"/>
  <c r="E1881" i="2"/>
  <c r="I2028" i="2"/>
  <c r="H2028" i="2"/>
  <c r="F2028" i="2"/>
  <c r="E2028" i="2"/>
  <c r="J2028" i="2"/>
  <c r="N2028" i="2"/>
  <c r="K2028" i="2" s="1"/>
  <c r="L2028" i="2" s="1"/>
  <c r="M2028" i="2" s="1"/>
  <c r="J1911" i="2"/>
  <c r="I1911" i="2"/>
  <c r="H1911" i="2"/>
  <c r="F1911" i="2"/>
  <c r="N1911" i="2"/>
  <c r="K1911" i="2" s="1"/>
  <c r="L1911" i="2" s="1"/>
  <c r="M1911" i="2" s="1"/>
  <c r="E1911" i="2"/>
  <c r="E1921" i="2"/>
  <c r="J1921" i="2"/>
  <c r="I1921" i="2"/>
  <c r="F1921" i="2"/>
  <c r="N1921" i="2"/>
  <c r="K1921" i="2" s="1"/>
  <c r="L1921" i="2" s="1"/>
  <c r="M1921" i="2" s="1"/>
  <c r="H1921" i="2"/>
  <c r="J2023" i="2"/>
  <c r="I2023" i="2"/>
  <c r="H2023" i="2"/>
  <c r="F2023" i="2"/>
  <c r="E2023" i="2"/>
  <c r="N2023" i="2"/>
  <c r="K2023" i="2" s="1"/>
  <c r="L2023" i="2" s="1"/>
  <c r="M2023" i="2" s="1"/>
  <c r="J2039" i="2"/>
  <c r="I2039" i="2"/>
  <c r="H2039" i="2"/>
  <c r="F2039" i="2"/>
  <c r="E2039" i="2"/>
  <c r="N2039" i="2"/>
  <c r="K2039" i="2" s="1"/>
  <c r="L2039" i="2" s="1"/>
  <c r="M2039" i="2" s="1"/>
  <c r="I1988" i="2"/>
  <c r="H1988" i="2"/>
  <c r="F1988" i="2"/>
  <c r="E1988" i="2"/>
  <c r="N1988" i="2"/>
  <c r="K1988" i="2" s="1"/>
  <c r="L1988" i="2" s="1"/>
  <c r="M1988" i="2" s="1"/>
  <c r="J1988" i="2"/>
  <c r="N1957" i="2"/>
  <c r="K1957" i="2" s="1"/>
  <c r="L1957" i="2" s="1"/>
  <c r="M1957" i="2" s="1"/>
  <c r="F1957" i="2"/>
  <c r="J1957" i="2"/>
  <c r="H1957" i="2"/>
  <c r="I1957" i="2"/>
  <c r="E1957" i="2"/>
  <c r="I2392" i="2"/>
  <c r="H2392" i="2"/>
  <c r="J2392" i="2"/>
  <c r="N2392" i="2"/>
  <c r="K2392" i="2" s="1"/>
  <c r="L2392" i="2" s="1"/>
  <c r="M2392" i="2" s="1"/>
  <c r="E2392" i="2"/>
  <c r="F2392" i="2"/>
  <c r="F2375" i="2"/>
  <c r="I2375" i="2"/>
  <c r="N2375" i="2"/>
  <c r="K2375" i="2" s="1"/>
  <c r="L2375" i="2" s="1"/>
  <c r="M2375" i="2" s="1"/>
  <c r="J2375" i="2"/>
  <c r="H2375" i="2"/>
  <c r="E2375" i="2"/>
  <c r="F2279" i="2"/>
  <c r="I2279" i="2"/>
  <c r="N2279" i="2"/>
  <c r="K2279" i="2" s="1"/>
  <c r="L2279" i="2" s="1"/>
  <c r="M2279" i="2" s="1"/>
  <c r="J2279" i="2"/>
  <c r="E2279" i="2"/>
  <c r="H2279" i="2"/>
  <c r="N2163" i="2"/>
  <c r="K2163" i="2" s="1"/>
  <c r="L2163" i="2" s="1"/>
  <c r="M2163" i="2" s="1"/>
  <c r="H2163" i="2"/>
  <c r="J2163" i="2"/>
  <c r="I2163" i="2"/>
  <c r="E2163" i="2"/>
  <c r="F2163" i="2"/>
  <c r="J2126" i="2"/>
  <c r="H2126" i="2"/>
  <c r="F2126" i="2"/>
  <c r="I2126" i="2"/>
  <c r="N2126" i="2"/>
  <c r="K2126" i="2" s="1"/>
  <c r="L2126" i="2" s="1"/>
  <c r="M2126" i="2" s="1"/>
  <c r="E2126" i="2"/>
  <c r="N2297" i="2"/>
  <c r="K2297" i="2" s="1"/>
  <c r="L2297" i="2" s="1"/>
  <c r="M2297" i="2" s="1"/>
  <c r="I2297" i="2"/>
  <c r="H2297" i="2"/>
  <c r="E2297" i="2"/>
  <c r="F2297" i="2"/>
  <c r="J2297" i="2"/>
  <c r="I2295" i="2"/>
  <c r="N2295" i="2"/>
  <c r="K2295" i="2" s="1"/>
  <c r="L2295" i="2" s="1"/>
  <c r="M2295" i="2" s="1"/>
  <c r="H2295" i="2"/>
  <c r="F2295" i="2"/>
  <c r="E2295" i="2"/>
  <c r="J2295" i="2"/>
  <c r="J2290" i="2"/>
  <c r="H2290" i="2"/>
  <c r="F2290" i="2"/>
  <c r="N2290" i="2"/>
  <c r="K2290" i="2" s="1"/>
  <c r="L2290" i="2" s="1"/>
  <c r="M2290" i="2" s="1"/>
  <c r="E2290" i="2"/>
  <c r="I2290" i="2"/>
  <c r="I2180" i="2"/>
  <c r="F2180" i="2"/>
  <c r="J2180" i="2"/>
  <c r="E2180" i="2"/>
  <c r="H2180" i="2"/>
  <c r="N2180" i="2"/>
  <c r="K2180" i="2" s="1"/>
  <c r="L2180" i="2" s="1"/>
  <c r="M2180" i="2" s="1"/>
  <c r="J2182" i="2"/>
  <c r="H2182" i="2"/>
  <c r="N2182" i="2"/>
  <c r="K2182" i="2" s="1"/>
  <c r="L2182" i="2" s="1"/>
  <c r="M2182" i="2" s="1"/>
  <c r="I2182" i="2"/>
  <c r="F2182" i="2"/>
  <c r="E2182" i="2"/>
  <c r="I2181" i="2"/>
  <c r="F2181" i="2"/>
  <c r="J2181" i="2"/>
  <c r="H2181" i="2"/>
  <c r="E2181" i="2"/>
  <c r="N2181" i="2"/>
  <c r="K2181" i="2" s="1"/>
  <c r="L2181" i="2" s="1"/>
  <c r="M2181" i="2" s="1"/>
  <c r="F2194" i="2"/>
  <c r="H2194" i="2"/>
  <c r="E2194" i="2"/>
  <c r="J2194" i="2"/>
  <c r="I2194" i="2"/>
  <c r="N2194" i="2"/>
  <c r="K2194" i="2" s="1"/>
  <c r="L2194" i="2" s="1"/>
  <c r="M2194" i="2" s="1"/>
  <c r="J2078" i="2"/>
  <c r="I2078" i="2"/>
  <c r="E2078" i="2"/>
  <c r="N2078" i="2"/>
  <c r="K2078" i="2" s="1"/>
  <c r="L2078" i="2" s="1"/>
  <c r="M2078" i="2" s="1"/>
  <c r="H2078" i="2"/>
  <c r="F2078" i="2"/>
  <c r="I2104" i="2"/>
  <c r="J2104" i="2"/>
  <c r="H2104" i="2"/>
  <c r="F2104" i="2"/>
  <c r="N2104" i="2"/>
  <c r="K2104" i="2" s="1"/>
  <c r="L2104" i="2" s="1"/>
  <c r="M2104" i="2" s="1"/>
  <c r="E2104" i="2"/>
  <c r="F2066" i="2"/>
  <c r="J2066" i="2"/>
  <c r="N2066" i="2"/>
  <c r="K2066" i="2" s="1"/>
  <c r="L2066" i="2" s="1"/>
  <c r="M2066" i="2" s="1"/>
  <c r="H2066" i="2"/>
  <c r="E2066" i="2"/>
  <c r="I2066" i="2"/>
  <c r="N2065" i="2"/>
  <c r="K2065" i="2" s="1"/>
  <c r="L2065" i="2" s="1"/>
  <c r="M2065" i="2" s="1"/>
  <c r="E2065" i="2"/>
  <c r="J2065" i="2"/>
  <c r="I2065" i="2"/>
  <c r="H2065" i="2"/>
  <c r="F2065" i="2"/>
  <c r="J1906" i="2"/>
  <c r="I1906" i="2"/>
  <c r="N1906" i="2"/>
  <c r="K1906" i="2" s="1"/>
  <c r="L1906" i="2" s="1"/>
  <c r="M1906" i="2" s="1"/>
  <c r="H1906" i="2"/>
  <c r="F1906" i="2"/>
  <c r="E1906" i="2"/>
  <c r="H1924" i="2"/>
  <c r="F1924" i="2"/>
  <c r="E1924" i="2"/>
  <c r="N1924" i="2"/>
  <c r="K1924" i="2" s="1"/>
  <c r="L1924" i="2" s="1"/>
  <c r="M1924" i="2" s="1"/>
  <c r="J1924" i="2"/>
  <c r="I1924" i="2"/>
  <c r="J1891" i="2"/>
  <c r="I1891" i="2"/>
  <c r="H1891" i="2"/>
  <c r="F1891" i="2"/>
  <c r="E1891" i="2"/>
  <c r="N1891" i="2"/>
  <c r="K1891" i="2" s="1"/>
  <c r="L1891" i="2" s="1"/>
  <c r="M1891" i="2" s="1"/>
  <c r="J2043" i="2"/>
  <c r="F2043" i="2"/>
  <c r="E2043" i="2"/>
  <c r="H2043" i="2"/>
  <c r="I2043" i="2"/>
  <c r="N2043" i="2"/>
  <c r="K2043" i="2" s="1"/>
  <c r="L2043" i="2" s="1"/>
  <c r="M2043" i="2" s="1"/>
  <c r="I1996" i="2"/>
  <c r="H1996" i="2"/>
  <c r="F1996" i="2"/>
  <c r="E1996" i="2"/>
  <c r="N1996" i="2"/>
  <c r="K1996" i="2" s="1"/>
  <c r="L1996" i="2" s="1"/>
  <c r="M1996" i="2" s="1"/>
  <c r="J1996" i="2"/>
  <c r="N2003" i="2"/>
  <c r="K2003" i="2" s="1"/>
  <c r="L2003" i="2" s="1"/>
  <c r="M2003" i="2" s="1"/>
  <c r="I2003" i="2"/>
  <c r="F2003" i="2"/>
  <c r="E2003" i="2"/>
  <c r="J2003" i="2"/>
  <c r="H2003" i="2"/>
  <c r="N1962" i="2"/>
  <c r="K1962" i="2" s="1"/>
  <c r="L1962" i="2" s="1"/>
  <c r="M1962" i="2" s="1"/>
  <c r="I1962" i="2"/>
  <c r="H1962" i="2"/>
  <c r="F1962" i="2"/>
  <c r="E1962" i="2"/>
  <c r="J1962" i="2"/>
  <c r="F1950" i="2"/>
  <c r="E1950" i="2"/>
  <c r="J1950" i="2"/>
  <c r="I1950" i="2"/>
  <c r="H1950" i="2"/>
  <c r="N1950" i="2"/>
  <c r="K1950" i="2" s="1"/>
  <c r="L1950" i="2" s="1"/>
  <c r="M1950" i="2" s="1"/>
  <c r="N1734" i="2"/>
  <c r="K1734" i="2" s="1"/>
  <c r="L1734" i="2" s="1"/>
  <c r="M1734" i="2" s="1"/>
  <c r="I1734" i="2"/>
  <c r="H1734" i="2"/>
  <c r="J1734" i="2"/>
  <c r="F1734" i="2"/>
  <c r="E1734" i="2"/>
  <c r="N1717" i="2"/>
  <c r="K1717" i="2" s="1"/>
  <c r="L1717" i="2" s="1"/>
  <c r="M1717" i="2" s="1"/>
  <c r="I1717" i="2"/>
  <c r="H1717" i="2"/>
  <c r="F1717" i="2"/>
  <c r="E1717" i="2"/>
  <c r="J1717" i="2"/>
  <c r="J1516" i="2"/>
  <c r="E1516" i="2"/>
  <c r="F1516" i="2"/>
  <c r="N1516" i="2"/>
  <c r="K1516" i="2" s="1"/>
  <c r="L1516" i="2" s="1"/>
  <c r="M1516" i="2" s="1"/>
  <c r="I1516" i="2"/>
  <c r="H1516" i="2"/>
  <c r="I1570" i="2"/>
  <c r="H1570" i="2"/>
  <c r="F1570" i="2"/>
  <c r="E1570" i="2"/>
  <c r="N1570" i="2"/>
  <c r="K1570" i="2" s="1"/>
  <c r="L1570" i="2" s="1"/>
  <c r="M1570" i="2" s="1"/>
  <c r="J1570" i="2"/>
  <c r="N1651" i="2"/>
  <c r="K1651" i="2" s="1"/>
  <c r="L1651" i="2" s="1"/>
  <c r="M1651" i="2" s="1"/>
  <c r="I1651" i="2"/>
  <c r="H1651" i="2"/>
  <c r="J1651" i="2"/>
  <c r="E1651" i="2"/>
  <c r="F1651" i="2"/>
  <c r="N1671" i="2"/>
  <c r="K1671" i="2" s="1"/>
  <c r="L1671" i="2" s="1"/>
  <c r="M1671" i="2" s="1"/>
  <c r="F1671" i="2"/>
  <c r="E1671" i="2"/>
  <c r="J1671" i="2"/>
  <c r="I1671" i="2"/>
  <c r="H1671" i="2"/>
  <c r="J1540" i="2"/>
  <c r="N1540" i="2"/>
  <c r="K1540" i="2" s="1"/>
  <c r="L1540" i="2" s="1"/>
  <c r="M1540" i="2" s="1"/>
  <c r="E1540" i="2"/>
  <c r="H1540" i="2"/>
  <c r="I1540" i="2"/>
  <c r="F1540" i="2"/>
  <c r="F1856" i="2"/>
  <c r="E1856" i="2"/>
  <c r="N1856" i="2"/>
  <c r="K1856" i="2" s="1"/>
  <c r="L1856" i="2" s="1"/>
  <c r="M1856" i="2" s="1"/>
  <c r="J1856" i="2"/>
  <c r="I1856" i="2"/>
  <c r="H1856" i="2"/>
  <c r="N1812" i="2"/>
  <c r="K1812" i="2" s="1"/>
  <c r="L1812" i="2" s="1"/>
  <c r="M1812" i="2" s="1"/>
  <c r="F1812" i="2"/>
  <c r="E1812" i="2"/>
  <c r="I1812" i="2"/>
  <c r="J1812" i="2"/>
  <c r="H1812" i="2"/>
  <c r="I1851" i="2"/>
  <c r="H1851" i="2"/>
  <c r="F1851" i="2"/>
  <c r="E1851" i="2"/>
  <c r="J1851" i="2"/>
  <c r="N1851" i="2"/>
  <c r="K1851" i="2" s="1"/>
  <c r="L1851" i="2" s="1"/>
  <c r="M1851" i="2" s="1"/>
  <c r="N1495" i="2"/>
  <c r="K1495" i="2" s="1"/>
  <c r="L1495" i="2" s="1"/>
  <c r="M1495" i="2" s="1"/>
  <c r="I1495" i="2"/>
  <c r="E1495" i="2"/>
  <c r="F1495" i="2"/>
  <c r="J1495" i="2"/>
  <c r="H1495" i="2"/>
  <c r="F1389" i="2"/>
  <c r="N1389" i="2" s="1"/>
  <c r="K1389" i="2" s="1"/>
  <c r="L1389" i="2" s="1"/>
  <c r="M1389" i="2" s="1"/>
  <c r="F1421" i="2"/>
  <c r="E1421" i="2"/>
  <c r="J1421" i="2"/>
  <c r="I1421" i="2"/>
  <c r="H1421" i="2"/>
  <c r="N1421" i="2"/>
  <c r="K1421" i="2" s="1"/>
  <c r="L1421" i="2" s="1"/>
  <c r="M1421" i="2" s="1"/>
  <c r="J1442" i="2"/>
  <c r="I1442" i="2"/>
  <c r="E1442" i="2"/>
  <c r="H1442" i="2"/>
  <c r="F1442" i="2"/>
  <c r="N1442" i="2"/>
  <c r="K1442" i="2" s="1"/>
  <c r="L1442" i="2" s="1"/>
  <c r="M1442" i="2" s="1"/>
  <c r="I1246" i="2"/>
  <c r="H1246" i="2"/>
  <c r="F1246" i="2"/>
  <c r="E1246" i="2"/>
  <c r="J1246" i="2"/>
  <c r="N1246" i="2"/>
  <c r="K1246" i="2" s="1"/>
  <c r="L1246" i="2" s="1"/>
  <c r="M1246" i="2" s="1"/>
  <c r="J1223" i="2"/>
  <c r="I1223" i="2"/>
  <c r="H1223" i="2"/>
  <c r="E1223" i="2"/>
  <c r="F1223" i="2"/>
  <c r="N1223" i="2"/>
  <c r="K1223" i="2" s="1"/>
  <c r="L1223" i="2" s="1"/>
  <c r="M1223" i="2" s="1"/>
  <c r="E1301" i="2"/>
  <c r="N1301" i="2"/>
  <c r="K1301" i="2" s="1"/>
  <c r="L1301" i="2" s="1"/>
  <c r="M1301" i="2" s="1"/>
  <c r="H1301" i="2"/>
  <c r="F1301" i="2"/>
  <c r="J1301" i="2"/>
  <c r="I1301" i="2"/>
  <c r="F1272" i="2"/>
  <c r="N1272" i="2" s="1"/>
  <c r="K1272" i="2" s="1"/>
  <c r="L1272" i="2" s="1"/>
  <c r="M1272" i="2" s="1"/>
  <c r="H694" i="2"/>
  <c r="I694" i="2" s="1"/>
  <c r="F694" i="2"/>
  <c r="N694" i="2" s="1"/>
  <c r="K694" i="2" s="1"/>
  <c r="L694" i="2" s="1"/>
  <c r="M694" i="2" s="1"/>
  <c r="F676" i="2"/>
  <c r="N676" i="2" s="1"/>
  <c r="K676" i="2" s="1"/>
  <c r="L676" i="2" s="1"/>
  <c r="M676" i="2" s="1"/>
  <c r="F921" i="2"/>
  <c r="N921" i="2" s="1"/>
  <c r="K921" i="2" s="1"/>
  <c r="H921" i="2"/>
  <c r="I921" i="2" s="1"/>
  <c r="H940" i="2"/>
  <c r="I940" i="2" s="1"/>
  <c r="F940" i="2"/>
  <c r="N940" i="2" s="1"/>
  <c r="K940" i="2" s="1"/>
  <c r="J957" i="2"/>
  <c r="E957" i="2"/>
  <c r="I957" i="2"/>
  <c r="H957" i="2"/>
  <c r="F957" i="2"/>
  <c r="N957" i="2"/>
  <c r="K957" i="2" s="1"/>
  <c r="L957" i="2" s="1"/>
  <c r="M957" i="2" s="1"/>
  <c r="J961" i="2"/>
  <c r="I961" i="2"/>
  <c r="N961" i="2"/>
  <c r="K961" i="2" s="1"/>
  <c r="L961" i="2" s="1"/>
  <c r="M961" i="2" s="1"/>
  <c r="F961" i="2"/>
  <c r="H961" i="2"/>
  <c r="E961" i="2"/>
  <c r="F1092" i="2"/>
  <c r="N1092" i="2" s="1"/>
  <c r="K1092" i="2" s="1"/>
  <c r="F1090" i="2"/>
  <c r="N1090" i="2" s="1"/>
  <c r="K1090" i="2" s="1"/>
  <c r="L1090" i="2" s="1"/>
  <c r="M1090" i="2" s="1"/>
  <c r="F1098" i="2"/>
  <c r="N1098" i="2" s="1"/>
  <c r="K1098" i="2" s="1"/>
  <c r="I1044" i="2"/>
  <c r="H1044" i="2"/>
  <c r="F1044" i="2"/>
  <c r="E1044" i="2"/>
  <c r="N1044" i="2"/>
  <c r="K1044" i="2" s="1"/>
  <c r="L1044" i="2" s="1"/>
  <c r="M1044" i="2" s="1"/>
  <c r="J1044" i="2"/>
  <c r="N1080" i="2"/>
  <c r="K1080" i="2" s="1"/>
  <c r="L1080" i="2" s="1"/>
  <c r="M1080" i="2" s="1"/>
  <c r="I1080" i="2"/>
  <c r="J1080" i="2"/>
  <c r="H1080" i="2"/>
  <c r="F1080" i="2"/>
  <c r="E1080" i="2"/>
  <c r="J1074" i="2"/>
  <c r="N1074" i="2"/>
  <c r="K1074" i="2" s="1"/>
  <c r="L1074" i="2" s="1"/>
  <c r="M1074" i="2" s="1"/>
  <c r="E1074" i="2"/>
  <c r="I1074" i="2"/>
  <c r="H1074" i="2"/>
  <c r="F1074" i="2"/>
  <c r="F742" i="2"/>
  <c r="N742" i="2" s="1"/>
  <c r="K742" i="2" s="1"/>
  <c r="H742" i="2"/>
  <c r="I742" i="2" s="1"/>
  <c r="E769" i="2"/>
  <c r="H769" i="2"/>
  <c r="F769" i="2"/>
  <c r="J769" i="2"/>
  <c r="N769" i="2"/>
  <c r="K769" i="2" s="1"/>
  <c r="L769" i="2" s="1"/>
  <c r="M769" i="2" s="1"/>
  <c r="I769" i="2"/>
  <c r="H564" i="2"/>
  <c r="I564" i="2" s="1"/>
  <c r="F564" i="2"/>
  <c r="N564" i="2" s="1"/>
  <c r="K564" i="2" s="1"/>
  <c r="N768" i="2"/>
  <c r="K768" i="2" s="1"/>
  <c r="L768" i="2" s="1"/>
  <c r="M768" i="2" s="1"/>
  <c r="F768" i="2"/>
  <c r="J768" i="2"/>
  <c r="E768" i="2"/>
  <c r="H768" i="2"/>
  <c r="I768" i="2"/>
  <c r="H563" i="2"/>
  <c r="I563" i="2" s="1"/>
  <c r="F563" i="2"/>
  <c r="N563" i="2" s="1"/>
  <c r="K563" i="2" s="1"/>
  <c r="L563" i="2" s="1"/>
  <c r="M563" i="2" s="1"/>
  <c r="H762" i="2"/>
  <c r="F762" i="2"/>
  <c r="N762" i="2" s="1"/>
  <c r="K762" i="2" s="1"/>
  <c r="N309" i="2"/>
  <c r="K309" i="2" s="1"/>
  <c r="F614" i="2"/>
  <c r="N614" i="2" s="1"/>
  <c r="K614" i="2" s="1"/>
  <c r="H624" i="2"/>
  <c r="I624" i="2" s="1"/>
  <c r="F624" i="2"/>
  <c r="N624" i="2" s="1"/>
  <c r="K624" i="2" s="1"/>
  <c r="L624" i="2" s="1"/>
  <c r="M624" i="2" s="1"/>
  <c r="H638" i="2"/>
  <c r="F638" i="2"/>
  <c r="N638" i="2" s="1"/>
  <c r="K638" i="2" s="1"/>
  <c r="L638" i="2" s="1"/>
  <c r="M638" i="2" s="1"/>
  <c r="E175" i="2"/>
  <c r="I175" i="2"/>
  <c r="H175" i="2"/>
  <c r="F175" i="2"/>
  <c r="N175" i="2"/>
  <c r="K175" i="2" s="1"/>
  <c r="L175" i="2" s="1"/>
  <c r="M175" i="2" s="1"/>
  <c r="J175" i="2"/>
  <c r="F212" i="2"/>
  <c r="E212" i="2"/>
  <c r="J212" i="2"/>
  <c r="I212" i="2"/>
  <c r="N212" i="2"/>
  <c r="K212" i="2" s="1"/>
  <c r="L212" i="2" s="1"/>
  <c r="M212" i="2" s="1"/>
  <c r="H212" i="2"/>
  <c r="N185" i="2"/>
  <c r="K185" i="2" s="1"/>
  <c r="L185" i="2" s="1"/>
  <c r="M185" i="2" s="1"/>
  <c r="F185" i="2"/>
  <c r="E185" i="2"/>
  <c r="J185" i="2"/>
  <c r="H185" i="2"/>
  <c r="I185" i="2"/>
  <c r="F661" i="2"/>
  <c r="E661" i="2"/>
  <c r="J661" i="2"/>
  <c r="N661" i="2"/>
  <c r="K661" i="2" s="1"/>
  <c r="L661" i="2" s="1"/>
  <c r="M661" i="2" s="1"/>
  <c r="I661" i="2"/>
  <c r="H661" i="2"/>
  <c r="F529" i="2"/>
  <c r="E529" i="2"/>
  <c r="N529" i="2"/>
  <c r="K529" i="2" s="1"/>
  <c r="L529" i="2" s="1"/>
  <c r="M529" i="2" s="1"/>
  <c r="J529" i="2"/>
  <c r="I529" i="2"/>
  <c r="H529" i="2"/>
  <c r="N493" i="2"/>
  <c r="K493" i="2" s="1"/>
  <c r="H199" i="2"/>
  <c r="I199" i="2" s="1"/>
  <c r="F199" i="2"/>
  <c r="N199" i="2" s="1"/>
  <c r="K199" i="2" s="1"/>
  <c r="L199" i="2" s="1"/>
  <c r="M199" i="2" s="1"/>
  <c r="H894" i="2"/>
  <c r="F894" i="2"/>
  <c r="E894" i="2"/>
  <c r="I894" i="2"/>
  <c r="J894" i="2"/>
  <c r="N894" i="2"/>
  <c r="K894" i="2" s="1"/>
  <c r="L894" i="2" s="1"/>
  <c r="M894" i="2" s="1"/>
  <c r="F851" i="2"/>
  <c r="N851" i="2" s="1"/>
  <c r="K851" i="2" s="1"/>
  <c r="H871" i="2"/>
  <c r="F871" i="2"/>
  <c r="N871" i="2" s="1"/>
  <c r="K871" i="2" s="1"/>
  <c r="L871" i="2" s="1"/>
  <c r="M871" i="2" s="1"/>
  <c r="J477" i="2"/>
  <c r="I477" i="2"/>
  <c r="E477" i="2"/>
  <c r="N477" i="2"/>
  <c r="K477" i="2" s="1"/>
  <c r="L477" i="2" s="1"/>
  <c r="M477" i="2" s="1"/>
  <c r="H477" i="2"/>
  <c r="H442" i="2"/>
  <c r="I442" i="2" s="1"/>
  <c r="N442" i="2"/>
  <c r="K442" i="2" s="1"/>
  <c r="J470" i="2"/>
  <c r="H470" i="2"/>
  <c r="I470" i="2"/>
  <c r="E470" i="2"/>
  <c r="N470" i="2"/>
  <c r="K470" i="2" s="1"/>
  <c r="L470" i="2" s="1"/>
  <c r="M470" i="2" s="1"/>
  <c r="H70" i="2"/>
  <c r="I70" i="2" s="1"/>
  <c r="F70" i="2"/>
  <c r="N70" i="2" s="1"/>
  <c r="K70" i="2" s="1"/>
  <c r="N274" i="2"/>
  <c r="K274" i="2" s="1"/>
  <c r="L274" i="2" s="1"/>
  <c r="M274" i="2" s="1"/>
  <c r="J274" i="2"/>
  <c r="E274" i="2"/>
  <c r="H274" i="2"/>
  <c r="I274" i="2"/>
  <c r="H264" i="2"/>
  <c r="I264" i="2" s="1"/>
  <c r="N264" i="2"/>
  <c r="K264" i="2" s="1"/>
  <c r="L264" i="2" s="1"/>
  <c r="M264" i="2" s="1"/>
  <c r="H255" i="2"/>
  <c r="F255" i="2"/>
  <c r="N255" i="2" s="1"/>
  <c r="K255" i="2" s="1"/>
  <c r="L255" i="2" s="1"/>
  <c r="M255" i="2" s="1"/>
  <c r="J39" i="2"/>
  <c r="I39" i="2"/>
  <c r="H39" i="2"/>
  <c r="F39" i="2"/>
  <c r="N39" i="2"/>
  <c r="K39" i="2" s="1"/>
  <c r="L39" i="2" s="1"/>
  <c r="M39" i="2" s="1"/>
  <c r="E39" i="2"/>
  <c r="N37" i="2"/>
  <c r="K37" i="2" s="1"/>
  <c r="L37" i="2" s="1"/>
  <c r="M37" i="2" s="1"/>
  <c r="H37" i="2"/>
  <c r="I37" i="2"/>
  <c r="J37" i="2"/>
  <c r="F37" i="2"/>
  <c r="E37" i="2"/>
  <c r="N27" i="2"/>
  <c r="K27" i="2" s="1"/>
  <c r="L27" i="2" s="1"/>
  <c r="M27" i="2" s="1"/>
  <c r="I27" i="2"/>
  <c r="H27" i="2"/>
  <c r="J27" i="2"/>
  <c r="F27" i="2"/>
  <c r="E27" i="2"/>
  <c r="N43" i="2"/>
  <c r="K43" i="2" s="1"/>
  <c r="L43" i="2" s="1"/>
  <c r="M43" i="2" s="1"/>
  <c r="J43" i="2"/>
  <c r="I43" i="2"/>
  <c r="H43" i="2"/>
  <c r="F43" i="2"/>
  <c r="E43" i="2"/>
  <c r="N59" i="2"/>
  <c r="K59" i="2" s="1"/>
  <c r="L59" i="2" s="1"/>
  <c r="M59" i="2" s="1"/>
  <c r="I59" i="2"/>
  <c r="F59" i="2"/>
  <c r="J59" i="2"/>
  <c r="H59" i="2"/>
  <c r="E59" i="2"/>
  <c r="I12" i="2"/>
  <c r="N12" i="2"/>
  <c r="K12" i="2" s="1"/>
  <c r="L12" i="2" s="1"/>
  <c r="M12" i="2" s="1"/>
  <c r="I28" i="2"/>
  <c r="H28" i="2"/>
  <c r="F28" i="2"/>
  <c r="E28" i="2"/>
  <c r="N28" i="2"/>
  <c r="K28" i="2" s="1"/>
  <c r="L28" i="2" s="1"/>
  <c r="M28" i="2" s="1"/>
  <c r="J28" i="2"/>
  <c r="H128" i="2"/>
  <c r="F128" i="2"/>
  <c r="N128" i="2" s="1"/>
  <c r="K128" i="2" s="1"/>
  <c r="L128" i="2" s="1"/>
  <c r="M128" i="2" s="1"/>
  <c r="I531" i="2"/>
  <c r="N531" i="2"/>
  <c r="K531" i="2" s="1"/>
  <c r="L531" i="2" s="1"/>
  <c r="M531" i="2" s="1"/>
  <c r="J531" i="2"/>
  <c r="H531" i="2"/>
  <c r="F531" i="2"/>
  <c r="E531" i="2"/>
  <c r="N494" i="2"/>
  <c r="K494" i="2" s="1"/>
  <c r="H210" i="2"/>
  <c r="F210" i="2"/>
  <c r="N210" i="2" s="1"/>
  <c r="K210" i="2" s="1"/>
  <c r="L210" i="2" s="1"/>
  <c r="M210" i="2" s="1"/>
  <c r="H200" i="2"/>
  <c r="I200" i="2" s="1"/>
  <c r="F200" i="2"/>
  <c r="N200" i="2" s="1"/>
  <c r="K200" i="2" s="1"/>
  <c r="L200" i="2" s="1"/>
  <c r="M200" i="2" s="1"/>
  <c r="N895" i="2"/>
  <c r="K895" i="2" s="1"/>
  <c r="L895" i="2" s="1"/>
  <c r="M895" i="2" s="1"/>
  <c r="J895" i="2"/>
  <c r="I895" i="2"/>
  <c r="H895" i="2"/>
  <c r="F895" i="2"/>
  <c r="E895" i="2"/>
  <c r="H882" i="2"/>
  <c r="I882" i="2" s="1"/>
  <c r="F882" i="2"/>
  <c r="N882" i="2" s="1"/>
  <c r="K882" i="2" s="1"/>
  <c r="H872" i="2"/>
  <c r="I872" i="2" s="1"/>
  <c r="F872" i="2"/>
  <c r="N872" i="2" s="1"/>
  <c r="K872" i="2" s="1"/>
  <c r="J481" i="2"/>
  <c r="N481" i="2"/>
  <c r="K481" i="2" s="1"/>
  <c r="L481" i="2" s="1"/>
  <c r="M481" i="2" s="1"/>
  <c r="E481" i="2"/>
  <c r="I481" i="2"/>
  <c r="H481" i="2"/>
  <c r="J462" i="2"/>
  <c r="H462" i="2"/>
  <c r="E462" i="2"/>
  <c r="N462" i="2"/>
  <c r="K462" i="2" s="1"/>
  <c r="L462" i="2" s="1"/>
  <c r="M462" i="2" s="1"/>
  <c r="I462" i="2"/>
  <c r="H471" i="2"/>
  <c r="E471" i="2"/>
  <c r="N471" i="2"/>
  <c r="K471" i="2" s="1"/>
  <c r="L471" i="2" s="1"/>
  <c r="M471" i="2" s="1"/>
  <c r="J471" i="2"/>
  <c r="I471" i="2"/>
  <c r="H78" i="2"/>
  <c r="F78" i="2"/>
  <c r="N78" i="2" s="1"/>
  <c r="K78" i="2" s="1"/>
  <c r="H71" i="2"/>
  <c r="I71" i="2" s="1"/>
  <c r="F71" i="2"/>
  <c r="N71" i="2" s="1"/>
  <c r="K71" i="2" s="1"/>
  <c r="H250" i="2"/>
  <c r="F250" i="2"/>
  <c r="N250" i="2" s="1"/>
  <c r="K250" i="2" s="1"/>
  <c r="H252" i="2"/>
  <c r="I252" i="2" s="1"/>
  <c r="F252" i="2"/>
  <c r="N252" i="2" s="1"/>
  <c r="K252" i="2" s="1"/>
  <c r="N256" i="2"/>
  <c r="K256" i="2" s="1"/>
  <c r="I36" i="2"/>
  <c r="H36" i="2"/>
  <c r="F36" i="2"/>
  <c r="E36" i="2"/>
  <c r="N36" i="2"/>
  <c r="K36" i="2" s="1"/>
  <c r="L36" i="2" s="1"/>
  <c r="M36" i="2" s="1"/>
  <c r="J36" i="2"/>
  <c r="F2377" i="2"/>
  <c r="I2377" i="2"/>
  <c r="N2377" i="2"/>
  <c r="K2377" i="2" s="1"/>
  <c r="L2377" i="2" s="1"/>
  <c r="M2377" i="2" s="1"/>
  <c r="J2377" i="2"/>
  <c r="E2377" i="2"/>
  <c r="H2377" i="2"/>
  <c r="F2271" i="2"/>
  <c r="E2271" i="2"/>
  <c r="N2271" i="2"/>
  <c r="K2271" i="2" s="1"/>
  <c r="L2271" i="2" s="1"/>
  <c r="M2271" i="2" s="1"/>
  <c r="J2271" i="2"/>
  <c r="I2271" i="2"/>
  <c r="H2271" i="2"/>
  <c r="N2120" i="2"/>
  <c r="K2120" i="2" s="1"/>
  <c r="L2120" i="2" s="1"/>
  <c r="M2120" i="2" s="1"/>
  <c r="I2120" i="2"/>
  <c r="H2120" i="2"/>
  <c r="F2120" i="2"/>
  <c r="E2120" i="2"/>
  <c r="J2120" i="2"/>
  <c r="J2125" i="2"/>
  <c r="N2125" i="2"/>
  <c r="K2125" i="2" s="1"/>
  <c r="L2125" i="2" s="1"/>
  <c r="M2125" i="2" s="1"/>
  <c r="E2125" i="2"/>
  <c r="I2125" i="2"/>
  <c r="H2125" i="2"/>
  <c r="F2125" i="2"/>
  <c r="E2124" i="2"/>
  <c r="F2124" i="2"/>
  <c r="N2124" i="2"/>
  <c r="K2124" i="2" s="1"/>
  <c r="L2124" i="2" s="1"/>
  <c r="M2124" i="2" s="1"/>
  <c r="H2124" i="2"/>
  <c r="I2124" i="2"/>
  <c r="J2124" i="2"/>
  <c r="H2317" i="2"/>
  <c r="E2317" i="2"/>
  <c r="J2317" i="2"/>
  <c r="N2317" i="2"/>
  <c r="K2317" i="2" s="1"/>
  <c r="L2317" i="2" s="1"/>
  <c r="M2317" i="2" s="1"/>
  <c r="I2317" i="2"/>
  <c r="F2317" i="2"/>
  <c r="J2328" i="2"/>
  <c r="H2328" i="2"/>
  <c r="I2328" i="2"/>
  <c r="N2328" i="2"/>
  <c r="K2328" i="2" s="1"/>
  <c r="L2328" i="2" s="1"/>
  <c r="M2328" i="2" s="1"/>
  <c r="F2328" i="2"/>
  <c r="E2328" i="2"/>
  <c r="E2338" i="2"/>
  <c r="I2338" i="2"/>
  <c r="F2338" i="2"/>
  <c r="H2338" i="2"/>
  <c r="N2338" i="2"/>
  <c r="K2338" i="2" s="1"/>
  <c r="L2338" i="2" s="1"/>
  <c r="M2338" i="2" s="1"/>
  <c r="J2338" i="2"/>
  <c r="I2080" i="2"/>
  <c r="F2080" i="2"/>
  <c r="E2080" i="2"/>
  <c r="N2080" i="2"/>
  <c r="K2080" i="2" s="1"/>
  <c r="L2080" i="2" s="1"/>
  <c r="M2080" i="2" s="1"/>
  <c r="J2080" i="2"/>
  <c r="H2080" i="2"/>
  <c r="N2219" i="2"/>
  <c r="K2219" i="2" s="1"/>
  <c r="L2219" i="2" s="1"/>
  <c r="M2219" i="2" s="1"/>
  <c r="J2219" i="2"/>
  <c r="I2219" i="2"/>
  <c r="H2219" i="2"/>
  <c r="F2219" i="2"/>
  <c r="E2219" i="2"/>
  <c r="J2224" i="2"/>
  <c r="I2224" i="2"/>
  <c r="N2224" i="2"/>
  <c r="K2224" i="2" s="1"/>
  <c r="L2224" i="2" s="1"/>
  <c r="M2224" i="2" s="1"/>
  <c r="H2224" i="2"/>
  <c r="F2224" i="2"/>
  <c r="E2224" i="2"/>
  <c r="E2215" i="2"/>
  <c r="N2215" i="2"/>
  <c r="K2215" i="2" s="1"/>
  <c r="L2215" i="2" s="1"/>
  <c r="M2215" i="2" s="1"/>
  <c r="I2215" i="2"/>
  <c r="J2215" i="2"/>
  <c r="H2215" i="2"/>
  <c r="F2215" i="2"/>
  <c r="N2058" i="2"/>
  <c r="K2058" i="2" s="1"/>
  <c r="L2058" i="2" s="1"/>
  <c r="M2058" i="2" s="1"/>
  <c r="H2058" i="2"/>
  <c r="E2058" i="2"/>
  <c r="I2058" i="2"/>
  <c r="J2058" i="2"/>
  <c r="F2058" i="2"/>
  <c r="I1883" i="2"/>
  <c r="H1883" i="2"/>
  <c r="F1883" i="2"/>
  <c r="E1883" i="2"/>
  <c r="N1883" i="2"/>
  <c r="K1883" i="2" s="1"/>
  <c r="L1883" i="2" s="1"/>
  <c r="M1883" i="2" s="1"/>
  <c r="J1883" i="2"/>
  <c r="J1765" i="2"/>
  <c r="I1765" i="2"/>
  <c r="H1765" i="2"/>
  <c r="F1765" i="2"/>
  <c r="E1765" i="2"/>
  <c r="N1765" i="2"/>
  <c r="K1765" i="2" s="1"/>
  <c r="L1765" i="2" s="1"/>
  <c r="M1765" i="2" s="1"/>
  <c r="E1763" i="2"/>
  <c r="N1763" i="2"/>
  <c r="K1763" i="2" s="1"/>
  <c r="L1763" i="2" s="1"/>
  <c r="M1763" i="2" s="1"/>
  <c r="J1763" i="2"/>
  <c r="I1763" i="2"/>
  <c r="H1763" i="2"/>
  <c r="F1763" i="2"/>
  <c r="J1895" i="2"/>
  <c r="I1895" i="2"/>
  <c r="H1895" i="2"/>
  <c r="F1895" i="2"/>
  <c r="N1895" i="2"/>
  <c r="K1895" i="2" s="1"/>
  <c r="L1895" i="2" s="1"/>
  <c r="M1895" i="2" s="1"/>
  <c r="E1895" i="2"/>
  <c r="N1871" i="2"/>
  <c r="K1871" i="2" s="1"/>
  <c r="L1871" i="2" s="1"/>
  <c r="M1871" i="2" s="1"/>
  <c r="F1871" i="2"/>
  <c r="E1871" i="2"/>
  <c r="J1871" i="2"/>
  <c r="I1871" i="2"/>
  <c r="H1871" i="2"/>
  <c r="I2022" i="2"/>
  <c r="H2022" i="2"/>
  <c r="N2022" i="2"/>
  <c r="K2022" i="2" s="1"/>
  <c r="L2022" i="2" s="1"/>
  <c r="M2022" i="2" s="1"/>
  <c r="E2022" i="2"/>
  <c r="F2022" i="2"/>
  <c r="J2022" i="2"/>
  <c r="J2027" i="2"/>
  <c r="N2027" i="2"/>
  <c r="K2027" i="2" s="1"/>
  <c r="L2027" i="2" s="1"/>
  <c r="M2027" i="2" s="1"/>
  <c r="H2027" i="2"/>
  <c r="I2027" i="2"/>
  <c r="F2027" i="2"/>
  <c r="E2027" i="2"/>
  <c r="F2041" i="2"/>
  <c r="E2041" i="2"/>
  <c r="J2041" i="2"/>
  <c r="N2041" i="2"/>
  <c r="K2041" i="2" s="1"/>
  <c r="L2041" i="2" s="1"/>
  <c r="M2041" i="2" s="1"/>
  <c r="H2041" i="2"/>
  <c r="I2041" i="2"/>
  <c r="F1942" i="2"/>
  <c r="E1942" i="2"/>
  <c r="N1942" i="2"/>
  <c r="K1942" i="2" s="1"/>
  <c r="L1942" i="2" s="1"/>
  <c r="M1942" i="2" s="1"/>
  <c r="I1942" i="2"/>
  <c r="H1942" i="2"/>
  <c r="J1942" i="2"/>
  <c r="N1979" i="2"/>
  <c r="K1979" i="2" s="1"/>
  <c r="L1979" i="2" s="1"/>
  <c r="M1979" i="2" s="1"/>
  <c r="J1979" i="2"/>
  <c r="H1979" i="2"/>
  <c r="F1979" i="2"/>
  <c r="E1979" i="2"/>
  <c r="I1979" i="2"/>
  <c r="J1967" i="2"/>
  <c r="F1967" i="2"/>
  <c r="E1967" i="2"/>
  <c r="N1967" i="2"/>
  <c r="K1967" i="2" s="1"/>
  <c r="L1967" i="2" s="1"/>
  <c r="M1967" i="2" s="1"/>
  <c r="H1967" i="2"/>
  <c r="I1967" i="2"/>
  <c r="N1709" i="2"/>
  <c r="K1709" i="2" s="1"/>
  <c r="L1709" i="2" s="1"/>
  <c r="M1709" i="2" s="1"/>
  <c r="E1709" i="2"/>
  <c r="H1709" i="2"/>
  <c r="F1709" i="2"/>
  <c r="J1709" i="2"/>
  <c r="I1709" i="2"/>
  <c r="J1714" i="2"/>
  <c r="H1714" i="2"/>
  <c r="F1714" i="2"/>
  <c r="E1714" i="2"/>
  <c r="N1714" i="2"/>
  <c r="K1714" i="2" s="1"/>
  <c r="L1714" i="2" s="1"/>
  <c r="M1714" i="2" s="1"/>
  <c r="I1714" i="2"/>
  <c r="N1844" i="2"/>
  <c r="K1844" i="2" s="1"/>
  <c r="L1844" i="2" s="1"/>
  <c r="M1844" i="2" s="1"/>
  <c r="F1844" i="2"/>
  <c r="E1844" i="2"/>
  <c r="J1844" i="2"/>
  <c r="I1844" i="2"/>
  <c r="H1844" i="2"/>
  <c r="E1569" i="2"/>
  <c r="N1569" i="2"/>
  <c r="K1569" i="2" s="1"/>
  <c r="L1569" i="2" s="1"/>
  <c r="M1569" i="2" s="1"/>
  <c r="H1569" i="2"/>
  <c r="F1569" i="2"/>
  <c r="J1569" i="2"/>
  <c r="I1569" i="2"/>
  <c r="J1650" i="2"/>
  <c r="I1650" i="2"/>
  <c r="H1650" i="2"/>
  <c r="N1650" i="2"/>
  <c r="K1650" i="2" s="1"/>
  <c r="L1650" i="2" s="1"/>
  <c r="M1650" i="2" s="1"/>
  <c r="F1650" i="2"/>
  <c r="E1650" i="2"/>
  <c r="F1641" i="2"/>
  <c r="E1641" i="2"/>
  <c r="J1641" i="2"/>
  <c r="I1641" i="2"/>
  <c r="N1641" i="2"/>
  <c r="K1641" i="2" s="1"/>
  <c r="L1641" i="2" s="1"/>
  <c r="M1641" i="2" s="1"/>
  <c r="H1641" i="2"/>
  <c r="J1862" i="2"/>
  <c r="I1862" i="2"/>
  <c r="H1862" i="2"/>
  <c r="N1862" i="2"/>
  <c r="K1862" i="2" s="1"/>
  <c r="L1862" i="2" s="1"/>
  <c r="M1862" i="2" s="1"/>
  <c r="F1862" i="2"/>
  <c r="E1862" i="2"/>
  <c r="N1860" i="2"/>
  <c r="K1860" i="2" s="1"/>
  <c r="L1860" i="2" s="1"/>
  <c r="M1860" i="2" s="1"/>
  <c r="F1860" i="2"/>
  <c r="E1860" i="2"/>
  <c r="I1860" i="2"/>
  <c r="H1860" i="2"/>
  <c r="J1860" i="2"/>
  <c r="N1821" i="2"/>
  <c r="K1821" i="2" s="1"/>
  <c r="L1821" i="2" s="1"/>
  <c r="M1821" i="2" s="1"/>
  <c r="J1821" i="2"/>
  <c r="F1821" i="2"/>
  <c r="I1821" i="2"/>
  <c r="H1821" i="2"/>
  <c r="E1821" i="2"/>
  <c r="J1450" i="2"/>
  <c r="I1450" i="2"/>
  <c r="H1450" i="2"/>
  <c r="F1450" i="2"/>
  <c r="E1450" i="2"/>
  <c r="N1450" i="2"/>
  <c r="K1450" i="2" s="1"/>
  <c r="L1450" i="2" s="1"/>
  <c r="M1450" i="2" s="1"/>
  <c r="F1480" i="2"/>
  <c r="E1480" i="2"/>
  <c r="J1480" i="2"/>
  <c r="I1480" i="2"/>
  <c r="H1480" i="2"/>
  <c r="N1480" i="2"/>
  <c r="K1480" i="2" s="1"/>
  <c r="L1480" i="2" s="1"/>
  <c r="M1480" i="2" s="1"/>
  <c r="J1361" i="2"/>
  <c r="I1361" i="2"/>
  <c r="N1361" i="2"/>
  <c r="K1361" i="2" s="1"/>
  <c r="L1361" i="2" s="1"/>
  <c r="M1361" i="2" s="1"/>
  <c r="H1361" i="2"/>
  <c r="F1361" i="2"/>
  <c r="E1361" i="2"/>
  <c r="N1431" i="2"/>
  <c r="K1431" i="2" s="1"/>
  <c r="L1431" i="2" s="1"/>
  <c r="M1431" i="2" s="1"/>
  <c r="E1431" i="2"/>
  <c r="H1431" i="2"/>
  <c r="I1431" i="2"/>
  <c r="F1431" i="2"/>
  <c r="J1431" i="2"/>
  <c r="I1392" i="2"/>
  <c r="H1392" i="2"/>
  <c r="F1392" i="2"/>
  <c r="E1392" i="2"/>
  <c r="N1392" i="2"/>
  <c r="K1392" i="2" s="1"/>
  <c r="L1392" i="2" s="1"/>
  <c r="M1392" i="2" s="1"/>
  <c r="J1392" i="2"/>
  <c r="F1212" i="2"/>
  <c r="N1212" i="2" s="1"/>
  <c r="K1212" i="2" s="1"/>
  <c r="J1240" i="2"/>
  <c r="I1240" i="2"/>
  <c r="H1240" i="2"/>
  <c r="F1240" i="2"/>
  <c r="E1240" i="2"/>
  <c r="N1240" i="2"/>
  <c r="K1240" i="2" s="1"/>
  <c r="L1240" i="2" s="1"/>
  <c r="M1240" i="2" s="1"/>
  <c r="F1267" i="2"/>
  <c r="E1267" i="2"/>
  <c r="N1267" i="2"/>
  <c r="K1267" i="2" s="1"/>
  <c r="L1267" i="2" s="1"/>
  <c r="M1267" i="2" s="1"/>
  <c r="J1267" i="2"/>
  <c r="I1267" i="2"/>
  <c r="H1267" i="2"/>
  <c r="H1312" i="2"/>
  <c r="F1312" i="2"/>
  <c r="E1312" i="2"/>
  <c r="N1312" i="2"/>
  <c r="K1312" i="2" s="1"/>
  <c r="L1312" i="2" s="1"/>
  <c r="M1312" i="2" s="1"/>
  <c r="I1312" i="2"/>
  <c r="J1312" i="2"/>
  <c r="J1283" i="2"/>
  <c r="I1283" i="2"/>
  <c r="H1283" i="2"/>
  <c r="F1283" i="2"/>
  <c r="N1283" i="2"/>
  <c r="K1283" i="2" s="1"/>
  <c r="L1283" i="2" s="1"/>
  <c r="M1283" i="2" s="1"/>
  <c r="E1283" i="2"/>
  <c r="N1289" i="2"/>
  <c r="K1289" i="2" s="1"/>
  <c r="L1289" i="2" s="1"/>
  <c r="M1289" i="2" s="1"/>
  <c r="I1289" i="2"/>
  <c r="H1289" i="2"/>
  <c r="F1289" i="2"/>
  <c r="E1289" i="2"/>
  <c r="J1289" i="2"/>
  <c r="F788" i="2"/>
  <c r="N788" i="2" s="1"/>
  <c r="K788" i="2" s="1"/>
  <c r="N723" i="2"/>
  <c r="K723" i="2" s="1"/>
  <c r="L723" i="2" s="1"/>
  <c r="M723" i="2" s="1"/>
  <c r="E723" i="2"/>
  <c r="J723" i="2"/>
  <c r="I723" i="2"/>
  <c r="H723" i="2"/>
  <c r="F723" i="2"/>
  <c r="H686" i="2"/>
  <c r="I686" i="2" s="1"/>
  <c r="F686" i="2"/>
  <c r="N686" i="2" s="1"/>
  <c r="K686" i="2" s="1"/>
  <c r="F918" i="2"/>
  <c r="N918" i="2" s="1"/>
  <c r="K918" i="2" s="1"/>
  <c r="F911" i="2"/>
  <c r="N911" i="2" s="1"/>
  <c r="K911" i="2" s="1"/>
  <c r="F1089" i="2"/>
  <c r="N1089" i="2" s="1"/>
  <c r="K1089" i="2" s="1"/>
  <c r="J1140" i="2"/>
  <c r="I1140" i="2"/>
  <c r="H1140" i="2"/>
  <c r="F1140" i="2"/>
  <c r="N1140" i="2"/>
  <c r="K1140" i="2" s="1"/>
  <c r="L1140" i="2" s="1"/>
  <c r="M1140" i="2" s="1"/>
  <c r="E1140" i="2"/>
  <c r="J1111" i="2"/>
  <c r="E1111" i="2"/>
  <c r="F1111" i="2"/>
  <c r="H1111" i="2"/>
  <c r="N1111" i="2"/>
  <c r="K1111" i="2" s="1"/>
  <c r="L1111" i="2" s="1"/>
  <c r="M1111" i="2" s="1"/>
  <c r="I1111" i="2"/>
  <c r="N1064" i="2"/>
  <c r="K1064" i="2" s="1"/>
  <c r="L1064" i="2" s="1"/>
  <c r="M1064" i="2" s="1"/>
  <c r="I1064" i="2"/>
  <c r="J1064" i="2"/>
  <c r="H1064" i="2"/>
  <c r="F1064" i="2"/>
  <c r="E1064" i="2"/>
  <c r="F1030" i="2"/>
  <c r="N1030" i="2" s="1"/>
  <c r="K1030" i="2" s="1"/>
  <c r="J1051" i="2"/>
  <c r="I1051" i="2"/>
  <c r="H1051" i="2"/>
  <c r="F1051" i="2"/>
  <c r="N1051" i="2"/>
  <c r="K1051" i="2" s="1"/>
  <c r="L1051" i="2" s="1"/>
  <c r="M1051" i="2" s="1"/>
  <c r="E1051" i="2"/>
  <c r="J416" i="2"/>
  <c r="I416" i="2"/>
  <c r="H416" i="2"/>
  <c r="N416" i="2"/>
  <c r="K416" i="2" s="1"/>
  <c r="L416" i="2" s="1"/>
  <c r="M416" i="2" s="1"/>
  <c r="E416" i="2"/>
  <c r="H766" i="2"/>
  <c r="I766" i="2" s="1"/>
  <c r="F766" i="2"/>
  <c r="N766" i="2" s="1"/>
  <c r="K766" i="2" s="1"/>
  <c r="N779" i="2"/>
  <c r="K779" i="2" s="1"/>
  <c r="L779" i="2" s="1"/>
  <c r="M779" i="2" s="1"/>
  <c r="I779" i="2"/>
  <c r="F779" i="2"/>
  <c r="E779" i="2"/>
  <c r="J779" i="2"/>
  <c r="H779" i="2"/>
  <c r="N409" i="2"/>
  <c r="K409" i="2" s="1"/>
  <c r="L409" i="2" s="1"/>
  <c r="M409" i="2" s="1"/>
  <c r="I409" i="2"/>
  <c r="J409" i="2"/>
  <c r="H409" i="2"/>
  <c r="E409" i="2"/>
  <c r="J343" i="2"/>
  <c r="N343" i="2"/>
  <c r="K343" i="2" s="1"/>
  <c r="L343" i="2" s="1"/>
  <c r="M343" i="2" s="1"/>
  <c r="E343" i="2"/>
  <c r="I343" i="2"/>
  <c r="H343" i="2"/>
  <c r="H632" i="2"/>
  <c r="I632" i="2" s="1"/>
  <c r="F632" i="2"/>
  <c r="N632" i="2" s="1"/>
  <c r="K632" i="2" s="1"/>
  <c r="L632" i="2" s="1"/>
  <c r="M632" i="2" s="1"/>
  <c r="F615" i="2"/>
  <c r="N615" i="2" s="1"/>
  <c r="K615" i="2" s="1"/>
  <c r="N655" i="2"/>
  <c r="K655" i="2" s="1"/>
  <c r="L655" i="2" s="1"/>
  <c r="M655" i="2" s="1"/>
  <c r="H655" i="2"/>
  <c r="F655" i="2"/>
  <c r="E655" i="2"/>
  <c r="J655" i="2"/>
  <c r="I655" i="2"/>
  <c r="N177" i="2"/>
  <c r="K177" i="2" s="1"/>
  <c r="L177" i="2" s="1"/>
  <c r="M177" i="2" s="1"/>
  <c r="E177" i="2"/>
  <c r="H177" i="2"/>
  <c r="J177" i="2"/>
  <c r="I177" i="2"/>
  <c r="F177" i="2"/>
  <c r="N536" i="2"/>
  <c r="K536" i="2" s="1"/>
  <c r="L536" i="2" s="1"/>
  <c r="M536" i="2" s="1"/>
  <c r="I536" i="2"/>
  <c r="F536" i="2"/>
  <c r="E536" i="2"/>
  <c r="H536" i="2"/>
  <c r="J536" i="2"/>
  <c r="F501" i="2"/>
  <c r="N501" i="2" s="1"/>
  <c r="K501" i="2" s="1"/>
  <c r="L501" i="2" s="1"/>
  <c r="M501" i="2" s="1"/>
  <c r="H501" i="2"/>
  <c r="I501" i="2" s="1"/>
  <c r="F510" i="2"/>
  <c r="N510" i="2" s="1"/>
  <c r="K510" i="2" s="1"/>
  <c r="H510" i="2"/>
  <c r="I510" i="2" s="1"/>
  <c r="H189" i="2"/>
  <c r="I189" i="2" s="1"/>
  <c r="F189" i="2"/>
  <c r="N189" i="2" s="1"/>
  <c r="K189" i="2" s="1"/>
  <c r="L189" i="2" s="1"/>
  <c r="M189" i="2" s="1"/>
  <c r="N216" i="2"/>
  <c r="K216" i="2" s="1"/>
  <c r="L216" i="2" s="1"/>
  <c r="M216" i="2" s="1"/>
  <c r="E216" i="2"/>
  <c r="I216" i="2"/>
  <c r="H216" i="2"/>
  <c r="F216" i="2"/>
  <c r="J216" i="2"/>
  <c r="F859" i="2"/>
  <c r="N859" i="2" s="1"/>
  <c r="K859" i="2" s="1"/>
  <c r="L859" i="2" s="1"/>
  <c r="M859" i="2" s="1"/>
  <c r="H862" i="2"/>
  <c r="I862" i="2" s="1"/>
  <c r="F862" i="2"/>
  <c r="N862" i="2" s="1"/>
  <c r="K862" i="2" s="1"/>
  <c r="E888" i="2"/>
  <c r="N888" i="2"/>
  <c r="K888" i="2" s="1"/>
  <c r="L888" i="2" s="1"/>
  <c r="M888" i="2" s="1"/>
  <c r="F888" i="2"/>
  <c r="I888" i="2"/>
  <c r="J888" i="2"/>
  <c r="H888" i="2"/>
  <c r="J450" i="2"/>
  <c r="I450" i="2"/>
  <c r="H450" i="2"/>
  <c r="N450" i="2"/>
  <c r="K450" i="2" s="1"/>
  <c r="L450" i="2" s="1"/>
  <c r="M450" i="2" s="1"/>
  <c r="E450" i="2"/>
  <c r="J478" i="2"/>
  <c r="H478" i="2"/>
  <c r="N478" i="2"/>
  <c r="K478" i="2" s="1"/>
  <c r="L478" i="2" s="1"/>
  <c r="M478" i="2" s="1"/>
  <c r="E478" i="2"/>
  <c r="I478" i="2"/>
  <c r="H487" i="2"/>
  <c r="E487" i="2"/>
  <c r="N487" i="2"/>
  <c r="K487" i="2" s="1"/>
  <c r="L487" i="2" s="1"/>
  <c r="M487" i="2" s="1"/>
  <c r="J487" i="2"/>
  <c r="I487" i="2"/>
  <c r="J114" i="2"/>
  <c r="I114" i="2"/>
  <c r="H114" i="2"/>
  <c r="F114" i="2"/>
  <c r="E114" i="2"/>
  <c r="N114" i="2"/>
  <c r="K114" i="2" s="1"/>
  <c r="L114" i="2" s="1"/>
  <c r="M114" i="2" s="1"/>
  <c r="H87" i="2"/>
  <c r="I87" i="2" s="1"/>
  <c r="F87" i="2"/>
  <c r="N87" i="2" s="1"/>
  <c r="K87" i="2" s="1"/>
  <c r="J276" i="2"/>
  <c r="I276" i="2"/>
  <c r="H276" i="2"/>
  <c r="E276" i="2"/>
  <c r="N276" i="2"/>
  <c r="K276" i="2" s="1"/>
  <c r="L276" i="2" s="1"/>
  <c r="M276" i="2" s="1"/>
  <c r="H268" i="2"/>
  <c r="I268" i="2" s="1"/>
  <c r="N268" i="2"/>
  <c r="K268" i="2" s="1"/>
  <c r="L268" i="2" s="1"/>
  <c r="M268" i="2" s="1"/>
  <c r="H272" i="2"/>
  <c r="I272" i="2" s="1"/>
  <c r="N272" i="2"/>
  <c r="K272" i="2" s="1"/>
  <c r="I16" i="2"/>
  <c r="I248" i="2"/>
  <c r="I44" i="2"/>
  <c r="H44" i="2"/>
  <c r="F44" i="2"/>
  <c r="E44" i="2"/>
  <c r="J44" i="2"/>
  <c r="N44" i="2"/>
  <c r="K44" i="2" s="1"/>
  <c r="L44" i="2" s="1"/>
  <c r="M44" i="2" s="1"/>
  <c r="H2396" i="2"/>
  <c r="E2396" i="2"/>
  <c r="J2396" i="2"/>
  <c r="I2396" i="2"/>
  <c r="N2396" i="2"/>
  <c r="K2396" i="2" s="1"/>
  <c r="L2396" i="2" s="1"/>
  <c r="M2396" i="2" s="1"/>
  <c r="F2396" i="2"/>
  <c r="E2281" i="2"/>
  <c r="N2281" i="2"/>
  <c r="K2281" i="2" s="1"/>
  <c r="L2281" i="2" s="1"/>
  <c r="M2281" i="2" s="1"/>
  <c r="J2281" i="2"/>
  <c r="I2281" i="2"/>
  <c r="H2281" i="2"/>
  <c r="F2281" i="2"/>
  <c r="F2287" i="2"/>
  <c r="N2287" i="2"/>
  <c r="K2287" i="2" s="1"/>
  <c r="L2287" i="2" s="1"/>
  <c r="M2287" i="2" s="1"/>
  <c r="I2287" i="2"/>
  <c r="H2287" i="2"/>
  <c r="J2287" i="2"/>
  <c r="E2287" i="2"/>
  <c r="N2136" i="2"/>
  <c r="K2136" i="2" s="1"/>
  <c r="L2136" i="2" s="1"/>
  <c r="M2136" i="2" s="1"/>
  <c r="J2136" i="2"/>
  <c r="E2136" i="2"/>
  <c r="F2136" i="2"/>
  <c r="H2136" i="2"/>
  <c r="I2136" i="2"/>
  <c r="E2108" i="2"/>
  <c r="H2108" i="2"/>
  <c r="F2108" i="2"/>
  <c r="N2108" i="2"/>
  <c r="K2108" i="2" s="1"/>
  <c r="L2108" i="2" s="1"/>
  <c r="M2108" i="2" s="1"/>
  <c r="I2108" i="2"/>
  <c r="J2108" i="2"/>
  <c r="N2318" i="2"/>
  <c r="K2318" i="2" s="1"/>
  <c r="L2318" i="2" s="1"/>
  <c r="M2318" i="2" s="1"/>
  <c r="F2318" i="2"/>
  <c r="E2318" i="2"/>
  <c r="J2318" i="2"/>
  <c r="I2318" i="2"/>
  <c r="H2318" i="2"/>
  <c r="H2306" i="2"/>
  <c r="E2306" i="2"/>
  <c r="I2306" i="2"/>
  <c r="F2306" i="2"/>
  <c r="J2306" i="2"/>
  <c r="N2306" i="2"/>
  <c r="K2306" i="2" s="1"/>
  <c r="L2306" i="2" s="1"/>
  <c r="M2306" i="2" s="1"/>
  <c r="F2292" i="2"/>
  <c r="J2292" i="2"/>
  <c r="I2292" i="2"/>
  <c r="H2292" i="2"/>
  <c r="N2292" i="2"/>
  <c r="K2292" i="2" s="1"/>
  <c r="L2292" i="2" s="1"/>
  <c r="M2292" i="2" s="1"/>
  <c r="E2292" i="2"/>
  <c r="J2060" i="2"/>
  <c r="N2060" i="2"/>
  <c r="K2060" i="2" s="1"/>
  <c r="L2060" i="2" s="1"/>
  <c r="M2060" i="2" s="1"/>
  <c r="F2060" i="2"/>
  <c r="E2060" i="2"/>
  <c r="I2060" i="2"/>
  <c r="H2060" i="2"/>
  <c r="H2195" i="2"/>
  <c r="E2195" i="2"/>
  <c r="N2195" i="2"/>
  <c r="K2195" i="2" s="1"/>
  <c r="L2195" i="2" s="1"/>
  <c r="M2195" i="2" s="1"/>
  <c r="J2195" i="2"/>
  <c r="I2195" i="2"/>
  <c r="F2195" i="2"/>
  <c r="F2170" i="2"/>
  <c r="N2170" i="2"/>
  <c r="K2170" i="2" s="1"/>
  <c r="L2170" i="2" s="1"/>
  <c r="M2170" i="2" s="1"/>
  <c r="J2170" i="2"/>
  <c r="I2170" i="2"/>
  <c r="H2170" i="2"/>
  <c r="E2170" i="2"/>
  <c r="I2173" i="2"/>
  <c r="F2173" i="2"/>
  <c r="N2173" i="2"/>
  <c r="K2173" i="2" s="1"/>
  <c r="L2173" i="2" s="1"/>
  <c r="M2173" i="2" s="1"/>
  <c r="J2173" i="2"/>
  <c r="H2173" i="2"/>
  <c r="E2173" i="2"/>
  <c r="F2074" i="2"/>
  <c r="J2074" i="2"/>
  <c r="I2074" i="2"/>
  <c r="H2074" i="2"/>
  <c r="E2074" i="2"/>
  <c r="N2074" i="2"/>
  <c r="K2074" i="2" s="1"/>
  <c r="L2074" i="2" s="1"/>
  <c r="M2074" i="2" s="1"/>
  <c r="H1782" i="2"/>
  <c r="F1782" i="2"/>
  <c r="E1782" i="2"/>
  <c r="N1782" i="2"/>
  <c r="K1782" i="2" s="1"/>
  <c r="L1782" i="2" s="1"/>
  <c r="M1782" i="2" s="1"/>
  <c r="I1782" i="2"/>
  <c r="J1782" i="2"/>
  <c r="J1749" i="2"/>
  <c r="I1749" i="2"/>
  <c r="H1749" i="2"/>
  <c r="F1749" i="2"/>
  <c r="E1749" i="2"/>
  <c r="N1749" i="2"/>
  <c r="K1749" i="2" s="1"/>
  <c r="L1749" i="2" s="1"/>
  <c r="M1749" i="2" s="1"/>
  <c r="J1748" i="2"/>
  <c r="I1748" i="2"/>
  <c r="F1748" i="2"/>
  <c r="E1748" i="2"/>
  <c r="H1748" i="2"/>
  <c r="N1748" i="2"/>
  <c r="K1748" i="2" s="1"/>
  <c r="L1748" i="2" s="1"/>
  <c r="M1748" i="2" s="1"/>
  <c r="I1875" i="2"/>
  <c r="H1875" i="2"/>
  <c r="F1875" i="2"/>
  <c r="E1875" i="2"/>
  <c r="J1875" i="2"/>
  <c r="N1875" i="2"/>
  <c r="K1875" i="2" s="1"/>
  <c r="L1875" i="2" s="1"/>
  <c r="M1875" i="2" s="1"/>
  <c r="J1887" i="2"/>
  <c r="I1887" i="2"/>
  <c r="H1887" i="2"/>
  <c r="F1887" i="2"/>
  <c r="E1887" i="2"/>
  <c r="N1887" i="2"/>
  <c r="K1887" i="2" s="1"/>
  <c r="L1887" i="2" s="1"/>
  <c r="M1887" i="2" s="1"/>
  <c r="J1991" i="2"/>
  <c r="I1991" i="2"/>
  <c r="H1991" i="2"/>
  <c r="F1991" i="2"/>
  <c r="E1991" i="2"/>
  <c r="N1991" i="2"/>
  <c r="K1991" i="2" s="1"/>
  <c r="L1991" i="2" s="1"/>
  <c r="M1991" i="2" s="1"/>
  <c r="J2047" i="2"/>
  <c r="I2047" i="2"/>
  <c r="H2047" i="2"/>
  <c r="N2047" i="2"/>
  <c r="K2047" i="2" s="1"/>
  <c r="L2047" i="2" s="1"/>
  <c r="M2047" i="2" s="1"/>
  <c r="F2047" i="2"/>
  <c r="E2047" i="2"/>
  <c r="N2000" i="2"/>
  <c r="K2000" i="2" s="1"/>
  <c r="L2000" i="2" s="1"/>
  <c r="M2000" i="2" s="1"/>
  <c r="F2000" i="2"/>
  <c r="E2000" i="2"/>
  <c r="I2000" i="2"/>
  <c r="H2000" i="2"/>
  <c r="J2000" i="2"/>
  <c r="H1975" i="2"/>
  <c r="F1975" i="2"/>
  <c r="E1975" i="2"/>
  <c r="J1975" i="2"/>
  <c r="N1975" i="2"/>
  <c r="K1975" i="2" s="1"/>
  <c r="L1975" i="2" s="1"/>
  <c r="M1975" i="2" s="1"/>
  <c r="I1975" i="2"/>
  <c r="N1944" i="2"/>
  <c r="K1944" i="2" s="1"/>
  <c r="L1944" i="2" s="1"/>
  <c r="M1944" i="2" s="1"/>
  <c r="I1944" i="2"/>
  <c r="J1944" i="2"/>
  <c r="H1944" i="2"/>
  <c r="F1944" i="2"/>
  <c r="E1944" i="2"/>
  <c r="H1983" i="2"/>
  <c r="F1983" i="2"/>
  <c r="E1983" i="2"/>
  <c r="N1983" i="2"/>
  <c r="K1983" i="2" s="1"/>
  <c r="L1983" i="2" s="1"/>
  <c r="M1983" i="2" s="1"/>
  <c r="J1983" i="2"/>
  <c r="I1983" i="2"/>
  <c r="J1689" i="2"/>
  <c r="N1689" i="2"/>
  <c r="K1689" i="2" s="1"/>
  <c r="L1689" i="2" s="1"/>
  <c r="M1689" i="2" s="1"/>
  <c r="I1689" i="2"/>
  <c r="H1689" i="2"/>
  <c r="F1689" i="2"/>
  <c r="E1689" i="2"/>
  <c r="J1730" i="2"/>
  <c r="F1730" i="2"/>
  <c r="I1730" i="2"/>
  <c r="H1730" i="2"/>
  <c r="N1730" i="2"/>
  <c r="K1730" i="2" s="1"/>
  <c r="L1730" i="2" s="1"/>
  <c r="M1730" i="2" s="1"/>
  <c r="E1730" i="2"/>
  <c r="E1562" i="2"/>
  <c r="N1562" i="2"/>
  <c r="K1562" i="2" s="1"/>
  <c r="L1562" i="2" s="1"/>
  <c r="M1562" i="2" s="1"/>
  <c r="I1562" i="2"/>
  <c r="J1562" i="2"/>
  <c r="H1562" i="2"/>
  <c r="F1562" i="2"/>
  <c r="N1633" i="2"/>
  <c r="K1633" i="2" s="1"/>
  <c r="L1633" i="2" s="1"/>
  <c r="M1633" i="2" s="1"/>
  <c r="E1633" i="2"/>
  <c r="I1633" i="2"/>
  <c r="J1633" i="2"/>
  <c r="H1633" i="2"/>
  <c r="F1633" i="2"/>
  <c r="H1657" i="2"/>
  <c r="J1657" i="2"/>
  <c r="I1657" i="2"/>
  <c r="F1657" i="2"/>
  <c r="E1657" i="2"/>
  <c r="N1657" i="2"/>
  <c r="K1657" i="2" s="1"/>
  <c r="L1657" i="2" s="1"/>
  <c r="M1657" i="2" s="1"/>
  <c r="J1825" i="2"/>
  <c r="N1825" i="2"/>
  <c r="K1825" i="2" s="1"/>
  <c r="L1825" i="2" s="1"/>
  <c r="M1825" i="2" s="1"/>
  <c r="E1825" i="2"/>
  <c r="I1825" i="2"/>
  <c r="H1825" i="2"/>
  <c r="F1825" i="2"/>
  <c r="N1813" i="2"/>
  <c r="K1813" i="2" s="1"/>
  <c r="L1813" i="2" s="1"/>
  <c r="M1813" i="2" s="1"/>
  <c r="H1813" i="2"/>
  <c r="F1813" i="2"/>
  <c r="J1813" i="2"/>
  <c r="I1813" i="2"/>
  <c r="E1813" i="2"/>
  <c r="I1837" i="2"/>
  <c r="H1837" i="2"/>
  <c r="F1837" i="2"/>
  <c r="E1837" i="2"/>
  <c r="J1837" i="2"/>
  <c r="N1837" i="2"/>
  <c r="K1837" i="2" s="1"/>
  <c r="L1837" i="2" s="1"/>
  <c r="M1837" i="2" s="1"/>
  <c r="F1464" i="2"/>
  <c r="E1464" i="2"/>
  <c r="N1464" i="2"/>
  <c r="K1464" i="2" s="1"/>
  <c r="L1464" i="2" s="1"/>
  <c r="M1464" i="2" s="1"/>
  <c r="H1464" i="2"/>
  <c r="J1464" i="2"/>
  <c r="I1464" i="2"/>
  <c r="J1345" i="2"/>
  <c r="I1345" i="2"/>
  <c r="F1345" i="2"/>
  <c r="E1345" i="2"/>
  <c r="N1345" i="2"/>
  <c r="K1345" i="2" s="1"/>
  <c r="L1345" i="2" s="1"/>
  <c r="M1345" i="2" s="1"/>
  <c r="H1345" i="2"/>
  <c r="J1398" i="2"/>
  <c r="H1398" i="2"/>
  <c r="F1398" i="2"/>
  <c r="E1398" i="2"/>
  <c r="N1398" i="2"/>
  <c r="K1398" i="2" s="1"/>
  <c r="L1398" i="2" s="1"/>
  <c r="M1398" i="2" s="1"/>
  <c r="I1398" i="2"/>
  <c r="I1408" i="2"/>
  <c r="H1408" i="2"/>
  <c r="F1408" i="2"/>
  <c r="E1408" i="2"/>
  <c r="N1408" i="2"/>
  <c r="K1408" i="2" s="1"/>
  <c r="L1408" i="2" s="1"/>
  <c r="M1408" i="2" s="1"/>
  <c r="J1408" i="2"/>
  <c r="F1209" i="2"/>
  <c r="N1209" i="2" s="1"/>
  <c r="K1209" i="2" s="1"/>
  <c r="L1209" i="2" s="1"/>
  <c r="M1209" i="2" s="1"/>
  <c r="N1220" i="2"/>
  <c r="K1220" i="2" s="1"/>
  <c r="L1220" i="2" s="1"/>
  <c r="M1220" i="2" s="1"/>
  <c r="H1220" i="2"/>
  <c r="F1220" i="2"/>
  <c r="E1220" i="2"/>
  <c r="J1220" i="2"/>
  <c r="I1220" i="2"/>
  <c r="N1314" i="2"/>
  <c r="K1314" i="2" s="1"/>
  <c r="L1314" i="2" s="1"/>
  <c r="M1314" i="2" s="1"/>
  <c r="I1314" i="2"/>
  <c r="H1314" i="2"/>
  <c r="F1314" i="2"/>
  <c r="J1314" i="2"/>
  <c r="E1314" i="2"/>
  <c r="F1268" i="2"/>
  <c r="N1268" i="2" s="1"/>
  <c r="K1268" i="2" s="1"/>
  <c r="J1307" i="2"/>
  <c r="I1307" i="2"/>
  <c r="H1307" i="2"/>
  <c r="F1307" i="2"/>
  <c r="E1307" i="2"/>
  <c r="N1307" i="2"/>
  <c r="K1307" i="2" s="1"/>
  <c r="L1307" i="2" s="1"/>
  <c r="M1307" i="2" s="1"/>
  <c r="N1305" i="2"/>
  <c r="K1305" i="2" s="1"/>
  <c r="L1305" i="2" s="1"/>
  <c r="M1305" i="2" s="1"/>
  <c r="H1305" i="2"/>
  <c r="F1305" i="2"/>
  <c r="E1305" i="2"/>
  <c r="J1305" i="2"/>
  <c r="I1305" i="2"/>
  <c r="J725" i="2"/>
  <c r="I725" i="2"/>
  <c r="H725" i="2"/>
  <c r="F725" i="2"/>
  <c r="E725" i="2"/>
  <c r="N725" i="2"/>
  <c r="K725" i="2" s="1"/>
  <c r="L725" i="2" s="1"/>
  <c r="M725" i="2" s="1"/>
  <c r="F707" i="2"/>
  <c r="N707" i="2" s="1"/>
  <c r="K707" i="2" s="1"/>
  <c r="L707" i="2" s="1"/>
  <c r="M707" i="2" s="1"/>
  <c r="H707" i="2"/>
  <c r="I707" i="2" s="1"/>
  <c r="F670" i="2"/>
  <c r="N670" i="2" s="1"/>
  <c r="K670" i="2" s="1"/>
  <c r="L670" i="2" s="1"/>
  <c r="M670" i="2" s="1"/>
  <c r="H934" i="2"/>
  <c r="F934" i="2"/>
  <c r="N934" i="2" s="1"/>
  <c r="K934" i="2" s="1"/>
  <c r="F927" i="2"/>
  <c r="N927" i="2" s="1"/>
  <c r="K927" i="2" s="1"/>
  <c r="H927" i="2"/>
  <c r="N1101" i="2"/>
  <c r="K1101" i="2" s="1"/>
  <c r="L1101" i="2" s="1"/>
  <c r="M1101" i="2" s="1"/>
  <c r="J1101" i="2"/>
  <c r="H1101" i="2"/>
  <c r="F1101" i="2"/>
  <c r="I1101" i="2"/>
  <c r="E1101" i="2"/>
  <c r="J582" i="2"/>
  <c r="I582" i="2"/>
  <c r="H582" i="2"/>
  <c r="F582" i="2"/>
  <c r="N582" i="2"/>
  <c r="K582" i="2" s="1"/>
  <c r="L582" i="2" s="1"/>
  <c r="M582" i="2" s="1"/>
  <c r="E582" i="2"/>
  <c r="N1136" i="2"/>
  <c r="K1136" i="2" s="1"/>
  <c r="L1136" i="2" s="1"/>
  <c r="M1136" i="2" s="1"/>
  <c r="E1136" i="2"/>
  <c r="J1136" i="2"/>
  <c r="I1136" i="2"/>
  <c r="H1136" i="2"/>
  <c r="F1136" i="2"/>
  <c r="J1103" i="2"/>
  <c r="I1103" i="2"/>
  <c r="E1103" i="2"/>
  <c r="F1103" i="2"/>
  <c r="H1103" i="2"/>
  <c r="N1103" i="2"/>
  <c r="K1103" i="2" s="1"/>
  <c r="L1103" i="2" s="1"/>
  <c r="M1103" i="2" s="1"/>
  <c r="J1127" i="2"/>
  <c r="N1127" i="2"/>
  <c r="K1127" i="2" s="1"/>
  <c r="L1127" i="2" s="1"/>
  <c r="M1127" i="2" s="1"/>
  <c r="H1127" i="2"/>
  <c r="F1127" i="2"/>
  <c r="I1127" i="2"/>
  <c r="E1127" i="2"/>
  <c r="N1069" i="2"/>
  <c r="K1069" i="2" s="1"/>
  <c r="L1069" i="2" s="1"/>
  <c r="M1069" i="2" s="1"/>
  <c r="F1069" i="2"/>
  <c r="H1069" i="2"/>
  <c r="E1069" i="2"/>
  <c r="I1069" i="2"/>
  <c r="J1069" i="2"/>
  <c r="I1052" i="2"/>
  <c r="H1052" i="2"/>
  <c r="F1052" i="2"/>
  <c r="E1052" i="2"/>
  <c r="N1052" i="2"/>
  <c r="K1052" i="2" s="1"/>
  <c r="L1052" i="2" s="1"/>
  <c r="M1052" i="2" s="1"/>
  <c r="J1052" i="2"/>
  <c r="E1067" i="2"/>
  <c r="F1067" i="2"/>
  <c r="J1067" i="2"/>
  <c r="I1067" i="2"/>
  <c r="N1067" i="2"/>
  <c r="K1067" i="2" s="1"/>
  <c r="L1067" i="2" s="1"/>
  <c r="M1067" i="2" s="1"/>
  <c r="H1067" i="2"/>
  <c r="J400" i="2"/>
  <c r="I400" i="2"/>
  <c r="H400" i="2"/>
  <c r="N400" i="2"/>
  <c r="K400" i="2" s="1"/>
  <c r="L400" i="2" s="1"/>
  <c r="M400" i="2" s="1"/>
  <c r="E400" i="2"/>
  <c r="I782" i="2"/>
  <c r="N782" i="2"/>
  <c r="K782" i="2" s="1"/>
  <c r="L782" i="2" s="1"/>
  <c r="M782" i="2" s="1"/>
  <c r="E782" i="2"/>
  <c r="H782" i="2"/>
  <c r="F782" i="2"/>
  <c r="J782" i="2"/>
  <c r="F732" i="2"/>
  <c r="N732" i="2" s="1"/>
  <c r="K732" i="2" s="1"/>
  <c r="N393" i="2"/>
  <c r="K393" i="2" s="1"/>
  <c r="L393" i="2" s="1"/>
  <c r="M393" i="2" s="1"/>
  <c r="I393" i="2"/>
  <c r="J393" i="2"/>
  <c r="H393" i="2"/>
  <c r="E393" i="2"/>
  <c r="H327" i="2"/>
  <c r="N327" i="2"/>
  <c r="K327" i="2" s="1"/>
  <c r="J358" i="2"/>
  <c r="I358" i="2"/>
  <c r="H358" i="2"/>
  <c r="E358" i="2"/>
  <c r="N358" i="2"/>
  <c r="K358" i="2" s="1"/>
  <c r="L358" i="2" s="1"/>
  <c r="M358" i="2" s="1"/>
  <c r="N356" i="2"/>
  <c r="K356" i="2" s="1"/>
  <c r="L356" i="2" s="1"/>
  <c r="M356" i="2" s="1"/>
  <c r="H356" i="2"/>
  <c r="E356" i="2"/>
  <c r="J356" i="2"/>
  <c r="I356" i="2"/>
  <c r="N657" i="2"/>
  <c r="K657" i="2" s="1"/>
  <c r="L657" i="2" s="1"/>
  <c r="M657" i="2" s="1"/>
  <c r="F657" i="2"/>
  <c r="E657" i="2"/>
  <c r="I657" i="2"/>
  <c r="J657" i="2"/>
  <c r="H657" i="2"/>
  <c r="H631" i="2"/>
  <c r="I631" i="2" s="1"/>
  <c r="F631" i="2"/>
  <c r="N631" i="2" s="1"/>
  <c r="K631" i="2" s="1"/>
  <c r="H146" i="2"/>
  <c r="I146" i="2" s="1"/>
  <c r="F146" i="2"/>
  <c r="N146" i="2" s="1"/>
  <c r="K146" i="2" s="1"/>
  <c r="L146" i="2" s="1"/>
  <c r="M146" i="2" s="1"/>
  <c r="N491" i="2"/>
  <c r="K491" i="2" s="1"/>
  <c r="L491" i="2" s="1"/>
  <c r="M491" i="2" s="1"/>
  <c r="N534" i="2"/>
  <c r="K534" i="2" s="1"/>
  <c r="L534" i="2" s="1"/>
  <c r="M534" i="2" s="1"/>
  <c r="J534" i="2"/>
  <c r="I534" i="2"/>
  <c r="H534" i="2"/>
  <c r="F534" i="2"/>
  <c r="E534" i="2"/>
  <c r="N517" i="2"/>
  <c r="K517" i="2" s="1"/>
  <c r="L517" i="2" s="1"/>
  <c r="M517" i="2" s="1"/>
  <c r="F517" i="2"/>
  <c r="E517" i="2"/>
  <c r="J517" i="2"/>
  <c r="I517" i="2"/>
  <c r="H517" i="2"/>
  <c r="N526" i="2"/>
  <c r="K526" i="2" s="1"/>
  <c r="L526" i="2" s="1"/>
  <c r="M526" i="2" s="1"/>
  <c r="J526" i="2"/>
  <c r="F526" i="2"/>
  <c r="E526" i="2"/>
  <c r="I526" i="2"/>
  <c r="H526" i="2"/>
  <c r="J184" i="2"/>
  <c r="I184" i="2"/>
  <c r="H184" i="2"/>
  <c r="N184" i="2"/>
  <c r="K184" i="2" s="1"/>
  <c r="L184" i="2" s="1"/>
  <c r="M184" i="2" s="1"/>
  <c r="F184" i="2"/>
  <c r="E184" i="2"/>
  <c r="N235" i="2"/>
  <c r="K235" i="2" s="1"/>
  <c r="L235" i="2" s="1"/>
  <c r="M235" i="2" s="1"/>
  <c r="J235" i="2"/>
  <c r="I235" i="2"/>
  <c r="H235" i="2"/>
  <c r="F235" i="2"/>
  <c r="E235" i="2"/>
  <c r="N232" i="2"/>
  <c r="K232" i="2" s="1"/>
  <c r="L232" i="2" s="1"/>
  <c r="M232" i="2" s="1"/>
  <c r="H232" i="2"/>
  <c r="F232" i="2"/>
  <c r="J232" i="2"/>
  <c r="I232" i="2"/>
  <c r="E232" i="2"/>
  <c r="E899" i="2"/>
  <c r="F899" i="2"/>
  <c r="N899" i="2"/>
  <c r="K899" i="2" s="1"/>
  <c r="L899" i="2" s="1"/>
  <c r="M899" i="2" s="1"/>
  <c r="J899" i="2"/>
  <c r="I899" i="2"/>
  <c r="H899" i="2"/>
  <c r="H883" i="2"/>
  <c r="F883" i="2"/>
  <c r="N883" i="2" s="1"/>
  <c r="K883" i="2" s="1"/>
  <c r="J904" i="2"/>
  <c r="I904" i="2"/>
  <c r="N904" i="2"/>
  <c r="K904" i="2" s="1"/>
  <c r="L904" i="2" s="1"/>
  <c r="M904" i="2" s="1"/>
  <c r="E904" i="2"/>
  <c r="H904" i="2"/>
  <c r="F904" i="2"/>
  <c r="E476" i="2"/>
  <c r="N476" i="2"/>
  <c r="K476" i="2" s="1"/>
  <c r="L476" i="2" s="1"/>
  <c r="M476" i="2" s="1"/>
  <c r="J476" i="2"/>
  <c r="I476" i="2"/>
  <c r="H476" i="2"/>
  <c r="N432" i="2"/>
  <c r="K432" i="2" s="1"/>
  <c r="L432" i="2" s="1"/>
  <c r="M432" i="2" s="1"/>
  <c r="H440" i="2"/>
  <c r="N440" i="2"/>
  <c r="K440" i="2" s="1"/>
  <c r="N95" i="2"/>
  <c r="K95" i="2" s="1"/>
  <c r="L95" i="2" s="1"/>
  <c r="M95" i="2" s="1"/>
  <c r="J95" i="2"/>
  <c r="E95" i="2"/>
  <c r="F95" i="2"/>
  <c r="I95" i="2"/>
  <c r="H95" i="2"/>
  <c r="N103" i="2"/>
  <c r="K103" i="2" s="1"/>
  <c r="L103" i="2" s="1"/>
  <c r="M103" i="2" s="1"/>
  <c r="E103" i="2"/>
  <c r="H103" i="2"/>
  <c r="F103" i="2"/>
  <c r="I103" i="2"/>
  <c r="J103" i="2"/>
  <c r="H297" i="2"/>
  <c r="E297" i="2"/>
  <c r="J297" i="2"/>
  <c r="I297" i="2"/>
  <c r="N297" i="2"/>
  <c r="K297" i="2" s="1"/>
  <c r="L297" i="2" s="1"/>
  <c r="M297" i="2" s="1"/>
  <c r="J284" i="2"/>
  <c r="I284" i="2"/>
  <c r="H284" i="2"/>
  <c r="E284" i="2"/>
  <c r="N284" i="2"/>
  <c r="K284" i="2" s="1"/>
  <c r="L284" i="2" s="1"/>
  <c r="M284" i="2" s="1"/>
  <c r="N288" i="2"/>
  <c r="K288" i="2" s="1"/>
  <c r="L288" i="2" s="1"/>
  <c r="M288" i="2" s="1"/>
  <c r="E288" i="2"/>
  <c r="H288" i="2"/>
  <c r="J288" i="2"/>
  <c r="I288" i="2"/>
  <c r="I60" i="2"/>
  <c r="H60" i="2"/>
  <c r="F60" i="2"/>
  <c r="E60" i="2"/>
  <c r="J60" i="2"/>
  <c r="N60" i="2"/>
  <c r="K60" i="2" s="1"/>
  <c r="L60" i="2" s="1"/>
  <c r="M60" i="2" s="1"/>
  <c r="N53" i="2"/>
  <c r="K53" i="2" s="1"/>
  <c r="L53" i="2" s="1"/>
  <c r="M53" i="2" s="1"/>
  <c r="H53" i="2"/>
  <c r="F53" i="2"/>
  <c r="E53" i="2"/>
  <c r="J53" i="2"/>
  <c r="I53" i="2"/>
  <c r="N13" i="2"/>
  <c r="K13" i="2" s="1"/>
  <c r="L13" i="2" s="1"/>
  <c r="M13" i="2" s="1"/>
  <c r="I13" i="2"/>
  <c r="B7" i="9"/>
  <c r="E1216" i="2" l="1"/>
  <c r="E1209" i="2"/>
  <c r="E1275" i="2"/>
  <c r="L1276" i="2"/>
  <c r="M1276" i="2" s="1"/>
  <c r="L1211" i="2"/>
  <c r="M1211" i="2" s="1"/>
  <c r="L1270" i="2"/>
  <c r="M1270" i="2" s="1"/>
  <c r="L1158" i="2"/>
  <c r="M1158" i="2" s="1"/>
  <c r="E1152" i="2"/>
  <c r="E1096" i="2"/>
  <c r="E1330" i="2"/>
  <c r="L1213" i="2"/>
  <c r="M1213" i="2" s="1"/>
  <c r="L1217" i="2"/>
  <c r="M1217" i="2" s="1"/>
  <c r="L1388" i="2"/>
  <c r="M1388" i="2" s="1"/>
  <c r="L1151" i="2"/>
  <c r="M1151" i="2" s="1"/>
  <c r="L1214" i="2"/>
  <c r="M1214" i="2" s="1"/>
  <c r="L1269" i="2"/>
  <c r="M1269" i="2" s="1"/>
  <c r="L1095" i="2"/>
  <c r="M1095" i="2" s="1"/>
  <c r="L1329" i="2"/>
  <c r="M1329" i="2" s="1"/>
  <c r="L1390" i="2"/>
  <c r="M1390" i="2" s="1"/>
  <c r="L1098" i="2"/>
  <c r="M1098" i="2" s="1"/>
  <c r="L1208" i="2"/>
  <c r="M1208" i="2" s="1"/>
  <c r="L1093" i="2"/>
  <c r="M1093" i="2" s="1"/>
  <c r="L1268" i="2"/>
  <c r="M1268" i="2" s="1"/>
  <c r="L1274" i="2"/>
  <c r="M1274" i="2" s="1"/>
  <c r="L1099" i="2"/>
  <c r="M1099" i="2" s="1"/>
  <c r="L1156" i="2"/>
  <c r="M1156" i="2" s="1"/>
  <c r="L1039" i="2"/>
  <c r="M1039" i="2" s="1"/>
  <c r="L1038" i="2"/>
  <c r="M1038" i="2" s="1"/>
  <c r="L1212" i="2"/>
  <c r="M1212" i="2" s="1"/>
  <c r="L1092" i="2"/>
  <c r="M1092" i="2" s="1"/>
  <c r="L1157" i="2"/>
  <c r="M1157" i="2" s="1"/>
  <c r="L979" i="2"/>
  <c r="M979" i="2" s="1"/>
  <c r="L1273" i="2"/>
  <c r="M1273" i="2" s="1"/>
  <c r="L1331" i="2"/>
  <c r="M1331" i="2" s="1"/>
  <c r="L1271" i="2"/>
  <c r="M1271" i="2" s="1"/>
  <c r="E1094" i="2"/>
  <c r="E15" i="2"/>
  <c r="E1210" i="2"/>
  <c r="E14" i="2"/>
  <c r="E12" i="2"/>
  <c r="E1328" i="2"/>
  <c r="E1153" i="2"/>
  <c r="E1215" i="2"/>
  <c r="E1272" i="2"/>
  <c r="E1154" i="2"/>
  <c r="L1037" i="2"/>
  <c r="M1037" i="2" s="1"/>
  <c r="E9" i="2"/>
  <c r="E1097" i="2"/>
  <c r="E13" i="2"/>
  <c r="E1155" i="2"/>
  <c r="E1389" i="2"/>
  <c r="E978" i="2"/>
  <c r="E10" i="2"/>
  <c r="E790" i="2"/>
  <c r="E17" i="2"/>
  <c r="E16" i="2"/>
  <c r="L1089" i="2"/>
  <c r="M1089" i="2" s="1"/>
  <c r="L1028" i="2"/>
  <c r="M1028" i="2" s="1"/>
  <c r="L1032" i="2"/>
  <c r="M1032" i="2" s="1"/>
  <c r="L490" i="2"/>
  <c r="M490" i="2" s="1"/>
  <c r="L611" i="2"/>
  <c r="M611" i="2" s="1"/>
  <c r="L911" i="2"/>
  <c r="M911" i="2" s="1"/>
  <c r="L488" i="2"/>
  <c r="M488" i="2" s="1"/>
  <c r="E1150" i="2"/>
  <c r="E1035" i="2"/>
  <c r="E789" i="2"/>
  <c r="E729" i="2"/>
  <c r="E728" i="2"/>
  <c r="E849" i="2"/>
  <c r="E1029" i="2"/>
  <c r="L851" i="2"/>
  <c r="M851" i="2" s="1"/>
  <c r="L730" i="2"/>
  <c r="M730" i="2" s="1"/>
  <c r="L1031" i="2"/>
  <c r="M1031" i="2" s="1"/>
  <c r="L369" i="2"/>
  <c r="M369" i="2" s="1"/>
  <c r="L850" i="2"/>
  <c r="M850" i="2" s="1"/>
  <c r="L909" i="2"/>
  <c r="M909" i="2" s="1"/>
  <c r="L1034" i="2"/>
  <c r="M1034" i="2" s="1"/>
  <c r="L910" i="2"/>
  <c r="M910" i="2" s="1"/>
  <c r="L669" i="2"/>
  <c r="M669" i="2" s="1"/>
  <c r="L969" i="2"/>
  <c r="M969" i="2" s="1"/>
  <c r="L848" i="2"/>
  <c r="M848" i="2" s="1"/>
  <c r="L1030" i="2"/>
  <c r="M1030" i="2" s="1"/>
  <c r="L671" i="2"/>
  <c r="M671" i="2" s="1"/>
  <c r="L908" i="2"/>
  <c r="M908" i="2" s="1"/>
  <c r="L1033" i="2"/>
  <c r="M1033" i="2" s="1"/>
  <c r="L549" i="2"/>
  <c r="M549" i="2" s="1"/>
  <c r="L608" i="2"/>
  <c r="M608" i="2" s="1"/>
  <c r="L668" i="2"/>
  <c r="M668" i="2" s="1"/>
  <c r="L672" i="2"/>
  <c r="M672" i="2" s="1"/>
  <c r="L788" i="2"/>
  <c r="M788" i="2" s="1"/>
  <c r="L548" i="2"/>
  <c r="M548" i="2" s="1"/>
  <c r="L1088" i="2"/>
  <c r="M1088" i="2" s="1"/>
  <c r="E489" i="2"/>
  <c r="E368" i="2"/>
  <c r="E550" i="2"/>
  <c r="E971" i="2"/>
  <c r="E968" i="2"/>
  <c r="E1148" i="2"/>
  <c r="E1091" i="2"/>
  <c r="E610" i="2"/>
  <c r="E1036" i="2"/>
  <c r="E429" i="2"/>
  <c r="E430" i="2"/>
  <c r="E1090" i="2"/>
  <c r="E551" i="2"/>
  <c r="E1149" i="2"/>
  <c r="E609" i="2"/>
  <c r="E308" i="2"/>
  <c r="E670" i="2"/>
  <c r="L428" i="2"/>
  <c r="M428" i="2" s="1"/>
  <c r="E970" i="2"/>
  <c r="E556" i="2"/>
  <c r="L976" i="2"/>
  <c r="M976" i="2" s="1"/>
  <c r="E975" i="2"/>
  <c r="E855" i="2"/>
  <c r="L447" i="2"/>
  <c r="M447" i="2" s="1"/>
  <c r="L852" i="2"/>
  <c r="M852" i="2" s="1"/>
  <c r="L854" i="2"/>
  <c r="M854" i="2" s="1"/>
  <c r="L732" i="2"/>
  <c r="M732" i="2" s="1"/>
  <c r="L913" i="2"/>
  <c r="M913" i="2" s="1"/>
  <c r="L853" i="2"/>
  <c r="M853" i="2" s="1"/>
  <c r="L914" i="2"/>
  <c r="M914" i="2" s="1"/>
  <c r="L974" i="2"/>
  <c r="M974" i="2" s="1"/>
  <c r="E508" i="2"/>
  <c r="E915" i="2"/>
  <c r="E791" i="2"/>
  <c r="E792" i="2"/>
  <c r="E973" i="2"/>
  <c r="E386" i="2"/>
  <c r="E731" i="2"/>
  <c r="E972" i="2"/>
  <c r="E912" i="2"/>
  <c r="L569" i="2"/>
  <c r="M569" i="2" s="1"/>
  <c r="L571" i="2"/>
  <c r="M571" i="2" s="1"/>
  <c r="L568" i="2"/>
  <c r="M568" i="2" s="1"/>
  <c r="L509" i="2"/>
  <c r="M509" i="2" s="1"/>
  <c r="L567" i="2"/>
  <c r="M567" i="2" s="1"/>
  <c r="L388" i="2"/>
  <c r="M388" i="2" s="1"/>
  <c r="L449" i="2"/>
  <c r="M449" i="2" s="1"/>
  <c r="L510" i="2"/>
  <c r="M510" i="2" s="1"/>
  <c r="L507" i="2"/>
  <c r="M507" i="2" s="1"/>
  <c r="E448" i="2"/>
  <c r="I447" i="2"/>
  <c r="E570" i="2"/>
  <c r="E563" i="2"/>
  <c r="E557" i="2"/>
  <c r="L499" i="2"/>
  <c r="M499" i="2" s="1"/>
  <c r="L440" i="2"/>
  <c r="M440" i="2" s="1"/>
  <c r="L380" i="2"/>
  <c r="M380" i="2" s="1"/>
  <c r="L383" i="2"/>
  <c r="M383" i="2" s="1"/>
  <c r="L505" i="2"/>
  <c r="M505" i="2" s="1"/>
  <c r="L384" i="2"/>
  <c r="M384" i="2" s="1"/>
  <c r="E375" i="2"/>
  <c r="E382" i="2"/>
  <c r="E377" i="2"/>
  <c r="L564" i="2"/>
  <c r="M564" i="2" s="1"/>
  <c r="L437" i="2"/>
  <c r="M437" i="2" s="1"/>
  <c r="L374" i="2"/>
  <c r="M374" i="2" s="1"/>
  <c r="L385" i="2"/>
  <c r="M385" i="2" s="1"/>
  <c r="L562" i="2"/>
  <c r="M562" i="2" s="1"/>
  <c r="L445" i="2"/>
  <c r="M445" i="2" s="1"/>
  <c r="L503" i="2"/>
  <c r="M503" i="2" s="1"/>
  <c r="L446" i="2"/>
  <c r="M446" i="2" s="1"/>
  <c r="L435" i="2"/>
  <c r="M435" i="2" s="1"/>
  <c r="L372" i="2"/>
  <c r="M372" i="2" s="1"/>
  <c r="L506" i="2"/>
  <c r="M506" i="2" s="1"/>
  <c r="L559" i="2"/>
  <c r="M559" i="2" s="1"/>
  <c r="L497" i="2"/>
  <c r="M497" i="2" s="1"/>
  <c r="L561" i="2"/>
  <c r="M561" i="2" s="1"/>
  <c r="L68" i="2"/>
  <c r="M68" i="2" s="1"/>
  <c r="L370" i="2"/>
  <c r="M370" i="2" s="1"/>
  <c r="L502" i="2"/>
  <c r="M502" i="2" s="1"/>
  <c r="L431" i="2"/>
  <c r="M431" i="2" s="1"/>
  <c r="L371" i="2"/>
  <c r="M371" i="2" s="1"/>
  <c r="L558" i="2"/>
  <c r="M558" i="2" s="1"/>
  <c r="L442" i="2"/>
  <c r="M442" i="2" s="1"/>
  <c r="L438" i="2"/>
  <c r="M438" i="2" s="1"/>
  <c r="L439" i="2"/>
  <c r="M439" i="2" s="1"/>
  <c r="L496" i="2"/>
  <c r="M496" i="2" s="1"/>
  <c r="I441" i="2"/>
  <c r="E500" i="2"/>
  <c r="I503" i="2"/>
  <c r="I384" i="2"/>
  <c r="I445" i="2"/>
  <c r="I443" i="2"/>
  <c r="I440" i="2"/>
  <c r="E441" i="2"/>
  <c r="I500" i="2"/>
  <c r="E443" i="2"/>
  <c r="E436" i="2"/>
  <c r="I562" i="2"/>
  <c r="E379" i="2"/>
  <c r="E381" i="2"/>
  <c r="E501" i="2"/>
  <c r="E444" i="2"/>
  <c r="I561" i="2"/>
  <c r="E491" i="2"/>
  <c r="E504" i="2"/>
  <c r="E565" i="2"/>
  <c r="E566" i="2"/>
  <c r="E498" i="2"/>
  <c r="E378" i="2"/>
  <c r="E376" i="2"/>
  <c r="E560" i="2"/>
  <c r="D23" i="15"/>
  <c r="E823" i="2"/>
  <c r="E432" i="2"/>
  <c r="L816" i="2"/>
  <c r="M816" i="2" s="1"/>
  <c r="L939" i="2"/>
  <c r="M939" i="2" s="1"/>
  <c r="E736" i="2"/>
  <c r="E917" i="2"/>
  <c r="L882" i="2"/>
  <c r="M882" i="2" s="1"/>
  <c r="L925" i="2"/>
  <c r="M925" i="2" s="1"/>
  <c r="L702" i="2"/>
  <c r="M702" i="2" s="1"/>
  <c r="L552" i="2"/>
  <c r="M552" i="2" s="1"/>
  <c r="L761" i="2"/>
  <c r="M761" i="2" s="1"/>
  <c r="L874" i="2"/>
  <c r="M874" i="2" s="1"/>
  <c r="L678" i="2"/>
  <c r="M678" i="2" s="1"/>
  <c r="L753" i="2"/>
  <c r="M753" i="2" s="1"/>
  <c r="L811" i="2"/>
  <c r="M811" i="2" s="1"/>
  <c r="L919" i="2"/>
  <c r="M919" i="2" s="1"/>
  <c r="L691" i="2"/>
  <c r="M691" i="2" s="1"/>
  <c r="L927" i="2"/>
  <c r="M927" i="2" s="1"/>
  <c r="L941" i="2"/>
  <c r="M941" i="2" s="1"/>
  <c r="L943" i="2"/>
  <c r="M943" i="2" s="1"/>
  <c r="L938" i="2"/>
  <c r="M938" i="2" s="1"/>
  <c r="L868" i="2"/>
  <c r="M868" i="2" s="1"/>
  <c r="L755" i="2"/>
  <c r="M755" i="2" s="1"/>
  <c r="L857" i="2"/>
  <c r="M857" i="2" s="1"/>
  <c r="E746" i="2"/>
  <c r="E807" i="2"/>
  <c r="E748" i="2"/>
  <c r="E819" i="2"/>
  <c r="E880" i="2"/>
  <c r="E760" i="2"/>
  <c r="L1001" i="2"/>
  <c r="M1001" i="2" s="1"/>
  <c r="L918" i="2"/>
  <c r="M918" i="2" s="1"/>
  <c r="L749" i="2"/>
  <c r="M749" i="2" s="1"/>
  <c r="L801" i="2"/>
  <c r="M801" i="2" s="1"/>
  <c r="L643" i="2"/>
  <c r="M643" i="2" s="1"/>
  <c r="L625" i="2"/>
  <c r="M625" i="2" s="1"/>
  <c r="L555" i="2"/>
  <c r="M555" i="2" s="1"/>
  <c r="L626" i="2"/>
  <c r="M626" i="2" s="1"/>
  <c r="L867" i="2"/>
  <c r="M867" i="2" s="1"/>
  <c r="L641" i="2"/>
  <c r="M641" i="2" s="1"/>
  <c r="L674" i="2"/>
  <c r="M674" i="2" s="1"/>
  <c r="L631" i="2"/>
  <c r="M631" i="2" s="1"/>
  <c r="L686" i="2"/>
  <c r="M686" i="2" s="1"/>
  <c r="L820" i="2"/>
  <c r="M820" i="2" s="1"/>
  <c r="L861" i="2"/>
  <c r="M861" i="2" s="1"/>
  <c r="L937" i="2"/>
  <c r="M937" i="2" s="1"/>
  <c r="L740" i="2"/>
  <c r="M740" i="2" s="1"/>
  <c r="L751" i="2"/>
  <c r="M751" i="2" s="1"/>
  <c r="L681" i="2"/>
  <c r="M681" i="2" s="1"/>
  <c r="L929" i="2"/>
  <c r="M929" i="2" s="1"/>
  <c r="L616" i="2"/>
  <c r="M616" i="2" s="1"/>
  <c r="L634" i="2"/>
  <c r="M634" i="2" s="1"/>
  <c r="L802" i="2"/>
  <c r="M802" i="2" s="1"/>
  <c r="L752" i="2"/>
  <c r="M752" i="2" s="1"/>
  <c r="L797" i="2"/>
  <c r="M797" i="2" s="1"/>
  <c r="L825" i="2"/>
  <c r="M825" i="2" s="1"/>
  <c r="L798" i="2"/>
  <c r="M798" i="2" s="1"/>
  <c r="L805" i="2"/>
  <c r="M805" i="2" s="1"/>
  <c r="L742" i="2"/>
  <c r="M742" i="2" s="1"/>
  <c r="L886" i="2"/>
  <c r="M886" i="2" s="1"/>
  <c r="L800" i="2"/>
  <c r="M800" i="2" s="1"/>
  <c r="L940" i="2"/>
  <c r="M940" i="2" s="1"/>
  <c r="L920" i="2"/>
  <c r="M920" i="2" s="1"/>
  <c r="L824" i="2"/>
  <c r="M824" i="2" s="1"/>
  <c r="L705" i="2"/>
  <c r="M705" i="2" s="1"/>
  <c r="L633" i="2"/>
  <c r="M633" i="2" s="1"/>
  <c r="L689" i="2"/>
  <c r="M689" i="2" s="1"/>
  <c r="L945" i="2"/>
  <c r="M945" i="2" s="1"/>
  <c r="L615" i="2"/>
  <c r="M615" i="2" s="1"/>
  <c r="L614" i="2"/>
  <c r="M614" i="2" s="1"/>
  <c r="L747" i="2"/>
  <c r="M747" i="2" s="1"/>
  <c r="L942" i="2"/>
  <c r="M942" i="2" s="1"/>
  <c r="L863" i="2"/>
  <c r="M863" i="2" s="1"/>
  <c r="L944" i="2"/>
  <c r="M944" i="2" s="1"/>
  <c r="L733" i="2"/>
  <c r="M733" i="2" s="1"/>
  <c r="L799" i="2"/>
  <c r="M799" i="2" s="1"/>
  <c r="L916" i="2"/>
  <c r="M916" i="2" s="1"/>
  <c r="L814" i="2"/>
  <c r="M814" i="2" s="1"/>
  <c r="L706" i="2"/>
  <c r="M706" i="2" s="1"/>
  <c r="L698" i="2"/>
  <c r="M698" i="2" s="1"/>
  <c r="L735" i="2"/>
  <c r="M735" i="2" s="1"/>
  <c r="L734" i="2"/>
  <c r="M734" i="2" s="1"/>
  <c r="L806" i="2"/>
  <c r="M806" i="2" s="1"/>
  <c r="L762" i="2"/>
  <c r="M762" i="2" s="1"/>
  <c r="L921" i="2"/>
  <c r="M921" i="2" s="1"/>
  <c r="L738" i="2"/>
  <c r="M738" i="2" s="1"/>
  <c r="L636" i="2"/>
  <c r="M636" i="2" s="1"/>
  <c r="L821" i="2"/>
  <c r="M821" i="2" s="1"/>
  <c r="L680" i="2"/>
  <c r="M680" i="2" s="1"/>
  <c r="L934" i="2"/>
  <c r="M934" i="2" s="1"/>
  <c r="L862" i="2"/>
  <c r="M862" i="2" s="1"/>
  <c r="L495" i="2"/>
  <c r="M495" i="2" s="1"/>
  <c r="L885" i="2"/>
  <c r="M885" i="2" s="1"/>
  <c r="L795" i="2"/>
  <c r="M795" i="2" s="1"/>
  <c r="L494" i="2"/>
  <c r="M494" i="2" s="1"/>
  <c r="L684" i="2"/>
  <c r="M684" i="2" s="1"/>
  <c r="L872" i="2"/>
  <c r="M872" i="2" s="1"/>
  <c r="L878" i="2"/>
  <c r="M878" i="2" s="1"/>
  <c r="L928" i="2"/>
  <c r="M928" i="2" s="1"/>
  <c r="L812" i="2"/>
  <c r="M812" i="2" s="1"/>
  <c r="L826" i="2"/>
  <c r="M826" i="2" s="1"/>
  <c r="L692" i="2"/>
  <c r="M692" i="2" s="1"/>
  <c r="L637" i="2"/>
  <c r="M637" i="2" s="1"/>
  <c r="L817" i="2"/>
  <c r="M817" i="2" s="1"/>
  <c r="L757" i="2"/>
  <c r="M757" i="2" s="1"/>
  <c r="L931" i="2"/>
  <c r="M931" i="2" s="1"/>
  <c r="L642" i="2"/>
  <c r="M642" i="2" s="1"/>
  <c r="L745" i="2"/>
  <c r="M745" i="2" s="1"/>
  <c r="L766" i="2"/>
  <c r="M766" i="2" s="1"/>
  <c r="L619" i="2"/>
  <c r="M619" i="2" s="1"/>
  <c r="L750" i="2"/>
  <c r="M750" i="2" s="1"/>
  <c r="L926" i="2"/>
  <c r="M926" i="2" s="1"/>
  <c r="L879" i="2"/>
  <c r="M879" i="2" s="1"/>
  <c r="L623" i="2"/>
  <c r="M623" i="2" s="1"/>
  <c r="L866" i="2"/>
  <c r="M866" i="2" s="1"/>
  <c r="L935" i="2"/>
  <c r="M935" i="2" s="1"/>
  <c r="L1000" i="2"/>
  <c r="M1000" i="2" s="1"/>
  <c r="L813" i="2"/>
  <c r="M813" i="2" s="1"/>
  <c r="L696" i="2"/>
  <c r="M696" i="2" s="1"/>
  <c r="L553" i="2"/>
  <c r="M553" i="2" s="1"/>
  <c r="L683" i="2"/>
  <c r="M683" i="2" s="1"/>
  <c r="L977" i="2"/>
  <c r="M977" i="2" s="1"/>
  <c r="L697" i="2"/>
  <c r="M697" i="2" s="1"/>
  <c r="L493" i="2"/>
  <c r="M493" i="2" s="1"/>
  <c r="L883" i="2"/>
  <c r="M883" i="2" s="1"/>
  <c r="L612" i="2"/>
  <c r="M612" i="2" s="1"/>
  <c r="L794" i="2"/>
  <c r="M794" i="2" s="1"/>
  <c r="L617" i="2"/>
  <c r="M617" i="2" s="1"/>
  <c r="L673" i="2"/>
  <c r="M673" i="2" s="1"/>
  <c r="E638" i="2"/>
  <c r="I638" i="2"/>
  <c r="E613" i="2"/>
  <c r="E758" i="2"/>
  <c r="E764" i="2"/>
  <c r="I866" i="2"/>
  <c r="E873" i="2"/>
  <c r="E793" i="2"/>
  <c r="I759" i="2"/>
  <c r="E629" i="2"/>
  <c r="E695" i="2"/>
  <c r="I861" i="2"/>
  <c r="E881" i="2"/>
  <c r="E923" i="2"/>
  <c r="E492" i="2"/>
  <c r="E864" i="2"/>
  <c r="E645" i="2"/>
  <c r="E618" i="2"/>
  <c r="E693" i="2"/>
  <c r="E630" i="2"/>
  <c r="E640" i="2"/>
  <c r="E924" i="2"/>
  <c r="I699" i="2"/>
  <c r="I705" i="2"/>
  <c r="E621" i="2"/>
  <c r="I625" i="2"/>
  <c r="I636" i="2"/>
  <c r="E870" i="2"/>
  <c r="E676" i="2"/>
  <c r="I945" i="2"/>
  <c r="I692" i="2"/>
  <c r="I929" i="2"/>
  <c r="E804" i="2"/>
  <c r="E741" i="2"/>
  <c r="I879" i="2"/>
  <c r="E818" i="2"/>
  <c r="I635" i="2"/>
  <c r="E685" i="2"/>
  <c r="E809" i="2"/>
  <c r="I761" i="2"/>
  <c r="E622" i="2"/>
  <c r="E743" i="2"/>
  <c r="E796" i="2"/>
  <c r="E815" i="2"/>
  <c r="I927" i="2"/>
  <c r="E871" i="2"/>
  <c r="E624" i="2"/>
  <c r="I762" i="2"/>
  <c r="E856" i="2"/>
  <c r="I943" i="2"/>
  <c r="E803" i="2"/>
  <c r="E865" i="2"/>
  <c r="E765" i="2"/>
  <c r="E936" i="2"/>
  <c r="I693" i="2"/>
  <c r="I640" i="2"/>
  <c r="E699" i="2"/>
  <c r="E756" i="2"/>
  <c r="E754" i="2"/>
  <c r="E763" i="2"/>
  <c r="E884" i="2"/>
  <c r="E373" i="2"/>
  <c r="E704" i="2"/>
  <c r="E679" i="2"/>
  <c r="E632" i="2"/>
  <c r="E690" i="2"/>
  <c r="I883" i="2"/>
  <c r="I934" i="2"/>
  <c r="E859" i="2"/>
  <c r="I871" i="2"/>
  <c r="E433" i="2"/>
  <c r="E860" i="2"/>
  <c r="E877" i="2"/>
  <c r="E869" i="2"/>
  <c r="I865" i="2"/>
  <c r="I740" i="2"/>
  <c r="I765" i="2"/>
  <c r="E932" i="2"/>
  <c r="I1001" i="2"/>
  <c r="E808" i="2"/>
  <c r="E687" i="2"/>
  <c r="E644" i="2"/>
  <c r="E858" i="2"/>
  <c r="E639" i="2"/>
  <c r="E930" i="2"/>
  <c r="I878" i="2"/>
  <c r="E703" i="2"/>
  <c r="E875" i="2"/>
  <c r="E707" i="2"/>
  <c r="E694" i="2"/>
  <c r="E700" i="2"/>
  <c r="E739" i="2"/>
  <c r="E922" i="2"/>
  <c r="E767" i="2"/>
  <c r="I816" i="2"/>
  <c r="E933" i="2"/>
  <c r="I706" i="2"/>
  <c r="E737" i="2"/>
  <c r="E434" i="2"/>
  <c r="E677" i="2"/>
  <c r="E628" i="2"/>
  <c r="I822" i="2"/>
  <c r="E810" i="2"/>
  <c r="E635" i="2"/>
  <c r="E744" i="2"/>
  <c r="E675" i="2"/>
  <c r="E620" i="2"/>
  <c r="E554" i="2"/>
  <c r="E682" i="2"/>
  <c r="E876" i="2"/>
  <c r="E701" i="2"/>
  <c r="E759" i="2"/>
  <c r="E627" i="2"/>
  <c r="E822" i="2"/>
  <c r="E688" i="2"/>
  <c r="E41" i="17"/>
  <c r="S25" i="9"/>
  <c r="E204" i="2"/>
  <c r="E321" i="2"/>
  <c r="F25" i="16"/>
  <c r="G22" i="9"/>
  <c r="E320" i="2"/>
  <c r="E317" i="2"/>
  <c r="E203" i="2"/>
  <c r="D69" i="3"/>
  <c r="E39" i="17" s="1"/>
  <c r="E195" i="2"/>
  <c r="L267" i="2"/>
  <c r="M267" i="2" s="1"/>
  <c r="E149" i="2"/>
  <c r="B17" i="8"/>
  <c r="E30" i="2"/>
  <c r="E312" i="2"/>
  <c r="E69" i="2"/>
  <c r="E196" i="2"/>
  <c r="E81" i="2"/>
  <c r="E89" i="2"/>
  <c r="L74" i="2"/>
  <c r="M74" i="2" s="1"/>
  <c r="L130" i="2"/>
  <c r="M130" i="2" s="1"/>
  <c r="L138" i="2"/>
  <c r="M138" i="2" s="1"/>
  <c r="E80" i="2"/>
  <c r="E134" i="2"/>
  <c r="E316" i="2"/>
  <c r="L148" i="2"/>
  <c r="M148" i="2" s="1"/>
  <c r="L318" i="2"/>
  <c r="M318" i="2" s="1"/>
  <c r="L137" i="2"/>
  <c r="M137" i="2" s="1"/>
  <c r="E84" i="2"/>
  <c r="E188" i="2"/>
  <c r="E315" i="2"/>
  <c r="E248" i="2"/>
  <c r="E136" i="2"/>
  <c r="E208" i="2"/>
  <c r="L314" i="2"/>
  <c r="M314" i="2" s="1"/>
  <c r="L256" i="2"/>
  <c r="M256" i="2" s="1"/>
  <c r="L202" i="2"/>
  <c r="M202" i="2" s="1"/>
  <c r="L145" i="2"/>
  <c r="M145" i="2" s="1"/>
  <c r="L205" i="2"/>
  <c r="M205" i="2" s="1"/>
  <c r="L272" i="2"/>
  <c r="M272" i="2" s="1"/>
  <c r="L261" i="2"/>
  <c r="M261" i="2" s="1"/>
  <c r="L73" i="2"/>
  <c r="M73" i="2" s="1"/>
  <c r="L83" i="2"/>
  <c r="M83" i="2" s="1"/>
  <c r="L319" i="2"/>
  <c r="M319" i="2" s="1"/>
  <c r="L18" i="2"/>
  <c r="M18" i="2" s="1"/>
  <c r="L197" i="2"/>
  <c r="M197" i="2" s="1"/>
  <c r="E313" i="2"/>
  <c r="E207" i="2"/>
  <c r="E150" i="2"/>
  <c r="E129" i="2"/>
  <c r="E193" i="2"/>
  <c r="L131" i="2"/>
  <c r="M131" i="2" s="1"/>
  <c r="L151" i="2"/>
  <c r="M151" i="2" s="1"/>
  <c r="E329" i="2"/>
  <c r="L135" i="2"/>
  <c r="M135" i="2" s="1"/>
  <c r="L140" i="2"/>
  <c r="M140" i="2" s="1"/>
  <c r="L133" i="2"/>
  <c r="M133" i="2" s="1"/>
  <c r="L333" i="2"/>
  <c r="M333" i="2" s="1"/>
  <c r="L132" i="2"/>
  <c r="M132" i="2" s="1"/>
  <c r="L331" i="2"/>
  <c r="M331" i="2" s="1"/>
  <c r="E265" i="2"/>
  <c r="L85" i="2"/>
  <c r="M85" i="2" s="1"/>
  <c r="L206" i="2"/>
  <c r="M206" i="2" s="1"/>
  <c r="L328" i="2"/>
  <c r="M328" i="2" s="1"/>
  <c r="E330" i="2"/>
  <c r="E332" i="2"/>
  <c r="E323" i="2"/>
  <c r="E139" i="2"/>
  <c r="L71" i="2"/>
  <c r="M71" i="2" s="1"/>
  <c r="L90" i="2"/>
  <c r="M90" i="2" s="1"/>
  <c r="L258" i="2"/>
  <c r="M258" i="2" s="1"/>
  <c r="L269" i="2"/>
  <c r="M269" i="2" s="1"/>
  <c r="L311" i="2"/>
  <c r="M311" i="2" s="1"/>
  <c r="L78" i="2"/>
  <c r="M78" i="2" s="1"/>
  <c r="L72" i="2"/>
  <c r="M72" i="2" s="1"/>
  <c r="L70" i="2"/>
  <c r="M70" i="2" s="1"/>
  <c r="L309" i="2"/>
  <c r="M309" i="2" s="1"/>
  <c r="L77" i="2"/>
  <c r="M77" i="2" s="1"/>
  <c r="L251" i="2"/>
  <c r="M251" i="2" s="1"/>
  <c r="L262" i="2"/>
  <c r="M262" i="2" s="1"/>
  <c r="L327" i="2"/>
  <c r="M327" i="2" s="1"/>
  <c r="L87" i="2"/>
  <c r="M87" i="2" s="1"/>
  <c r="L190" i="2"/>
  <c r="M190" i="2" s="1"/>
  <c r="L325" i="2"/>
  <c r="M325" i="2" s="1"/>
  <c r="L76" i="2"/>
  <c r="M76" i="2" s="1"/>
  <c r="L260" i="2"/>
  <c r="M260" i="2" s="1"/>
  <c r="L142" i="2"/>
  <c r="M142" i="2" s="1"/>
  <c r="L143" i="2"/>
  <c r="M143" i="2" s="1"/>
  <c r="L252" i="2"/>
  <c r="M252" i="2" s="1"/>
  <c r="L259" i="2"/>
  <c r="M259" i="2" s="1"/>
  <c r="L250" i="2"/>
  <c r="M250" i="2" s="1"/>
  <c r="L271" i="2"/>
  <c r="M271" i="2" s="1"/>
  <c r="L86" i="2"/>
  <c r="M86" i="2" s="1"/>
  <c r="L254" i="2"/>
  <c r="M254" i="2" s="1"/>
  <c r="L192" i="2"/>
  <c r="M192" i="2" s="1"/>
  <c r="I211" i="2"/>
  <c r="E147" i="2"/>
  <c r="E326" i="2"/>
  <c r="E249" i="2"/>
  <c r="E191" i="2"/>
  <c r="E88" i="2"/>
  <c r="I142" i="2"/>
  <c r="I260" i="2"/>
  <c r="E210" i="2"/>
  <c r="B11" i="17"/>
  <c r="B12" i="17"/>
  <c r="B69" i="3"/>
  <c r="E270" i="2"/>
  <c r="I78" i="2"/>
  <c r="I210" i="2"/>
  <c r="E128" i="2"/>
  <c r="I90" i="2"/>
  <c r="I325" i="2"/>
  <c r="E91" i="2"/>
  <c r="N11" i="2"/>
  <c r="E310" i="2"/>
  <c r="E263" i="2"/>
  <c r="E79" i="2"/>
  <c r="E141" i="2"/>
  <c r="I190" i="2"/>
  <c r="E255" i="2"/>
  <c r="E199" i="2"/>
  <c r="I261" i="2"/>
  <c r="I327" i="2"/>
  <c r="E266" i="2"/>
  <c r="I128" i="2"/>
  <c r="E146" i="2"/>
  <c r="I255" i="2"/>
  <c r="I271" i="2"/>
  <c r="I263" i="2"/>
  <c r="E144" i="2"/>
  <c r="E257" i="2"/>
  <c r="E253" i="2"/>
  <c r="E324" i="2"/>
  <c r="I250" i="2"/>
  <c r="E201" i="2"/>
  <c r="E264" i="2"/>
  <c r="E75" i="2"/>
  <c r="E211" i="2"/>
  <c r="E82" i="2"/>
  <c r="E198" i="2"/>
  <c r="E268" i="2"/>
  <c r="E189" i="2"/>
  <c r="E209" i="2"/>
  <c r="I143" i="2"/>
  <c r="E194" i="2"/>
  <c r="E200" i="2"/>
  <c r="E322" i="2"/>
  <c r="E7" i="9"/>
  <c r="C8" i="9" a="1"/>
  <c r="C8" i="9" s="1"/>
  <c r="B8" i="9"/>
  <c r="E1212" i="2" l="1"/>
  <c r="E668" i="2"/>
  <c r="E1095" i="2"/>
  <c r="E1208" i="2"/>
  <c r="E1390" i="2"/>
  <c r="E1270" i="2"/>
  <c r="E1214" i="2"/>
  <c r="E1158" i="2"/>
  <c r="E1276" i="2"/>
  <c r="E1099" i="2"/>
  <c r="E1217" i="2"/>
  <c r="E488" i="2"/>
  <c r="E1156" i="2"/>
  <c r="E1098" i="2"/>
  <c r="E1213" i="2"/>
  <c r="E1038" i="2"/>
  <c r="E1329" i="2"/>
  <c r="E1331" i="2"/>
  <c r="E1151" i="2"/>
  <c r="E1273" i="2"/>
  <c r="E1032" i="2"/>
  <c r="E1274" i="2"/>
  <c r="E1211" i="2"/>
  <c r="E979" i="2"/>
  <c r="E1388" i="2"/>
  <c r="E852" i="2"/>
  <c r="E1092" i="2"/>
  <c r="J13" i="2"/>
  <c r="J9" i="2"/>
  <c r="J14" i="2"/>
  <c r="J15" i="2"/>
  <c r="E910" i="2"/>
  <c r="E1271" i="2"/>
  <c r="E1268" i="2"/>
  <c r="E1039" i="2"/>
  <c r="E1093" i="2"/>
  <c r="E608" i="2"/>
  <c r="E851" i="2"/>
  <c r="E1028" i="2"/>
  <c r="E1037" i="2"/>
  <c r="E1157" i="2"/>
  <c r="E1269" i="2"/>
  <c r="E671" i="2"/>
  <c r="E1089" i="2"/>
  <c r="E490" i="2"/>
  <c r="E1030" i="2"/>
  <c r="J17" i="2"/>
  <c r="J16" i="2"/>
  <c r="E428" i="2"/>
  <c r="E908" i="2"/>
  <c r="E548" i="2"/>
  <c r="E848" i="2"/>
  <c r="E549" i="2"/>
  <c r="E850" i="2"/>
  <c r="E911" i="2"/>
  <c r="E611" i="2"/>
  <c r="E672" i="2"/>
  <c r="E969" i="2"/>
  <c r="E732" i="2"/>
  <c r="E909" i="2"/>
  <c r="E1088" i="2"/>
  <c r="E1033" i="2"/>
  <c r="E369" i="2"/>
  <c r="E1031" i="2"/>
  <c r="E788" i="2"/>
  <c r="E669" i="2"/>
  <c r="E730" i="2"/>
  <c r="E853" i="2"/>
  <c r="E1034" i="2"/>
  <c r="E976" i="2"/>
  <c r="E914" i="2"/>
  <c r="E974" i="2"/>
  <c r="E568" i="2"/>
  <c r="E569" i="2"/>
  <c r="E447" i="2"/>
  <c r="E388" i="2"/>
  <c r="E383" i="2"/>
  <c r="E510" i="2"/>
  <c r="E499" i="2"/>
  <c r="E567" i="2"/>
  <c r="E854" i="2"/>
  <c r="J507" i="2"/>
  <c r="E505" i="2"/>
  <c r="E571" i="2"/>
  <c r="E913" i="2"/>
  <c r="E507" i="2"/>
  <c r="E509" i="2"/>
  <c r="J568" i="2"/>
  <c r="J570" i="2"/>
  <c r="E449" i="2"/>
  <c r="J566" i="2"/>
  <c r="J388" i="2"/>
  <c r="J509" i="2"/>
  <c r="J567" i="2"/>
  <c r="J510" i="2"/>
  <c r="J571" i="2"/>
  <c r="J448" i="2"/>
  <c r="J447" i="2"/>
  <c r="J449" i="2"/>
  <c r="J508" i="2"/>
  <c r="J569" i="2"/>
  <c r="E370" i="2"/>
  <c r="E446" i="2"/>
  <c r="E439" i="2"/>
  <c r="E440" i="2"/>
  <c r="E371" i="2"/>
  <c r="E497" i="2"/>
  <c r="E558" i="2"/>
  <c r="E435" i="2"/>
  <c r="E445" i="2"/>
  <c r="E384" i="2"/>
  <c r="E374" i="2"/>
  <c r="E431" i="2"/>
  <c r="E437" i="2"/>
  <c r="E438" i="2"/>
  <c r="E68" i="2"/>
  <c r="E372" i="2"/>
  <c r="E385" i="2"/>
  <c r="E380" i="2"/>
  <c r="E503" i="2"/>
  <c r="E564" i="2"/>
  <c r="E506" i="2"/>
  <c r="E562" i="2"/>
  <c r="J505" i="2"/>
  <c r="E442" i="2"/>
  <c r="E559" i="2"/>
  <c r="J500" i="2"/>
  <c r="J443" i="2"/>
  <c r="J504" i="2"/>
  <c r="J383" i="2"/>
  <c r="J440" i="2"/>
  <c r="J386" i="2"/>
  <c r="E561" i="2"/>
  <c r="J441" i="2"/>
  <c r="J564" i="2"/>
  <c r="E496" i="2"/>
  <c r="J561" i="2"/>
  <c r="J562" i="2"/>
  <c r="J506" i="2"/>
  <c r="J445" i="2"/>
  <c r="J385" i="2"/>
  <c r="J503" i="2"/>
  <c r="J382" i="2"/>
  <c r="J380" i="2"/>
  <c r="J442" i="2"/>
  <c r="J501" i="2"/>
  <c r="J8" i="2"/>
  <c r="J502" i="2"/>
  <c r="J379" i="2"/>
  <c r="J560" i="2"/>
  <c r="J559" i="2"/>
  <c r="J439" i="2"/>
  <c r="J68" i="2"/>
  <c r="J446" i="2"/>
  <c r="J438" i="2"/>
  <c r="J498" i="2"/>
  <c r="J444" i="2"/>
  <c r="J563" i="2"/>
  <c r="J381" i="2"/>
  <c r="J378" i="2"/>
  <c r="J499" i="2"/>
  <c r="E502" i="2"/>
  <c r="J565" i="2"/>
  <c r="J384" i="2"/>
  <c r="E634" i="2"/>
  <c r="E931" i="2"/>
  <c r="E934" i="2"/>
  <c r="E821" i="2"/>
  <c r="E812" i="2"/>
  <c r="E825" i="2"/>
  <c r="E552" i="2"/>
  <c r="E916" i="2"/>
  <c r="E680" i="2"/>
  <c r="E684" i="2"/>
  <c r="E495" i="2"/>
  <c r="E811" i="2"/>
  <c r="E619" i="2"/>
  <c r="E920" i="2"/>
  <c r="E939" i="2"/>
  <c r="E750" i="2"/>
  <c r="E805" i="2"/>
  <c r="E861" i="2"/>
  <c r="E868" i="2"/>
  <c r="E702" i="2"/>
  <c r="E623" i="2"/>
  <c r="E643" i="2"/>
  <c r="E925" i="2"/>
  <c r="E631" i="2"/>
  <c r="E749" i="2"/>
  <c r="E941" i="2"/>
  <c r="E945" i="2"/>
  <c r="E691" i="2"/>
  <c r="E689" i="2"/>
  <c r="E633" i="2"/>
  <c r="E637" i="2"/>
  <c r="E753" i="2"/>
  <c r="E806" i="2"/>
  <c r="E938" i="2"/>
  <c r="E761" i="2"/>
  <c r="E493" i="2"/>
  <c r="E882" i="2"/>
  <c r="E626" i="2"/>
  <c r="E863" i="2"/>
  <c r="E755" i="2"/>
  <c r="E494" i="2"/>
  <c r="E921" i="2"/>
  <c r="E678" i="2"/>
  <c r="E795" i="2"/>
  <c r="E747" i="2"/>
  <c r="E935" i="2"/>
  <c r="E927" i="2"/>
  <c r="E940" i="2"/>
  <c r="E862" i="2"/>
  <c r="E751" i="2"/>
  <c r="E857" i="2"/>
  <c r="E919" i="2"/>
  <c r="E735" i="2"/>
  <c r="E686" i="2"/>
  <c r="E696" i="2"/>
  <c r="E636" i="2"/>
  <c r="E705" i="2"/>
  <c r="E752" i="2"/>
  <c r="E1001" i="2"/>
  <c r="E943" i="2"/>
  <c r="E874" i="2"/>
  <c r="E816" i="2"/>
  <c r="E673" i="2"/>
  <c r="E813" i="2"/>
  <c r="E766" i="2"/>
  <c r="E878" i="2"/>
  <c r="E614" i="2"/>
  <c r="E800" i="2"/>
  <c r="E616" i="2"/>
  <c r="E617" i="2"/>
  <c r="E1000" i="2"/>
  <c r="E706" i="2"/>
  <c r="E929" i="2"/>
  <c r="E867" i="2"/>
  <c r="E697" i="2"/>
  <c r="E879" i="2"/>
  <c r="E885" i="2"/>
  <c r="E944" i="2"/>
  <c r="E797" i="2"/>
  <c r="E692" i="2"/>
  <c r="E762" i="2"/>
  <c r="E801" i="2"/>
  <c r="J874" i="2"/>
  <c r="E745" i="2"/>
  <c r="J644" i="2"/>
  <c r="J765" i="2"/>
  <c r="J810" i="2"/>
  <c r="E734" i="2"/>
  <c r="E742" i="2"/>
  <c r="E937" i="2"/>
  <c r="E641" i="2"/>
  <c r="E625" i="2"/>
  <c r="J263" i="2"/>
  <c r="J885" i="2"/>
  <c r="J875" i="2"/>
  <c r="J760" i="2"/>
  <c r="J627" i="2"/>
  <c r="J823" i="2"/>
  <c r="J811" i="2"/>
  <c r="J745" i="2"/>
  <c r="J764" i="2"/>
  <c r="J700" i="2"/>
  <c r="J747" i="2"/>
  <c r="J690" i="2"/>
  <c r="J812" i="2"/>
  <c r="J620" i="2"/>
  <c r="J884" i="2"/>
  <c r="J691" i="2"/>
  <c r="J639" i="2"/>
  <c r="J632" i="2"/>
  <c r="J756" i="2"/>
  <c r="J637" i="2"/>
  <c r="J925" i="2"/>
  <c r="J941" i="2"/>
  <c r="J926" i="2"/>
  <c r="J643" i="2"/>
  <c r="J694" i="2"/>
  <c r="J932" i="2"/>
  <c r="J942" i="2"/>
  <c r="J801" i="2"/>
  <c r="J862" i="2"/>
  <c r="J631" i="2"/>
  <c r="J921" i="2"/>
  <c r="J802" i="2"/>
  <c r="J928" i="2"/>
  <c r="J741" i="2"/>
  <c r="J746" i="2"/>
  <c r="J864" i="2"/>
  <c r="J820" i="2"/>
  <c r="J707" i="2"/>
  <c r="J621" i="2"/>
  <c r="J688" i="2"/>
  <c r="J806" i="2"/>
  <c r="J681" i="2"/>
  <c r="J920" i="2"/>
  <c r="J922" i="2"/>
  <c r="J751" i="2"/>
  <c r="J818" i="2"/>
  <c r="J944" i="2"/>
  <c r="J755" i="2"/>
  <c r="J939" i="2"/>
  <c r="J860" i="2"/>
  <c r="J698" i="2"/>
  <c r="J685" i="2"/>
  <c r="J923" i="2"/>
  <c r="J805" i="2"/>
  <c r="J680" i="2"/>
  <c r="J814" i="2"/>
  <c r="J628" i="2"/>
  <c r="J630" i="2"/>
  <c r="J748" i="2"/>
  <c r="J881" i="2"/>
  <c r="J758" i="2"/>
  <c r="J870" i="2"/>
  <c r="J689" i="2"/>
  <c r="J821" i="2"/>
  <c r="J703" i="2"/>
  <c r="J825" i="2"/>
  <c r="J743" i="2"/>
  <c r="J882" i="2"/>
  <c r="J686" i="2"/>
  <c r="J804" i="2"/>
  <c r="J742" i="2"/>
  <c r="J750" i="2"/>
  <c r="J886" i="2"/>
  <c r="J687" i="2"/>
  <c r="J704" i="2"/>
  <c r="J924" i="2"/>
  <c r="J683" i="2"/>
  <c r="J938" i="2"/>
  <c r="J757" i="2"/>
  <c r="J626" i="2"/>
  <c r="J624" i="2"/>
  <c r="J945" i="2"/>
  <c r="J642" i="2"/>
  <c r="J808" i="2"/>
  <c r="J692" i="2"/>
  <c r="J635" i="2"/>
  <c r="J867" i="2"/>
  <c r="J877" i="2"/>
  <c r="J629" i="2"/>
  <c r="J761" i="2"/>
  <c r="J766" i="2"/>
  <c r="J931" i="2"/>
  <c r="J933" i="2"/>
  <c r="J873" i="2"/>
  <c r="J865" i="2"/>
  <c r="J863" i="2"/>
  <c r="J936" i="2"/>
  <c r="J819" i="2"/>
  <c r="J640" i="2"/>
  <c r="E642" i="2"/>
  <c r="J625" i="2"/>
  <c r="E872" i="2"/>
  <c r="J702" i="2"/>
  <c r="E698" i="2"/>
  <c r="E615" i="2"/>
  <c r="J693" i="2"/>
  <c r="J706" i="2"/>
  <c r="E820" i="2"/>
  <c r="J695" i="2"/>
  <c r="E883" i="2"/>
  <c r="E553" i="2"/>
  <c r="E926" i="2"/>
  <c r="J883" i="2"/>
  <c r="J943" i="2"/>
  <c r="E738" i="2"/>
  <c r="J645" i="2"/>
  <c r="E798" i="2"/>
  <c r="J740" i="2"/>
  <c r="J816" i="2"/>
  <c r="J934" i="2"/>
  <c r="J622" i="2"/>
  <c r="J696" i="2"/>
  <c r="J701" i="2"/>
  <c r="J699" i="2"/>
  <c r="J753" i="2"/>
  <c r="J929" i="2"/>
  <c r="J940" i="2"/>
  <c r="J813" i="2"/>
  <c r="J930" i="2"/>
  <c r="J641" i="2"/>
  <c r="E794" i="2"/>
  <c r="E757" i="2"/>
  <c r="E826" i="2"/>
  <c r="J762" i="2"/>
  <c r="E814" i="2"/>
  <c r="E681" i="2"/>
  <c r="J861" i="2"/>
  <c r="J880" i="2"/>
  <c r="J878" i="2"/>
  <c r="J927" i="2"/>
  <c r="J767" i="2"/>
  <c r="J749" i="2"/>
  <c r="J803" i="2"/>
  <c r="J937" i="2"/>
  <c r="J684" i="2"/>
  <c r="J871" i="2"/>
  <c r="J623" i="2"/>
  <c r="J682" i="2"/>
  <c r="J638" i="2"/>
  <c r="J824" i="2"/>
  <c r="J866" i="2"/>
  <c r="E977" i="2"/>
  <c r="E817" i="2"/>
  <c r="E928" i="2"/>
  <c r="J815" i="2"/>
  <c r="E799" i="2"/>
  <c r="E942" i="2"/>
  <c r="J634" i="2"/>
  <c r="E674" i="2"/>
  <c r="E918" i="2"/>
  <c r="J817" i="2"/>
  <c r="J705" i="2"/>
  <c r="J752" i="2"/>
  <c r="J879" i="2"/>
  <c r="J872" i="2"/>
  <c r="J744" i="2"/>
  <c r="J809" i="2"/>
  <c r="J869" i="2"/>
  <c r="J633" i="2"/>
  <c r="J1001" i="2"/>
  <c r="J876" i="2"/>
  <c r="J763" i="2"/>
  <c r="J868" i="2"/>
  <c r="J826" i="2"/>
  <c r="J822" i="2"/>
  <c r="J759" i="2"/>
  <c r="E886" i="2"/>
  <c r="J807" i="2"/>
  <c r="E740" i="2"/>
  <c r="E555" i="2"/>
  <c r="J619" i="2"/>
  <c r="J697" i="2"/>
  <c r="J1000" i="2"/>
  <c r="J935" i="2"/>
  <c r="J800" i="2"/>
  <c r="E612" i="2"/>
  <c r="E683" i="2"/>
  <c r="E866" i="2"/>
  <c r="J754" i="2"/>
  <c r="J636" i="2"/>
  <c r="E733" i="2"/>
  <c r="E824" i="2"/>
  <c r="E802" i="2"/>
  <c r="E138" i="2"/>
  <c r="E325" i="2"/>
  <c r="E267" i="2"/>
  <c r="E71" i="2"/>
  <c r="E318" i="2"/>
  <c r="E206" i="2"/>
  <c r="E272" i="2"/>
  <c r="E148" i="2"/>
  <c r="E143" i="2"/>
  <c r="E331" i="2"/>
  <c r="E260" i="2"/>
  <c r="E90" i="2"/>
  <c r="E130" i="2"/>
  <c r="E76" i="2"/>
  <c r="E83" i="2"/>
  <c r="E142" i="2"/>
  <c r="E131" i="2"/>
  <c r="E85" i="2"/>
  <c r="E269" i="2"/>
  <c r="E132" i="2"/>
  <c r="E74" i="2"/>
  <c r="E314" i="2"/>
  <c r="E250" i="2"/>
  <c r="E77" i="2"/>
  <c r="E328" i="2"/>
  <c r="E261" i="2"/>
  <c r="E137" i="2"/>
  <c r="E202" i="2"/>
  <c r="E73" i="2"/>
  <c r="E70" i="2"/>
  <c r="E333" i="2"/>
  <c r="E205" i="2"/>
  <c r="J271" i="2"/>
  <c r="E133" i="2"/>
  <c r="E197" i="2"/>
  <c r="E145" i="2"/>
  <c r="J211" i="2"/>
  <c r="E140" i="2"/>
  <c r="E18" i="2"/>
  <c r="J192" i="2"/>
  <c r="E190" i="2"/>
  <c r="E311" i="2"/>
  <c r="E135" i="2"/>
  <c r="E319" i="2"/>
  <c r="E256" i="2"/>
  <c r="J254" i="2"/>
  <c r="E327" i="2"/>
  <c r="E151" i="2"/>
  <c r="J71" i="2"/>
  <c r="J258" i="2"/>
  <c r="J143" i="2"/>
  <c r="J326" i="2"/>
  <c r="J128" i="2"/>
  <c r="E259" i="2"/>
  <c r="E251" i="2"/>
  <c r="E78" i="2"/>
  <c r="O7" i="9"/>
  <c r="K7" i="9"/>
  <c r="I7" i="9"/>
  <c r="G7" i="9"/>
  <c r="Q7" i="9"/>
  <c r="J250" i="2"/>
  <c r="J210" i="2"/>
  <c r="J253" i="2"/>
  <c r="E254" i="2"/>
  <c r="E252" i="2"/>
  <c r="J261" i="2"/>
  <c r="J266" i="2"/>
  <c r="J145" i="2"/>
  <c r="J270" i="2"/>
  <c r="J142" i="2"/>
  <c r="J251" i="2"/>
  <c r="J252" i="2"/>
  <c r="J90" i="2"/>
  <c r="J77" i="2"/>
  <c r="J23" i="9"/>
  <c r="C13" i="15"/>
  <c r="C22" i="9"/>
  <c r="B56" i="3"/>
  <c r="C39" i="17"/>
  <c r="J88" i="2"/>
  <c r="E86" i="2"/>
  <c r="J260" i="2"/>
  <c r="E87" i="2"/>
  <c r="E309" i="2"/>
  <c r="E258" i="2"/>
  <c r="J191" i="2"/>
  <c r="E8" i="9"/>
  <c r="J268" i="2"/>
  <c r="J272" i="2"/>
  <c r="E271" i="2"/>
  <c r="J327" i="2"/>
  <c r="J72" i="2"/>
  <c r="K11" i="2"/>
  <c r="C9" i="9" a="1"/>
  <c r="C9" i="9" s="1"/>
  <c r="J140" i="2"/>
  <c r="J193" i="2"/>
  <c r="J321" i="2"/>
  <c r="J206" i="2"/>
  <c r="J30" i="2"/>
  <c r="J81" i="2"/>
  <c r="J129" i="2"/>
  <c r="J205" i="2"/>
  <c r="J208" i="2"/>
  <c r="J133" i="2"/>
  <c r="J89" i="2"/>
  <c r="J131" i="2"/>
  <c r="J323" i="2"/>
  <c r="J319" i="2"/>
  <c r="J74" i="2"/>
  <c r="J320" i="2"/>
  <c r="J73" i="2"/>
  <c r="J147" i="2"/>
  <c r="J148" i="2"/>
  <c r="J151" i="2"/>
  <c r="J330" i="2"/>
  <c r="J150" i="2"/>
  <c r="J333" i="2"/>
  <c r="J132" i="2"/>
  <c r="J130" i="2"/>
  <c r="J134" i="2"/>
  <c r="J328" i="2"/>
  <c r="J195" i="2"/>
  <c r="J331" i="2"/>
  <c r="J329" i="2"/>
  <c r="J84" i="2"/>
  <c r="J318" i="2"/>
  <c r="J207" i="2"/>
  <c r="J86" i="2"/>
  <c r="J76" i="2"/>
  <c r="J138" i="2"/>
  <c r="J149" i="2"/>
  <c r="J259" i="2"/>
  <c r="J80" i="2"/>
  <c r="J196" i="2"/>
  <c r="J11" i="2"/>
  <c r="J203" i="2"/>
  <c r="J189" i="2"/>
  <c r="J204" i="2"/>
  <c r="J10" i="2"/>
  <c r="J332" i="2"/>
  <c r="J267" i="2"/>
  <c r="J91" i="2"/>
  <c r="J75" i="2"/>
  <c r="J202" i="2"/>
  <c r="J136" i="2"/>
  <c r="J249" i="2"/>
  <c r="J146" i="2"/>
  <c r="J209" i="2"/>
  <c r="J262" i="2"/>
  <c r="J144" i="2"/>
  <c r="J324" i="2"/>
  <c r="J69" i="2"/>
  <c r="J265" i="2"/>
  <c r="J269" i="2"/>
  <c r="J322" i="2"/>
  <c r="J201" i="2"/>
  <c r="J197" i="2"/>
  <c r="J12" i="2"/>
  <c r="J198" i="2"/>
  <c r="J194" i="2"/>
  <c r="J83" i="2"/>
  <c r="J85" i="2"/>
  <c r="J137" i="2"/>
  <c r="J199" i="2"/>
  <c r="J87" i="2"/>
  <c r="J70" i="2"/>
  <c r="J79" i="2"/>
  <c r="J248" i="2"/>
  <c r="J135" i="2"/>
  <c r="J18" i="2"/>
  <c r="J139" i="2"/>
  <c r="J188" i="2"/>
  <c r="J264" i="2"/>
  <c r="J82" i="2"/>
  <c r="J200" i="2"/>
  <c r="J325" i="2"/>
  <c r="J78" i="2"/>
  <c r="J141" i="2"/>
  <c r="E192" i="2"/>
  <c r="J190" i="2"/>
  <c r="E262" i="2"/>
  <c r="J255" i="2"/>
  <c r="E72" i="2"/>
  <c r="B9" i="9"/>
  <c r="C10" i="9" l="1" a="1"/>
  <c r="C10" i="9" s="1"/>
  <c r="C11" i="9" s="1" a="1"/>
  <c r="C11" i="9" s="1"/>
  <c r="I8" i="9"/>
  <c r="G8" i="9"/>
  <c r="Q8" i="9"/>
  <c r="K8" i="9"/>
  <c r="E9" i="9"/>
  <c r="L11" i="2"/>
  <c r="E11" i="2" s="1"/>
  <c r="M7" i="9" s="1"/>
  <c r="B10" i="9"/>
  <c r="B11" i="9"/>
  <c r="E11" i="9" l="1"/>
  <c r="K9" i="9"/>
  <c r="I9" i="9"/>
  <c r="G9" i="9"/>
  <c r="M11" i="2"/>
  <c r="E10" i="9"/>
  <c r="C12" i="9" a="1"/>
  <c r="C12" i="9" s="1"/>
  <c r="B12" i="9"/>
  <c r="E12" i="9" l="1"/>
  <c r="C13" i="9" a="1"/>
  <c r="C13" i="9" s="1"/>
  <c r="M10" i="9"/>
  <c r="K10" i="9"/>
  <c r="Q10" i="9"/>
  <c r="I10" i="9"/>
  <c r="O10" i="9"/>
  <c r="G10" i="9"/>
  <c r="I11" i="9"/>
  <c r="M11" i="9"/>
  <c r="O11" i="9"/>
  <c r="K11" i="9"/>
  <c r="Q11" i="9"/>
  <c r="G11" i="9"/>
  <c r="B13" i="9"/>
  <c r="E13" i="9" l="1"/>
  <c r="C14" i="9" a="1"/>
  <c r="C14" i="9" s="1"/>
  <c r="Q12" i="9"/>
  <c r="K12" i="9"/>
  <c r="I12" i="9"/>
  <c r="M12" i="9"/>
  <c r="O12" i="9"/>
  <c r="G12" i="9"/>
  <c r="B14" i="9"/>
  <c r="M13" i="9" l="1"/>
  <c r="G13" i="9"/>
  <c r="O13" i="9"/>
  <c r="Q13" i="9"/>
  <c r="K13" i="9"/>
  <c r="I13" i="9"/>
  <c r="E14" i="9"/>
  <c r="C15" i="9" a="1"/>
  <c r="C15" i="9" s="1"/>
  <c r="B15" i="9"/>
  <c r="E15" i="9" l="1"/>
  <c r="C16" i="9" a="1"/>
  <c r="C16" i="9" s="1"/>
  <c r="M14" i="9"/>
  <c r="I14" i="9"/>
  <c r="Q14" i="9"/>
  <c r="K14" i="9"/>
  <c r="G14" i="9"/>
  <c r="O14" i="9"/>
  <c r="B16" i="9"/>
  <c r="E16" i="9" l="1"/>
  <c r="C17" i="9" a="1"/>
  <c r="C17" i="9" s="1"/>
  <c r="K15" i="9"/>
  <c r="O15" i="9"/>
  <c r="M15" i="9"/>
  <c r="I15" i="9"/>
  <c r="G15" i="9"/>
  <c r="Q15" i="9"/>
  <c r="B17" i="9"/>
  <c r="E17" i="9" l="1"/>
  <c r="C18" i="9" a="1"/>
  <c r="C18" i="9" s="1"/>
  <c r="I16" i="9"/>
  <c r="O16" i="9"/>
  <c r="M16" i="9"/>
  <c r="G16" i="9"/>
  <c r="K16" i="9"/>
  <c r="Q16" i="9"/>
  <c r="B18" i="9"/>
  <c r="E18" i="9" l="1"/>
  <c r="Q17" i="9"/>
  <c r="O17" i="9"/>
  <c r="M17" i="9"/>
  <c r="K17" i="9"/>
  <c r="G17" i="9"/>
  <c r="I17" i="9"/>
  <c r="O18" i="9" l="1"/>
  <c r="M18" i="9"/>
  <c r="I18" i="9"/>
  <c r="Q18" i="9"/>
  <c r="K18" i="9"/>
  <c r="G18" i="9"/>
  <c r="F2408" i="2"/>
  <c r="D48" i="3" s="1"/>
  <c r="I42" i="16" s="1"/>
  <c r="N8" i="2"/>
  <c r="Q9" i="9"/>
  <c r="K8" i="2" l="1"/>
  <c r="L8" i="2" s="1"/>
  <c r="E8" i="2" s="1"/>
  <c r="M8" i="9" s="1"/>
  <c r="O8" i="9"/>
  <c r="O9" i="9"/>
  <c r="E34" i="17"/>
  <c r="D42" i="16"/>
  <c r="N2408" i="2"/>
  <c r="K2408" i="2" l="1"/>
  <c r="D54" i="3" s="1"/>
  <c r="D47" i="3"/>
  <c r="D35" i="16"/>
  <c r="M9" i="9"/>
  <c r="E2408" i="2"/>
  <c r="L2408" i="2"/>
  <c r="D55" i="3" s="1"/>
  <c r="D60" i="3" s="1"/>
  <c r="M8" i="2"/>
  <c r="M2408" i="2" s="1"/>
  <c r="D57" i="3" s="1"/>
  <c r="D62" i="3" s="1"/>
  <c r="I35" i="16" l="1"/>
  <c r="E44" i="17"/>
  <c r="D59" i="3"/>
  <c r="B19" i="16" s="1"/>
  <c r="B3" i="17"/>
  <c r="B4" i="17"/>
  <c r="D53" i="3"/>
  <c r="E37" i="17"/>
  <c r="D25" i="16"/>
  <c r="G24" i="9"/>
  <c r="I21" i="16"/>
  <c r="D15" i="16"/>
  <c r="M22" i="9"/>
  <c r="D20" i="18"/>
  <c r="E33" i="17"/>
  <c r="B25" i="16" l="1"/>
  <c r="I25" i="16" s="1"/>
  <c r="N31" i="16" s="1"/>
  <c r="B15" i="16"/>
  <c r="G23" i="9"/>
  <c r="G25" i="9" s="1"/>
  <c r="D58" i="3"/>
  <c r="C24" i="19" s="1"/>
  <c r="B2" i="17"/>
  <c r="F15" i="16"/>
  <c r="L7" i="19"/>
  <c r="M24" i="9"/>
  <c r="E35" i="17" l="1"/>
  <c r="H26" i="19"/>
  <c r="J26" i="19" s="1"/>
  <c r="B28" i="19" s="1"/>
  <c r="G10" i="19"/>
  <c r="I10" i="19"/>
  <c r="B11" i="19" s="1"/>
  <c r="E22" i="17" l="1"/>
  <c r="F20" i="18"/>
  <c r="H20" i="18" s="1"/>
  <c r="F9" i="18" s="1"/>
  <c r="J9" i="18" s="1"/>
  <c r="F18" i="6"/>
  <c r="J30" i="18" l="1"/>
  <c r="F33" i="18" s="1"/>
  <c r="G34" i="19"/>
  <c r="I34" i="19" s="1"/>
  <c r="D33" i="18"/>
  <c r="H30" i="18"/>
  <c r="H33" i="18" l="1"/>
  <c r="C19" i="20" s="1"/>
  <c r="C20" i="20"/>
  <c r="B35" i="19"/>
  <c r="B34" i="18" l="1"/>
  <c r="H310" i="2" l="1"/>
  <c r="I310" i="2" s="1"/>
  <c r="H1150" i="2"/>
  <c r="I1150" i="2" s="1"/>
  <c r="H315" i="2"/>
  <c r="I315" i="2" s="1"/>
  <c r="H433" i="2"/>
  <c r="I433" i="2" s="1"/>
  <c r="H550" i="2"/>
  <c r="I550" i="2" s="1"/>
  <c r="H1273" i="2"/>
  <c r="I1273" i="2" s="1"/>
  <c r="H790" i="2"/>
  <c r="I790" i="2" s="1"/>
  <c r="H436" i="2"/>
  <c r="I436" i="2" s="1"/>
  <c r="H859" i="2"/>
  <c r="I859" i="2" s="1"/>
  <c r="H1096" i="2"/>
  <c r="I1096" i="2" s="1"/>
  <c r="H979" i="2"/>
  <c r="I979" i="2" s="1"/>
  <c r="H675" i="2"/>
  <c r="I675" i="2" s="1"/>
  <c r="H1209" i="2"/>
  <c r="I1209" i="2" s="1"/>
  <c r="H849" i="2"/>
  <c r="I849" i="2" s="1"/>
  <c r="H797" i="2"/>
  <c r="I797" i="2" s="1"/>
  <c r="H1330" i="2"/>
  <c r="I1330" i="2" s="1"/>
  <c r="H373" i="2"/>
  <c r="I373" i="2" s="1"/>
  <c r="H910" i="2"/>
  <c r="I910" i="2" s="1"/>
  <c r="H488" i="2"/>
  <c r="I488" i="2" s="1"/>
  <c r="H671" i="2"/>
  <c r="I671" i="2" s="1"/>
  <c r="H317" i="2"/>
  <c r="I317" i="2" s="1"/>
  <c r="H855" i="2"/>
  <c r="I855" i="2" s="1"/>
  <c r="H618" i="2"/>
  <c r="I618" i="2" s="1"/>
  <c r="H437" i="2"/>
  <c r="I437" i="2" s="1"/>
  <c r="H852" i="2"/>
  <c r="I852" i="2" s="1"/>
  <c r="H611" i="2"/>
  <c r="I611" i="2" s="1"/>
  <c r="H854" i="2"/>
  <c r="I854" i="2" s="1"/>
  <c r="H1149" i="2"/>
  <c r="I1149" i="2" s="1"/>
  <c r="H738" i="2"/>
  <c r="I738" i="2" s="1"/>
  <c r="H969" i="2"/>
  <c r="I969" i="2" s="1"/>
  <c r="H739" i="2"/>
  <c r="I739" i="2" s="1"/>
  <c r="H858" i="2"/>
  <c r="I858" i="2" s="1"/>
  <c r="H1274" i="2"/>
  <c r="I1274" i="2" s="1"/>
  <c r="H674" i="2"/>
  <c r="I674" i="2" s="1"/>
  <c r="H794" i="2"/>
  <c r="I794" i="2" s="1"/>
  <c r="H914" i="2"/>
  <c r="I914" i="2" s="1"/>
  <c r="H857" i="2"/>
  <c r="I857" i="2" s="1"/>
  <c r="H1388" i="2"/>
  <c r="I1388" i="2" s="1"/>
  <c r="H1034" i="2"/>
  <c r="I1034" i="2" s="1"/>
  <c r="H789" i="2"/>
  <c r="I789" i="2" s="1"/>
  <c r="H678" i="2"/>
  <c r="I678" i="2" s="1"/>
  <c r="H617" i="2"/>
  <c r="I617" i="2" s="1"/>
  <c r="H435" i="2"/>
  <c r="I435" i="2" s="1"/>
  <c r="H377" i="2"/>
  <c r="I377" i="2" s="1"/>
  <c r="H670" i="2"/>
  <c r="I670" i="2" s="1"/>
  <c r="H316" i="2"/>
  <c r="I316" i="2" s="1"/>
  <c r="H1211" i="2"/>
  <c r="I1211" i="2" s="1"/>
  <c r="H1031" i="2"/>
  <c r="I1031" i="2" s="1"/>
  <c r="H608" i="2"/>
  <c r="I608" i="2" s="1"/>
  <c r="H848" i="2"/>
  <c r="I848" i="2" s="1"/>
  <c r="H1215" i="2"/>
  <c r="I1215" i="2" s="1"/>
  <c r="H491" i="2"/>
  <c r="I491" i="2" s="1"/>
  <c r="H368" i="2"/>
  <c r="I368" i="2" s="1"/>
  <c r="H978" i="2"/>
  <c r="I978" i="2" s="1"/>
  <c r="H970" i="2"/>
  <c r="I970" i="2" s="1"/>
  <c r="H555" i="2"/>
  <c r="I555" i="2" s="1"/>
  <c r="H430" i="2"/>
  <c r="I430" i="2" s="1"/>
  <c r="H1148" i="2"/>
  <c r="I1148" i="2" s="1"/>
  <c r="H1091" i="2"/>
  <c r="I1091" i="2" s="1"/>
  <c r="H676" i="2"/>
  <c r="I676" i="2" s="1"/>
  <c r="H977" i="2"/>
  <c r="I977" i="2" s="1"/>
  <c r="H732" i="2"/>
  <c r="I732" i="2" s="1"/>
  <c r="H375" i="2"/>
  <c r="I375" i="2" s="1"/>
  <c r="H609" i="2"/>
  <c r="I609" i="2" s="1"/>
  <c r="H975" i="2"/>
  <c r="I975" i="2" s="1"/>
  <c r="H1099" i="2"/>
  <c r="I1099" i="2" s="1"/>
  <c r="H551" i="2"/>
  <c r="I551" i="2" s="1"/>
  <c r="H1208" i="2"/>
  <c r="I1208" i="2" s="1"/>
  <c r="H799" i="2"/>
  <c r="I799" i="2" s="1"/>
  <c r="H548" i="2"/>
  <c r="I548" i="2" s="1"/>
  <c r="H919" i="2"/>
  <c r="I919" i="2" s="1"/>
  <c r="H1390" i="2"/>
  <c r="I1390" i="2" s="1"/>
  <c r="H1036" i="2"/>
  <c r="I1036" i="2" s="1"/>
  <c r="H737" i="2"/>
  <c r="I737" i="2" s="1"/>
  <c r="H1389" i="2"/>
  <c r="I1389" i="2" s="1"/>
  <c r="H1095" i="2"/>
  <c r="I1095" i="2" s="1"/>
  <c r="H669" i="2"/>
  <c r="I669" i="2" s="1"/>
  <c r="H376" i="2"/>
  <c r="I376" i="2" s="1"/>
  <c r="H1094" i="2"/>
  <c r="I1094" i="2" s="1"/>
  <c r="H1213" i="2"/>
  <c r="I1213" i="2" s="1"/>
  <c r="H1152" i="2"/>
  <c r="I1152" i="2" s="1"/>
  <c r="H308" i="2"/>
  <c r="I308" i="2" s="1"/>
  <c r="H374" i="2"/>
  <c r="I374" i="2" s="1"/>
  <c r="H1030" i="2"/>
  <c r="I1030" i="2" s="1"/>
  <c r="H795" i="2"/>
  <c r="I795" i="2" s="1"/>
  <c r="H1029" i="2"/>
  <c r="I1029" i="2" s="1"/>
  <c r="H673" i="2"/>
  <c r="I673" i="2" s="1"/>
  <c r="H553" i="2"/>
  <c r="I553" i="2" s="1"/>
  <c r="H1216" i="2"/>
  <c r="I1216" i="2" s="1"/>
  <c r="H730" i="2"/>
  <c r="I730" i="2" s="1"/>
  <c r="H1275" i="2"/>
  <c r="I1275" i="2" s="1"/>
  <c r="H1276" i="2"/>
  <c r="I1276" i="2" s="1"/>
  <c r="H1032" i="2"/>
  <c r="I1032" i="2" s="1"/>
  <c r="H668" i="2"/>
  <c r="I668" i="2" s="1"/>
  <c r="H429" i="2"/>
  <c r="I429" i="2" s="1"/>
  <c r="H729" i="2"/>
  <c r="I729" i="2" s="1"/>
  <c r="H434" i="2"/>
  <c r="I434" i="2" s="1"/>
  <c r="H1039" i="2"/>
  <c r="I1039" i="2" s="1"/>
  <c r="H1156" i="2"/>
  <c r="I1156" i="2" s="1"/>
  <c r="H1158" i="2"/>
  <c r="I1158" i="2" s="1"/>
  <c r="H1035" i="2"/>
  <c r="I1035" i="2" s="1"/>
  <c r="H1097" i="2"/>
  <c r="I1097" i="2" s="1"/>
  <c r="H1090" i="2"/>
  <c r="I1090" i="2" s="1"/>
  <c r="H1157" i="2"/>
  <c r="I1157" i="2" s="1"/>
  <c r="H792" i="2"/>
  <c r="I792" i="2" s="1"/>
  <c r="H728" i="2"/>
  <c r="I728" i="2" s="1"/>
  <c r="H791" i="2"/>
  <c r="I791" i="2" s="1"/>
  <c r="H793" i="2"/>
  <c r="I793" i="2" s="1"/>
  <c r="H909" i="2"/>
  <c r="I909" i="2" s="1"/>
  <c r="H494" i="2"/>
  <c r="I494" i="2" s="1"/>
  <c r="H369" i="2"/>
  <c r="I369" i="2" s="1"/>
  <c r="H1038" i="2"/>
  <c r="I1038" i="2" s="1"/>
  <c r="H1154" i="2"/>
  <c r="I1154" i="2" s="1"/>
  <c r="H853" i="2"/>
  <c r="I853" i="2" s="1"/>
  <c r="H314" i="2"/>
  <c r="I314" i="2" s="1"/>
  <c r="H911" i="2"/>
  <c r="I911" i="2" s="1"/>
  <c r="H912" i="2"/>
  <c r="I912" i="2" s="1"/>
  <c r="H976" i="2"/>
  <c r="I976" i="2" s="1"/>
  <c r="H428" i="2"/>
  <c r="I428" i="2" s="1"/>
  <c r="H614" i="2"/>
  <c r="I614" i="2" s="1"/>
  <c r="H1098" i="2"/>
  <c r="I1098" i="2" s="1"/>
  <c r="H556" i="2"/>
  <c r="I556" i="2" s="1"/>
  <c r="H677" i="2"/>
  <c r="I677" i="2" s="1"/>
  <c r="H1033" i="2"/>
  <c r="I1033" i="2" s="1"/>
  <c r="H918" i="2"/>
  <c r="I918" i="2" s="1"/>
  <c r="H313" i="2"/>
  <c r="I313" i="2" s="1"/>
  <c r="H1153" i="2"/>
  <c r="I1153" i="2" s="1"/>
  <c r="H971" i="2"/>
  <c r="I971" i="2" s="1"/>
  <c r="H552" i="2"/>
  <c r="I552" i="2" s="1"/>
  <c r="H968" i="2"/>
  <c r="I968" i="2" s="1"/>
  <c r="H610" i="2"/>
  <c r="I610" i="2" s="1"/>
  <c r="H1329" i="2"/>
  <c r="I1329" i="2" s="1"/>
  <c r="H370" i="2"/>
  <c r="I370" i="2" s="1"/>
  <c r="H557" i="2"/>
  <c r="I557" i="2" s="1"/>
  <c r="H492" i="2"/>
  <c r="I492" i="2" s="1"/>
  <c r="H312" i="2"/>
  <c r="I312" i="2" s="1"/>
  <c r="H1151" i="2"/>
  <c r="I1151" i="2" s="1"/>
  <c r="H1328" i="2"/>
  <c r="I1328" i="2" s="1"/>
  <c r="H972" i="2"/>
  <c r="I972" i="2" s="1"/>
  <c r="H1037" i="2"/>
  <c r="I1037" i="2" s="1"/>
  <c r="H1217" i="2"/>
  <c r="I1217" i="2" s="1"/>
  <c r="H616" i="2"/>
  <c r="I616" i="2" s="1"/>
  <c r="H1331" i="2"/>
  <c r="I1331" i="2" s="1"/>
  <c r="H431" i="2"/>
  <c r="I431" i="2" s="1"/>
  <c r="H1272" i="2"/>
  <c r="I1272" i="2" s="1"/>
  <c r="H974" i="2"/>
  <c r="I974" i="2" s="1"/>
  <c r="H856" i="2"/>
  <c r="I856" i="2" s="1"/>
  <c r="H558" i="2"/>
  <c r="I558" i="2" s="1"/>
  <c r="H736" i="2"/>
  <c r="I736" i="2" s="1"/>
  <c r="H612" i="2"/>
  <c r="I612" i="2" s="1"/>
  <c r="H1212" i="2"/>
  <c r="I1212" i="2" s="1"/>
  <c r="H917" i="2"/>
  <c r="I917" i="2" s="1"/>
  <c r="H915" i="2"/>
  <c r="I915" i="2" s="1"/>
  <c r="H679" i="2"/>
  <c r="I679" i="2" s="1"/>
  <c r="H311" i="2"/>
  <c r="I311" i="2" s="1"/>
  <c r="H798" i="2"/>
  <c r="I798" i="2" s="1"/>
  <c r="H1214" i="2"/>
  <c r="I1214" i="2" s="1"/>
  <c r="H1270" i="2"/>
  <c r="I1270" i="2" s="1"/>
  <c r="H735" i="2"/>
  <c r="I735" i="2" s="1"/>
  <c r="H257" i="2"/>
  <c r="I257" i="2" s="1"/>
  <c r="H1088" i="2"/>
  <c r="I1088" i="2" s="1"/>
  <c r="H733" i="2"/>
  <c r="I733" i="2" s="1"/>
  <c r="H1271" i="2"/>
  <c r="I1271" i="2" s="1"/>
  <c r="H489" i="2"/>
  <c r="I489" i="2" s="1"/>
  <c r="H1155" i="2"/>
  <c r="I1155" i="2" s="1"/>
  <c r="H615" i="2"/>
  <c r="I615" i="2" s="1"/>
  <c r="H1268" i="2"/>
  <c r="I1268" i="2" s="1"/>
  <c r="H916" i="2"/>
  <c r="I916" i="2" s="1"/>
  <c r="H731" i="2"/>
  <c r="I731" i="2" s="1"/>
  <c r="H851" i="2"/>
  <c r="I851" i="2" s="1"/>
  <c r="H850" i="2"/>
  <c r="I850" i="2" s="1"/>
  <c r="H490" i="2"/>
  <c r="I490" i="2" s="1"/>
  <c r="H1269" i="2"/>
  <c r="I1269" i="2" s="1"/>
  <c r="H613" i="2"/>
  <c r="I613" i="2" s="1"/>
  <c r="H734" i="2"/>
  <c r="I734" i="2" s="1"/>
  <c r="H432" i="2"/>
  <c r="I432" i="2" s="1"/>
  <c r="H371" i="2"/>
  <c r="I371" i="2" s="1"/>
  <c r="H672" i="2"/>
  <c r="I672" i="2" s="1"/>
  <c r="G17" i="15"/>
  <c r="S17" i="15" s="1"/>
  <c r="H973" i="2"/>
  <c r="I973" i="2" s="1"/>
  <c r="H1093" i="2"/>
  <c r="I1093" i="2" s="1"/>
  <c r="H549" i="2"/>
  <c r="I549" i="2" s="1"/>
  <c r="H1092" i="2"/>
  <c r="I1092" i="2" s="1"/>
  <c r="H796" i="2"/>
  <c r="I796" i="2" s="1"/>
  <c r="H493" i="2"/>
  <c r="I493" i="2" s="1"/>
  <c r="H913" i="2"/>
  <c r="I913" i="2" s="1"/>
  <c r="H908" i="2"/>
  <c r="I908" i="2" s="1"/>
  <c r="H496" i="2"/>
  <c r="I496" i="2" s="1"/>
  <c r="H309" i="2"/>
  <c r="I309" i="2" s="1"/>
  <c r="H554" i="2"/>
  <c r="I554" i="2" s="1"/>
  <c r="H1089" i="2"/>
  <c r="I1089" i="2" s="1"/>
  <c r="H497" i="2"/>
  <c r="I497" i="2" s="1"/>
  <c r="H495" i="2"/>
  <c r="I495" i="2" s="1"/>
  <c r="H1028" i="2"/>
  <c r="I1028" i="2" s="1"/>
  <c r="H788" i="2"/>
  <c r="I788" i="2" s="1"/>
  <c r="H372" i="2"/>
  <c r="I372" i="2" s="1"/>
  <c r="H1210" i="2"/>
  <c r="I1210" i="2" s="1"/>
  <c r="E25" i="17"/>
  <c r="H256" i="2"/>
  <c r="I256" i="2" s="1"/>
  <c r="D45" i="3"/>
  <c r="B7" i="16" s="1"/>
  <c r="I2408" i="2" l="1"/>
  <c r="D46" i="3" s="1"/>
  <c r="D7" i="16" s="1"/>
  <c r="F7" i="16" s="1"/>
  <c r="D10" i="16" s="1"/>
  <c r="B10" i="16"/>
  <c r="E20" i="17"/>
  <c r="H2408" i="2"/>
  <c r="D42" i="3"/>
  <c r="E23" i="17" l="1"/>
  <c r="A4" i="16"/>
  <c r="J908" i="2"/>
  <c r="J1038" i="2"/>
  <c r="J1329" i="2"/>
  <c r="J1276" i="2"/>
  <c r="J371" i="2"/>
  <c r="J794" i="2"/>
  <c r="J1090" i="2"/>
  <c r="J1094" i="2"/>
  <c r="J912" i="2"/>
  <c r="J1389" i="2"/>
  <c r="J434" i="2"/>
  <c r="J1151" i="2"/>
  <c r="J431" i="2"/>
  <c r="J793" i="2"/>
  <c r="J1209" i="2"/>
  <c r="J791" i="2"/>
  <c r="J852" i="2"/>
  <c r="J677" i="2"/>
  <c r="J315" i="2"/>
  <c r="J969" i="2"/>
  <c r="J430" i="2"/>
  <c r="J671" i="2"/>
  <c r="J799" i="2"/>
  <c r="J428" i="2"/>
  <c r="J257" i="2"/>
  <c r="J608" i="2"/>
  <c r="J1273" i="2"/>
  <c r="J489" i="2"/>
  <c r="J1217" i="2"/>
  <c r="J1031" i="2"/>
  <c r="J738" i="2"/>
  <c r="E45" i="17"/>
  <c r="F21" i="6"/>
  <c r="J256" i="2"/>
  <c r="J1208" i="2"/>
  <c r="J1216" i="2"/>
  <c r="J493" i="2"/>
  <c r="J734" i="2"/>
  <c r="J730" i="2"/>
  <c r="J1155" i="2"/>
  <c r="J973" i="2"/>
  <c r="J849" i="2"/>
  <c r="J1149" i="2"/>
  <c r="J857" i="2"/>
  <c r="J971" i="2"/>
  <c r="J436" i="2"/>
  <c r="D38" i="3"/>
  <c r="E32" i="17" s="1"/>
  <c r="J311" i="2"/>
  <c r="J729" i="2"/>
  <c r="J550" i="2"/>
  <c r="J788" i="2"/>
  <c r="J1097" i="2"/>
  <c r="J1092" i="2"/>
  <c r="J317" i="2"/>
  <c r="J859" i="2"/>
  <c r="I63" i="16"/>
  <c r="O63" i="16" s="1"/>
  <c r="J1210" i="2"/>
  <c r="J492" i="2"/>
  <c r="J612" i="2"/>
  <c r="J488" i="2"/>
  <c r="J552" i="2"/>
  <c r="J611" i="2"/>
  <c r="J669" i="2"/>
  <c r="J1153" i="2"/>
  <c r="J1093" i="2"/>
  <c r="J1271" i="2"/>
  <c r="J618" i="2"/>
  <c r="J494" i="2"/>
  <c r="J1390" i="2"/>
  <c r="J851" i="2"/>
  <c r="E38" i="17"/>
  <c r="J1211" i="2"/>
  <c r="J609" i="2"/>
  <c r="J858" i="2"/>
  <c r="J1039" i="2"/>
  <c r="J617" i="2"/>
  <c r="J433" i="2"/>
  <c r="J551" i="2"/>
  <c r="J1036" i="2"/>
  <c r="J976" i="2"/>
  <c r="J737" i="2"/>
  <c r="J549" i="2"/>
  <c r="J1328" i="2"/>
  <c r="J313" i="2"/>
  <c r="J1157" i="2"/>
  <c r="J314" i="2"/>
  <c r="J1030" i="2"/>
  <c r="J675" i="2"/>
  <c r="J1154" i="2"/>
  <c r="J732" i="2"/>
  <c r="J435" i="2"/>
  <c r="J1091" i="2"/>
  <c r="F56" i="16"/>
  <c r="L56" i="16" s="1"/>
  <c r="J1032" i="2"/>
  <c r="J377" i="2"/>
  <c r="J496" i="2"/>
  <c r="J919" i="2"/>
  <c r="J437" i="2"/>
  <c r="J790" i="2"/>
  <c r="J368" i="2"/>
  <c r="J1270" i="2"/>
  <c r="J491" i="2"/>
  <c r="J1275" i="2"/>
  <c r="J733" i="2"/>
  <c r="J558" i="2"/>
  <c r="J910" i="2"/>
  <c r="J553" i="2"/>
  <c r="J316" i="2"/>
  <c r="J917" i="2"/>
  <c r="J789" i="2"/>
  <c r="J1150" i="2"/>
  <c r="J1272" i="2"/>
  <c r="J373" i="2"/>
  <c r="J615" i="2"/>
  <c r="J1269" i="2"/>
  <c r="J792" i="2"/>
  <c r="J736" i="2"/>
  <c r="J312" i="2"/>
  <c r="J850" i="2"/>
  <c r="J1331" i="2"/>
  <c r="E21" i="17"/>
  <c r="J308" i="2"/>
  <c r="J735" i="2"/>
  <c r="J676" i="2"/>
  <c r="J848" i="2"/>
  <c r="J795" i="2"/>
  <c r="J856" i="2"/>
  <c r="J614" i="2"/>
  <c r="J548" i="2"/>
  <c r="J916" i="2"/>
  <c r="J913" i="2"/>
  <c r="J376" i="2"/>
  <c r="J497" i="2"/>
  <c r="J731" i="2"/>
  <c r="J678" i="2"/>
  <c r="J975" i="2"/>
  <c r="J854" i="2"/>
  <c r="J372" i="2"/>
  <c r="J557" i="2"/>
  <c r="J429" i="2"/>
  <c r="J1158" i="2"/>
  <c r="J668" i="2"/>
  <c r="J739" i="2"/>
  <c r="J1033" i="2"/>
  <c r="J1096" i="2"/>
  <c r="J911" i="2"/>
  <c r="J1037" i="2"/>
  <c r="J797" i="2"/>
  <c r="J1099" i="2"/>
  <c r="M65" i="16"/>
  <c r="J979" i="2"/>
  <c r="J1156" i="2"/>
  <c r="J909" i="2"/>
  <c r="J1214" i="2"/>
  <c r="D37" i="3"/>
  <c r="E36" i="17" s="1"/>
  <c r="J796" i="2"/>
  <c r="J1035" i="2"/>
  <c r="J613" i="2"/>
  <c r="J1213" i="2"/>
  <c r="J495" i="2"/>
  <c r="J1028" i="2"/>
  <c r="J978" i="2"/>
  <c r="J555" i="2"/>
  <c r="J370" i="2"/>
  <c r="J1089" i="2"/>
  <c r="J374" i="2"/>
  <c r="J616" i="2"/>
  <c r="J1274" i="2"/>
  <c r="J432" i="2"/>
  <c r="J1088" i="2"/>
  <c r="J1098" i="2"/>
  <c r="J914" i="2"/>
  <c r="J610" i="2"/>
  <c r="J1148" i="2"/>
  <c r="J673" i="2"/>
  <c r="J972" i="2"/>
  <c r="J1034" i="2"/>
  <c r="J309" i="2"/>
  <c r="J968" i="2"/>
  <c r="J674" i="2"/>
  <c r="J798" i="2"/>
  <c r="J670" i="2"/>
  <c r="J977" i="2"/>
  <c r="J554" i="2"/>
  <c r="J556" i="2"/>
  <c r="J855" i="2"/>
  <c r="J375" i="2"/>
  <c r="J853" i="2"/>
  <c r="J1388" i="2"/>
  <c r="J490" i="2"/>
  <c r="J1095" i="2"/>
  <c r="J310" i="2"/>
  <c r="J1330" i="2"/>
  <c r="J672" i="2"/>
  <c r="J1215" i="2"/>
  <c r="J1029" i="2"/>
  <c r="J679" i="2"/>
  <c r="J970" i="2"/>
  <c r="J918" i="2"/>
  <c r="J974" i="2"/>
  <c r="J1268" i="2"/>
  <c r="J1212" i="2"/>
  <c r="J728" i="2"/>
  <c r="J1152" i="2"/>
  <c r="J369" i="2"/>
  <c r="J915" i="2"/>
  <c r="F10" i="16"/>
  <c r="J2408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Чернушенко</author>
    <author>ChatGPT</author>
  </authors>
  <commentList>
    <comment ref="D30" authorId="0" shapeId="0" xr:uid="{00000000-0006-0000-0200-000001000000}">
      <text>
        <r>
          <rPr>
            <sz val="11"/>
            <color theme="1"/>
            <rFont val="Calibri"/>
            <family val="2"/>
            <charset val="204"/>
            <scheme val="minor"/>
          </rPr>
          <t>0,9 - полускальные породы
1    - монолитные породы
1,1 - трещиноваиые породы
1,2 - сильнотрещиноватые породы</t>
        </r>
      </text>
    </comment>
    <comment ref="D42" authorId="1" shapeId="0" xr:uid="{00000000-0006-0000-0200-000002000000}">
      <text>
        <r>
          <rPr>
            <sz val="11"/>
            <color theme="1"/>
            <rFont val="Calibri"/>
            <family val="2"/>
            <charset val="204"/>
            <scheme val="minor"/>
          </rPr>
          <t>Вводная ячейка: объем взорванной горной массы берется из маркшейдерских данных, а не рассчитывается по сетке бурения.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ChatGPT</author>
  </authors>
  <commentList>
    <comment ref="M24" authorId="0" shapeId="0" xr:uid="{00000000-0006-0000-0800-000001000000}">
      <text>
        <r>
          <rPr>
            <sz val="11"/>
            <color theme="1"/>
            <rFont val="Calibri"/>
            <family val="2"/>
            <charset val="204"/>
            <scheme val="minor"/>
          </rPr>
          <t>Итоговая масса ВМ приведена к Параметры!D53. P22 содержит только Гранулит М (АС+ДТ), без боевиков.</t>
        </r>
      </text>
    </comment>
  </commentList>
</comments>
</file>

<file path=xl/sharedStrings.xml><?xml version="1.0" encoding="utf-8"?>
<sst xmlns="http://schemas.openxmlformats.org/spreadsheetml/2006/main" count="3123" uniqueCount="2910">
  <si>
    <t>Ряд / Cкв.</t>
  </si>
  <si>
    <t>№ п/п</t>
  </si>
  <si>
    <t>Ряд - № скв</t>
  </si>
  <si>
    <t>Проектные данные</t>
  </si>
  <si>
    <t>Системные поля</t>
  </si>
  <si>
    <t>Глубина, м</t>
  </si>
  <si>
    <t>Гранулит, кг</t>
  </si>
  <si>
    <t>Забойка, м</t>
  </si>
  <si>
    <t>Примечание</t>
  </si>
  <si>
    <t>Высота уступа, м</t>
  </si>
  <si>
    <t>Глубина перебура, м</t>
  </si>
  <si>
    <t>Vгм по маркш. данным, м.куб</t>
  </si>
  <si>
    <t>АС, кг</t>
  </si>
  <si>
    <t>ДТ, кг</t>
  </si>
  <si>
    <t>ДТ, л</t>
  </si>
  <si>
    <t>Высота колонки, м</t>
  </si>
  <si>
    <t>1-1</t>
  </si>
  <si>
    <t>1-2</t>
  </si>
  <si>
    <t>1-3</t>
  </si>
  <si>
    <t>1-4</t>
  </si>
  <si>
    <t>1-5</t>
  </si>
  <si>
    <t>1-6</t>
  </si>
  <si>
    <t>1-7</t>
  </si>
  <si>
    <t>1-8</t>
  </si>
  <si>
    <t>1-9</t>
  </si>
  <si>
    <t>1-10</t>
  </si>
  <si>
    <t>1-11</t>
  </si>
  <si>
    <t>1-12</t>
  </si>
  <si>
    <t>1-13</t>
  </si>
  <si>
    <t>1-14</t>
  </si>
  <si>
    <t>1-15</t>
  </si>
  <si>
    <t>1-16</t>
  </si>
  <si>
    <t>1-17</t>
  </si>
  <si>
    <t>1-18</t>
  </si>
  <si>
    <t>1-19</t>
  </si>
  <si>
    <t>1-20</t>
  </si>
  <si>
    <t>1-21</t>
  </si>
  <si>
    <t>1-22</t>
  </si>
  <si>
    <t>1-23</t>
  </si>
  <si>
    <t>1-24</t>
  </si>
  <si>
    <t>1-25</t>
  </si>
  <si>
    <t>1-26</t>
  </si>
  <si>
    <t>1-27</t>
  </si>
  <si>
    <t>1-28</t>
  </si>
  <si>
    <t>1-29</t>
  </si>
  <si>
    <t>1-30</t>
  </si>
  <si>
    <t>1-31</t>
  </si>
  <si>
    <t>1-32</t>
  </si>
  <si>
    <t>1-33</t>
  </si>
  <si>
    <t>1-34</t>
  </si>
  <si>
    <t>1-35</t>
  </si>
  <si>
    <t>1-36</t>
  </si>
  <si>
    <t>1-37</t>
  </si>
  <si>
    <t>1-38</t>
  </si>
  <si>
    <t>1-39</t>
  </si>
  <si>
    <t>1-40</t>
  </si>
  <si>
    <t>1-41</t>
  </si>
  <si>
    <t>1-42</t>
  </si>
  <si>
    <t>1-43</t>
  </si>
  <si>
    <t>1-44</t>
  </si>
  <si>
    <t>1-45</t>
  </si>
  <si>
    <t>1-46</t>
  </si>
  <si>
    <t>1-47</t>
  </si>
  <si>
    <t>1-48</t>
  </si>
  <si>
    <t>1-49</t>
  </si>
  <si>
    <t>1-50</t>
  </si>
  <si>
    <t>1-51</t>
  </si>
  <si>
    <t>1-52</t>
  </si>
  <si>
    <t>1-53</t>
  </si>
  <si>
    <t>1-54</t>
  </si>
  <si>
    <t>1-55</t>
  </si>
  <si>
    <t>1-56</t>
  </si>
  <si>
    <t>1-57</t>
  </si>
  <si>
    <t>1-58</t>
  </si>
  <si>
    <t>1-59</t>
  </si>
  <si>
    <t>1-60</t>
  </si>
  <si>
    <t>2-1</t>
  </si>
  <si>
    <t>2-2</t>
  </si>
  <si>
    <t>2-3</t>
  </si>
  <si>
    <t>2-4</t>
  </si>
  <si>
    <t>2-5</t>
  </si>
  <si>
    <t>2-6</t>
  </si>
  <si>
    <t>2-7</t>
  </si>
  <si>
    <t>2-8</t>
  </si>
  <si>
    <t>2-9</t>
  </si>
  <si>
    <t>2-10</t>
  </si>
  <si>
    <t>2-11</t>
  </si>
  <si>
    <t>2-12</t>
  </si>
  <si>
    <t>2-13</t>
  </si>
  <si>
    <t>2-14</t>
  </si>
  <si>
    <t>2-15</t>
  </si>
  <si>
    <t>2-16</t>
  </si>
  <si>
    <t>2-17</t>
  </si>
  <si>
    <t>2-18</t>
  </si>
  <si>
    <t>2-19</t>
  </si>
  <si>
    <t>2-20</t>
  </si>
  <si>
    <t>2-21</t>
  </si>
  <si>
    <t>2-22</t>
  </si>
  <si>
    <t>2-23</t>
  </si>
  <si>
    <t>2-24</t>
  </si>
  <si>
    <t>2-25</t>
  </si>
  <si>
    <t>2-26</t>
  </si>
  <si>
    <t>2-27</t>
  </si>
  <si>
    <t>2-28</t>
  </si>
  <si>
    <t>2-29</t>
  </si>
  <si>
    <t>2-30</t>
  </si>
  <si>
    <t>2-31</t>
  </si>
  <si>
    <t>2-32</t>
  </si>
  <si>
    <t>2-33</t>
  </si>
  <si>
    <t>2-34</t>
  </si>
  <si>
    <t>2-35</t>
  </si>
  <si>
    <t>2-36</t>
  </si>
  <si>
    <t>2-37</t>
  </si>
  <si>
    <t>2-38</t>
  </si>
  <si>
    <t>2-39</t>
  </si>
  <si>
    <t>2-40</t>
  </si>
  <si>
    <t>2-41</t>
  </si>
  <si>
    <t>2-42</t>
  </si>
  <si>
    <t>2-43</t>
  </si>
  <si>
    <t>2-44</t>
  </si>
  <si>
    <t>2-45</t>
  </si>
  <si>
    <t>2-46</t>
  </si>
  <si>
    <t>2-47</t>
  </si>
  <si>
    <t>2-48</t>
  </si>
  <si>
    <t>2-49</t>
  </si>
  <si>
    <t>2-50</t>
  </si>
  <si>
    <t>2-51</t>
  </si>
  <si>
    <t>2-52</t>
  </si>
  <si>
    <t>2-53</t>
  </si>
  <si>
    <t>2-54</t>
  </si>
  <si>
    <t>2-55</t>
  </si>
  <si>
    <t>2-56</t>
  </si>
  <si>
    <t>2-57</t>
  </si>
  <si>
    <t>2-58</t>
  </si>
  <si>
    <t>2-59</t>
  </si>
  <si>
    <t>2-60</t>
  </si>
  <si>
    <t>3-1</t>
  </si>
  <si>
    <t>3-2</t>
  </si>
  <si>
    <t>3-3</t>
  </si>
  <si>
    <t>3-4</t>
  </si>
  <si>
    <t>3-5</t>
  </si>
  <si>
    <t>3-6</t>
  </si>
  <si>
    <t>3-7</t>
  </si>
  <si>
    <t>3-8</t>
  </si>
  <si>
    <t>3-9</t>
  </si>
  <si>
    <t>3-10</t>
  </si>
  <si>
    <t>3-11</t>
  </si>
  <si>
    <t>3-12</t>
  </si>
  <si>
    <t>3-13</t>
  </si>
  <si>
    <t>3-14</t>
  </si>
  <si>
    <t>3-15</t>
  </si>
  <si>
    <t>3-16</t>
  </si>
  <si>
    <t>3-17</t>
  </si>
  <si>
    <t>3-18</t>
  </si>
  <si>
    <t>3-19</t>
  </si>
  <si>
    <t>3-20</t>
  </si>
  <si>
    <t>3-21</t>
  </si>
  <si>
    <t>3-22</t>
  </si>
  <si>
    <t>3-23</t>
  </si>
  <si>
    <t>3-24</t>
  </si>
  <si>
    <t>3-25</t>
  </si>
  <si>
    <t>3-26</t>
  </si>
  <si>
    <t>3-27</t>
  </si>
  <si>
    <t>3-28</t>
  </si>
  <si>
    <t>3-29</t>
  </si>
  <si>
    <t>3-30</t>
  </si>
  <si>
    <t>3-31</t>
  </si>
  <si>
    <t>3-32</t>
  </si>
  <si>
    <t>3-33</t>
  </si>
  <si>
    <t>3-34</t>
  </si>
  <si>
    <t>3-35</t>
  </si>
  <si>
    <t>3-36</t>
  </si>
  <si>
    <t>3-37</t>
  </si>
  <si>
    <t>3-38</t>
  </si>
  <si>
    <t>3-39</t>
  </si>
  <si>
    <t>3-40</t>
  </si>
  <si>
    <t>3-41</t>
  </si>
  <si>
    <t>3-42</t>
  </si>
  <si>
    <t>3-43</t>
  </si>
  <si>
    <t>3-44</t>
  </si>
  <si>
    <t>3-45</t>
  </si>
  <si>
    <t>3-46</t>
  </si>
  <si>
    <t>3-47</t>
  </si>
  <si>
    <t>3-48</t>
  </si>
  <si>
    <t>3-49</t>
  </si>
  <si>
    <t>3-50</t>
  </si>
  <si>
    <t>3-51</t>
  </si>
  <si>
    <t>3-52</t>
  </si>
  <si>
    <t>3-53</t>
  </si>
  <si>
    <t>3-54</t>
  </si>
  <si>
    <t>3-55</t>
  </si>
  <si>
    <t>3-56</t>
  </si>
  <si>
    <t>3-57</t>
  </si>
  <si>
    <t>3-58</t>
  </si>
  <si>
    <t>3-59</t>
  </si>
  <si>
    <t>3-60</t>
  </si>
  <si>
    <t>4-1</t>
  </si>
  <si>
    <t>4-2</t>
  </si>
  <si>
    <t>4-3</t>
  </si>
  <si>
    <t>4-4</t>
  </si>
  <si>
    <t>4-5</t>
  </si>
  <si>
    <t>4-6</t>
  </si>
  <si>
    <t>4-7</t>
  </si>
  <si>
    <t>4-8</t>
  </si>
  <si>
    <t>4-9</t>
  </si>
  <si>
    <t>4-10</t>
  </si>
  <si>
    <t>4-11</t>
  </si>
  <si>
    <t>4-12</t>
  </si>
  <si>
    <t>4-13</t>
  </si>
  <si>
    <t>4-14</t>
  </si>
  <si>
    <t>4-15</t>
  </si>
  <si>
    <t>4-16</t>
  </si>
  <si>
    <t>4-17</t>
  </si>
  <si>
    <t>4-18</t>
  </si>
  <si>
    <t>4-19</t>
  </si>
  <si>
    <t>4-20</t>
  </si>
  <si>
    <t>4-21</t>
  </si>
  <si>
    <t>4-22</t>
  </si>
  <si>
    <t>4-23</t>
  </si>
  <si>
    <t>4-24</t>
  </si>
  <si>
    <t>4-25</t>
  </si>
  <si>
    <t>4-26</t>
  </si>
  <si>
    <t>4-27</t>
  </si>
  <si>
    <t>4-28</t>
  </si>
  <si>
    <t>4-29</t>
  </si>
  <si>
    <t>4-30</t>
  </si>
  <si>
    <t>4-31</t>
  </si>
  <si>
    <t>4-32</t>
  </si>
  <si>
    <t>4-33</t>
  </si>
  <si>
    <t>4-34</t>
  </si>
  <si>
    <t>4-35</t>
  </si>
  <si>
    <t>4-36</t>
  </si>
  <si>
    <t>4-37</t>
  </si>
  <si>
    <t>4-38</t>
  </si>
  <si>
    <t>4-39</t>
  </si>
  <si>
    <t>4-40</t>
  </si>
  <si>
    <t>4-41</t>
  </si>
  <si>
    <t>4-42</t>
  </si>
  <si>
    <t>4-43</t>
  </si>
  <si>
    <t>4-44</t>
  </si>
  <si>
    <t>4-45</t>
  </si>
  <si>
    <t>4-46</t>
  </si>
  <si>
    <t>4-47</t>
  </si>
  <si>
    <t>4-48</t>
  </si>
  <si>
    <t>4-49</t>
  </si>
  <si>
    <t>4-50</t>
  </si>
  <si>
    <t>4-51</t>
  </si>
  <si>
    <t>4-52</t>
  </si>
  <si>
    <t>4-53</t>
  </si>
  <si>
    <t>4-54</t>
  </si>
  <si>
    <t>4-55</t>
  </si>
  <si>
    <t>4-56</t>
  </si>
  <si>
    <t>4-57</t>
  </si>
  <si>
    <t>4-58</t>
  </si>
  <si>
    <t>4-59</t>
  </si>
  <si>
    <t>4-60</t>
  </si>
  <si>
    <t>5-1</t>
  </si>
  <si>
    <t>5-2</t>
  </si>
  <si>
    <t>5-3</t>
  </si>
  <si>
    <t>5-4</t>
  </si>
  <si>
    <t>5-5</t>
  </si>
  <si>
    <t>5-6</t>
  </si>
  <si>
    <t>5-7</t>
  </si>
  <si>
    <t>5-8</t>
  </si>
  <si>
    <t>5-9</t>
  </si>
  <si>
    <t>5-10</t>
  </si>
  <si>
    <t>5-11</t>
  </si>
  <si>
    <t>5-12</t>
  </si>
  <si>
    <t>5-13</t>
  </si>
  <si>
    <t>5-14</t>
  </si>
  <si>
    <t>5-15</t>
  </si>
  <si>
    <t>5-16</t>
  </si>
  <si>
    <t>5-17</t>
  </si>
  <si>
    <t>5-18</t>
  </si>
  <si>
    <t>5-19</t>
  </si>
  <si>
    <t>5-20</t>
  </si>
  <si>
    <t>5-21</t>
  </si>
  <si>
    <t>5-22</t>
  </si>
  <si>
    <t>5-23</t>
  </si>
  <si>
    <t>5-24</t>
  </si>
  <si>
    <t>5-25</t>
  </si>
  <si>
    <t>5-26</t>
  </si>
  <si>
    <t>5-27</t>
  </si>
  <si>
    <t>5-28</t>
  </si>
  <si>
    <t>5-29</t>
  </si>
  <si>
    <t>5-30</t>
  </si>
  <si>
    <t>5-31</t>
  </si>
  <si>
    <t>5-32</t>
  </si>
  <si>
    <t>5-33</t>
  </si>
  <si>
    <t>5-34</t>
  </si>
  <si>
    <t>5-35</t>
  </si>
  <si>
    <t>5-36</t>
  </si>
  <si>
    <t>5-37</t>
  </si>
  <si>
    <t>5-38</t>
  </si>
  <si>
    <t>5-39</t>
  </si>
  <si>
    <t>5-40</t>
  </si>
  <si>
    <t>5-41</t>
  </si>
  <si>
    <t>5-42</t>
  </si>
  <si>
    <t>5-43</t>
  </si>
  <si>
    <t>5-44</t>
  </si>
  <si>
    <t>5-45</t>
  </si>
  <si>
    <t>5-46</t>
  </si>
  <si>
    <t>5-47</t>
  </si>
  <si>
    <t>5-48</t>
  </si>
  <si>
    <t>5-49</t>
  </si>
  <si>
    <t>5-50</t>
  </si>
  <si>
    <t>5-51</t>
  </si>
  <si>
    <t>5-52</t>
  </si>
  <si>
    <t>5-53</t>
  </si>
  <si>
    <t>5-54</t>
  </si>
  <si>
    <t>5-55</t>
  </si>
  <si>
    <t>5-56</t>
  </si>
  <si>
    <t>5-57</t>
  </si>
  <si>
    <t>5-58</t>
  </si>
  <si>
    <t>5-59</t>
  </si>
  <si>
    <t>5-60</t>
  </si>
  <si>
    <t>6-1</t>
  </si>
  <si>
    <t>6-2</t>
  </si>
  <si>
    <t>6-3</t>
  </si>
  <si>
    <t>6-4</t>
  </si>
  <si>
    <t>6-5</t>
  </si>
  <si>
    <t>6-6</t>
  </si>
  <si>
    <t>6-7</t>
  </si>
  <si>
    <t>6-8</t>
  </si>
  <si>
    <t>6-9</t>
  </si>
  <si>
    <t>6-10</t>
  </si>
  <si>
    <t>6-11</t>
  </si>
  <si>
    <t>6-12</t>
  </si>
  <si>
    <t>6-13</t>
  </si>
  <si>
    <t>6-14</t>
  </si>
  <si>
    <t>6-15</t>
  </si>
  <si>
    <t>6-16</t>
  </si>
  <si>
    <t>6-17</t>
  </si>
  <si>
    <t>6-18</t>
  </si>
  <si>
    <t>6-19</t>
  </si>
  <si>
    <t>6-20</t>
  </si>
  <si>
    <t>6-21</t>
  </si>
  <si>
    <t>6-22</t>
  </si>
  <si>
    <t>6-23</t>
  </si>
  <si>
    <t>6-24</t>
  </si>
  <si>
    <t>6-25</t>
  </si>
  <si>
    <t>6-26</t>
  </si>
  <si>
    <t>6-27</t>
  </si>
  <si>
    <t>6-28</t>
  </si>
  <si>
    <t>6-29</t>
  </si>
  <si>
    <t>6-30</t>
  </si>
  <si>
    <t>6-31</t>
  </si>
  <si>
    <t>6-32</t>
  </si>
  <si>
    <t>6-33</t>
  </si>
  <si>
    <t>6-34</t>
  </si>
  <si>
    <t>6-35</t>
  </si>
  <si>
    <t>6-36</t>
  </si>
  <si>
    <t>6-37</t>
  </si>
  <si>
    <t>6-38</t>
  </si>
  <si>
    <t>6-39</t>
  </si>
  <si>
    <t>6-40</t>
  </si>
  <si>
    <t>6-41</t>
  </si>
  <si>
    <t>6-42</t>
  </si>
  <si>
    <t>6-43</t>
  </si>
  <si>
    <t>6-44</t>
  </si>
  <si>
    <t>6-45</t>
  </si>
  <si>
    <t>6-46</t>
  </si>
  <si>
    <t>6-47</t>
  </si>
  <si>
    <t>6-48</t>
  </si>
  <si>
    <t>6-49</t>
  </si>
  <si>
    <t>6-50</t>
  </si>
  <si>
    <t>6-51</t>
  </si>
  <si>
    <t>6-52</t>
  </si>
  <si>
    <t>6-53</t>
  </si>
  <si>
    <t>6-54</t>
  </si>
  <si>
    <t>6-55</t>
  </si>
  <si>
    <t>6-56</t>
  </si>
  <si>
    <t>6-57</t>
  </si>
  <si>
    <t>6-58</t>
  </si>
  <si>
    <t>6-59</t>
  </si>
  <si>
    <t>6-60</t>
  </si>
  <si>
    <t>7-1</t>
  </si>
  <si>
    <t>7-2</t>
  </si>
  <si>
    <t>7-3</t>
  </si>
  <si>
    <t>7-4</t>
  </si>
  <si>
    <t>7-5</t>
  </si>
  <si>
    <t>7-6</t>
  </si>
  <si>
    <t>7-7</t>
  </si>
  <si>
    <t>7-8</t>
  </si>
  <si>
    <t>7-9</t>
  </si>
  <si>
    <t>7-10</t>
  </si>
  <si>
    <t>7-11</t>
  </si>
  <si>
    <t>7-12</t>
  </si>
  <si>
    <t>7-13</t>
  </si>
  <si>
    <t>7-14</t>
  </si>
  <si>
    <t>7-15</t>
  </si>
  <si>
    <t>7-16</t>
  </si>
  <si>
    <t>7-17</t>
  </si>
  <si>
    <t>7-18</t>
  </si>
  <si>
    <t>7-19</t>
  </si>
  <si>
    <t>7-20</t>
  </si>
  <si>
    <t>7-21</t>
  </si>
  <si>
    <t>7-22</t>
  </si>
  <si>
    <t>7-23</t>
  </si>
  <si>
    <t>7-24</t>
  </si>
  <si>
    <t>7-25</t>
  </si>
  <si>
    <t>7-26</t>
  </si>
  <si>
    <t>7-27</t>
  </si>
  <si>
    <t>7-28</t>
  </si>
  <si>
    <t>7-29</t>
  </si>
  <si>
    <t>7-30</t>
  </si>
  <si>
    <t>7-31</t>
  </si>
  <si>
    <t>7-32</t>
  </si>
  <si>
    <t>7-33</t>
  </si>
  <si>
    <t>7-34</t>
  </si>
  <si>
    <t>7-35</t>
  </si>
  <si>
    <t>7-36</t>
  </si>
  <si>
    <t>7-37</t>
  </si>
  <si>
    <t>7-38</t>
  </si>
  <si>
    <t>7-39</t>
  </si>
  <si>
    <t>7-40</t>
  </si>
  <si>
    <t>7-41</t>
  </si>
  <si>
    <t>7-42</t>
  </si>
  <si>
    <t>7-43</t>
  </si>
  <si>
    <t>7-44</t>
  </si>
  <si>
    <t>7-45</t>
  </si>
  <si>
    <t>7-46</t>
  </si>
  <si>
    <t>7-47</t>
  </si>
  <si>
    <t>7-48</t>
  </si>
  <si>
    <t>7-49</t>
  </si>
  <si>
    <t>7-50</t>
  </si>
  <si>
    <t>7-51</t>
  </si>
  <si>
    <t>7-52</t>
  </si>
  <si>
    <t>7-53</t>
  </si>
  <si>
    <t>7-54</t>
  </si>
  <si>
    <t>7-55</t>
  </si>
  <si>
    <t>7-56</t>
  </si>
  <si>
    <t>7-57</t>
  </si>
  <si>
    <t>7-58</t>
  </si>
  <si>
    <t>7-59</t>
  </si>
  <si>
    <t>7-60</t>
  </si>
  <si>
    <t>8-1</t>
  </si>
  <si>
    <t>8-2</t>
  </si>
  <si>
    <t>8-3</t>
  </si>
  <si>
    <t>8-4</t>
  </si>
  <si>
    <t>8-5</t>
  </si>
  <si>
    <t>8-6</t>
  </si>
  <si>
    <t>8-7</t>
  </si>
  <si>
    <t>8-8</t>
  </si>
  <si>
    <t>8-9</t>
  </si>
  <si>
    <t>8-10</t>
  </si>
  <si>
    <t>8-11</t>
  </si>
  <si>
    <t>8-12</t>
  </si>
  <si>
    <t>8-13</t>
  </si>
  <si>
    <t>8-14</t>
  </si>
  <si>
    <t>8-15</t>
  </si>
  <si>
    <t>8-16</t>
  </si>
  <si>
    <t>8-17</t>
  </si>
  <si>
    <t>8-18</t>
  </si>
  <si>
    <t>8-19</t>
  </si>
  <si>
    <t>8-20</t>
  </si>
  <si>
    <t>8-21</t>
  </si>
  <si>
    <t>8-22</t>
  </si>
  <si>
    <t>8-23</t>
  </si>
  <si>
    <t>8-24</t>
  </si>
  <si>
    <t>8-25</t>
  </si>
  <si>
    <t>8-26</t>
  </si>
  <si>
    <t>8-27</t>
  </si>
  <si>
    <t>8-28</t>
  </si>
  <si>
    <t>8-29</t>
  </si>
  <si>
    <t>8-30</t>
  </si>
  <si>
    <t>8-31</t>
  </si>
  <si>
    <t>8-32</t>
  </si>
  <si>
    <t>8-33</t>
  </si>
  <si>
    <t>8-34</t>
  </si>
  <si>
    <t>8-35</t>
  </si>
  <si>
    <t>8-36</t>
  </si>
  <si>
    <t>8-37</t>
  </si>
  <si>
    <t>8-38</t>
  </si>
  <si>
    <t>8-39</t>
  </si>
  <si>
    <t>8-40</t>
  </si>
  <si>
    <t>8-41</t>
  </si>
  <si>
    <t>8-42</t>
  </si>
  <si>
    <t>8-43</t>
  </si>
  <si>
    <t>8-44</t>
  </si>
  <si>
    <t>8-45</t>
  </si>
  <si>
    <t>8-46</t>
  </si>
  <si>
    <t>8-47</t>
  </si>
  <si>
    <t>8-48</t>
  </si>
  <si>
    <t>8-49</t>
  </si>
  <si>
    <t>8-50</t>
  </si>
  <si>
    <t>8-51</t>
  </si>
  <si>
    <t>8-52</t>
  </si>
  <si>
    <t>8-53</t>
  </si>
  <si>
    <t>8-54</t>
  </si>
  <si>
    <t>8-55</t>
  </si>
  <si>
    <t>8-56</t>
  </si>
  <si>
    <t>8-57</t>
  </si>
  <si>
    <t>8-58</t>
  </si>
  <si>
    <t>8-59</t>
  </si>
  <si>
    <t>8-60</t>
  </si>
  <si>
    <t>9-1</t>
  </si>
  <si>
    <t>9-2</t>
  </si>
  <si>
    <t>9-3</t>
  </si>
  <si>
    <t>9-4</t>
  </si>
  <si>
    <t>9-5</t>
  </si>
  <si>
    <t>9-6</t>
  </si>
  <si>
    <t>9-7</t>
  </si>
  <si>
    <t>9-8</t>
  </si>
  <si>
    <t>9-9</t>
  </si>
  <si>
    <t>9-10</t>
  </si>
  <si>
    <t>9-11</t>
  </si>
  <si>
    <t>9-12</t>
  </si>
  <si>
    <t>9-13</t>
  </si>
  <si>
    <t>9-14</t>
  </si>
  <si>
    <t>9-15</t>
  </si>
  <si>
    <t>9-16</t>
  </si>
  <si>
    <t>9-17</t>
  </si>
  <si>
    <t>9-18</t>
  </si>
  <si>
    <t>9-19</t>
  </si>
  <si>
    <t>9-20</t>
  </si>
  <si>
    <t>9-21</t>
  </si>
  <si>
    <t>9-22</t>
  </si>
  <si>
    <t>9-23</t>
  </si>
  <si>
    <t>9-24</t>
  </si>
  <si>
    <t>9-25</t>
  </si>
  <si>
    <t>9-26</t>
  </si>
  <si>
    <t>9-27</t>
  </si>
  <si>
    <t>9-28</t>
  </si>
  <si>
    <t>9-29</t>
  </si>
  <si>
    <t>9-30</t>
  </si>
  <si>
    <t>9-31</t>
  </si>
  <si>
    <t>9-32</t>
  </si>
  <si>
    <t>9-33</t>
  </si>
  <si>
    <t>9-34</t>
  </si>
  <si>
    <t>9-35</t>
  </si>
  <si>
    <t>9-36</t>
  </si>
  <si>
    <t>9-37</t>
  </si>
  <si>
    <t>9-38</t>
  </si>
  <si>
    <t>9-39</t>
  </si>
  <si>
    <t>9-40</t>
  </si>
  <si>
    <t>9-41</t>
  </si>
  <si>
    <t>9-42</t>
  </si>
  <si>
    <t>9-43</t>
  </si>
  <si>
    <t>9-44</t>
  </si>
  <si>
    <t>9-45</t>
  </si>
  <si>
    <t>9-46</t>
  </si>
  <si>
    <t>9-47</t>
  </si>
  <si>
    <t>9-48</t>
  </si>
  <si>
    <t>9-49</t>
  </si>
  <si>
    <t>9-50</t>
  </si>
  <si>
    <t>9-51</t>
  </si>
  <si>
    <t>9-52</t>
  </si>
  <si>
    <t>9-53</t>
  </si>
  <si>
    <t>9-54</t>
  </si>
  <si>
    <t>9-55</t>
  </si>
  <si>
    <t>9-56</t>
  </si>
  <si>
    <t>9-57</t>
  </si>
  <si>
    <t>9-58</t>
  </si>
  <si>
    <t>9-59</t>
  </si>
  <si>
    <t>9-60</t>
  </si>
  <si>
    <t>10-1</t>
  </si>
  <si>
    <t>10-2</t>
  </si>
  <si>
    <t>10-3</t>
  </si>
  <si>
    <t>10-4</t>
  </si>
  <si>
    <t>10-5</t>
  </si>
  <si>
    <t>10-6</t>
  </si>
  <si>
    <t>10-7</t>
  </si>
  <si>
    <t>10-8</t>
  </si>
  <si>
    <t>10-9</t>
  </si>
  <si>
    <t>10-10</t>
  </si>
  <si>
    <t>10-11</t>
  </si>
  <si>
    <t>10-12</t>
  </si>
  <si>
    <t>10-13</t>
  </si>
  <si>
    <t>10-14</t>
  </si>
  <si>
    <t>10-15</t>
  </si>
  <si>
    <t>10-16</t>
  </si>
  <si>
    <t>10-17</t>
  </si>
  <si>
    <t>10-18</t>
  </si>
  <si>
    <t>10-19</t>
  </si>
  <si>
    <t>10-20</t>
  </si>
  <si>
    <t>10-21</t>
  </si>
  <si>
    <t>10-22</t>
  </si>
  <si>
    <t>10-23</t>
  </si>
  <si>
    <t>10-24</t>
  </si>
  <si>
    <t>10-25</t>
  </si>
  <si>
    <t>10-26</t>
  </si>
  <si>
    <t>10-27</t>
  </si>
  <si>
    <t>10-28</t>
  </si>
  <si>
    <t>10-29</t>
  </si>
  <si>
    <t>10-30</t>
  </si>
  <si>
    <t>10-31</t>
  </si>
  <si>
    <t>10-32</t>
  </si>
  <si>
    <t>10-33</t>
  </si>
  <si>
    <t>10-34</t>
  </si>
  <si>
    <t>10-35</t>
  </si>
  <si>
    <t>10-36</t>
  </si>
  <si>
    <t>10-37</t>
  </si>
  <si>
    <t>10-38</t>
  </si>
  <si>
    <t>10-39</t>
  </si>
  <si>
    <t>10-40</t>
  </si>
  <si>
    <t>10-41</t>
  </si>
  <si>
    <t>10-42</t>
  </si>
  <si>
    <t>10-43</t>
  </si>
  <si>
    <t>10-44</t>
  </si>
  <si>
    <t>10-45</t>
  </si>
  <si>
    <t>10-46</t>
  </si>
  <si>
    <t>10-47</t>
  </si>
  <si>
    <t>10-48</t>
  </si>
  <si>
    <t>10-49</t>
  </si>
  <si>
    <t>10-50</t>
  </si>
  <si>
    <t>10-51</t>
  </si>
  <si>
    <t>10-52</t>
  </si>
  <si>
    <t>10-53</t>
  </si>
  <si>
    <t>10-54</t>
  </si>
  <si>
    <t>10-55</t>
  </si>
  <si>
    <t>10-56</t>
  </si>
  <si>
    <t>10-57</t>
  </si>
  <si>
    <t>10-58</t>
  </si>
  <si>
    <t>10-59</t>
  </si>
  <si>
    <t>10-60</t>
  </si>
  <si>
    <t>11-1</t>
  </si>
  <si>
    <t>11-2</t>
  </si>
  <si>
    <t>11-3</t>
  </si>
  <si>
    <t>11-4</t>
  </si>
  <si>
    <t>11-5</t>
  </si>
  <si>
    <t>11-6</t>
  </si>
  <si>
    <t>11-7</t>
  </si>
  <si>
    <t>11-8</t>
  </si>
  <si>
    <t>11-9</t>
  </si>
  <si>
    <t>11-10</t>
  </si>
  <si>
    <t>11-11</t>
  </si>
  <si>
    <t>11-12</t>
  </si>
  <si>
    <t>11-13</t>
  </si>
  <si>
    <t>11-14</t>
  </si>
  <si>
    <t>11-15</t>
  </si>
  <si>
    <t>11-16</t>
  </si>
  <si>
    <t>11-17</t>
  </si>
  <si>
    <t>11-18</t>
  </si>
  <si>
    <t>11-19</t>
  </si>
  <si>
    <t>11-20</t>
  </si>
  <si>
    <t>11-21</t>
  </si>
  <si>
    <t>11-22</t>
  </si>
  <si>
    <t>11-23</t>
  </si>
  <si>
    <t>11-24</t>
  </si>
  <si>
    <t>11-25</t>
  </si>
  <si>
    <t>11-26</t>
  </si>
  <si>
    <t>11-27</t>
  </si>
  <si>
    <t>11-28</t>
  </si>
  <si>
    <t>11-29</t>
  </si>
  <si>
    <t>11-30</t>
  </si>
  <si>
    <t>11-31</t>
  </si>
  <si>
    <t>11-32</t>
  </si>
  <si>
    <t>11-33</t>
  </si>
  <si>
    <t>11-34</t>
  </si>
  <si>
    <t>11-35</t>
  </si>
  <si>
    <t>11-36</t>
  </si>
  <si>
    <t>11-37</t>
  </si>
  <si>
    <t>11-38</t>
  </si>
  <si>
    <t>11-39</t>
  </si>
  <si>
    <t>11-40</t>
  </si>
  <si>
    <t>11-41</t>
  </si>
  <si>
    <t>11-42</t>
  </si>
  <si>
    <t>11-43</t>
  </si>
  <si>
    <t>11-44</t>
  </si>
  <si>
    <t>11-45</t>
  </si>
  <si>
    <t>11-46</t>
  </si>
  <si>
    <t>11-47</t>
  </si>
  <si>
    <t>11-48</t>
  </si>
  <si>
    <t>11-49</t>
  </si>
  <si>
    <t>11-50</t>
  </si>
  <si>
    <t>11-51</t>
  </si>
  <si>
    <t>11-52</t>
  </si>
  <si>
    <t>11-53</t>
  </si>
  <si>
    <t>11-54</t>
  </si>
  <si>
    <t>11-55</t>
  </si>
  <si>
    <t>11-56</t>
  </si>
  <si>
    <t>11-57</t>
  </si>
  <si>
    <t>11-58</t>
  </si>
  <si>
    <t>11-59</t>
  </si>
  <si>
    <t>11-60</t>
  </si>
  <si>
    <t>12-1</t>
  </si>
  <si>
    <t>12-2</t>
  </si>
  <si>
    <t>12-3</t>
  </si>
  <si>
    <t>12-4</t>
  </si>
  <si>
    <t>12-5</t>
  </si>
  <si>
    <t>12-6</t>
  </si>
  <si>
    <t>12-7</t>
  </si>
  <si>
    <t>12-8</t>
  </si>
  <si>
    <t>12-9</t>
  </si>
  <si>
    <t>12-10</t>
  </si>
  <si>
    <t>12-11</t>
  </si>
  <si>
    <t>12-12</t>
  </si>
  <si>
    <t>12-13</t>
  </si>
  <si>
    <t>12-14</t>
  </si>
  <si>
    <t>12-15</t>
  </si>
  <si>
    <t>12-16</t>
  </si>
  <si>
    <t>12-17</t>
  </si>
  <si>
    <t>12-18</t>
  </si>
  <si>
    <t>12-19</t>
  </si>
  <si>
    <t>12-20</t>
  </si>
  <si>
    <t>12-21</t>
  </si>
  <si>
    <t>12-22</t>
  </si>
  <si>
    <t>12-23</t>
  </si>
  <si>
    <t>12-24</t>
  </si>
  <si>
    <t>12-25</t>
  </si>
  <si>
    <t>12-26</t>
  </si>
  <si>
    <t>12-27</t>
  </si>
  <si>
    <t>12-28</t>
  </si>
  <si>
    <t>12-29</t>
  </si>
  <si>
    <t>12-30</t>
  </si>
  <si>
    <t>12-31</t>
  </si>
  <si>
    <t>12-32</t>
  </si>
  <si>
    <t>12-33</t>
  </si>
  <si>
    <t>12-34</t>
  </si>
  <si>
    <t>12-35</t>
  </si>
  <si>
    <t>12-36</t>
  </si>
  <si>
    <t>12-37</t>
  </si>
  <si>
    <t>12-38</t>
  </si>
  <si>
    <t>12-39</t>
  </si>
  <si>
    <t>12-40</t>
  </si>
  <si>
    <t>12-41</t>
  </si>
  <si>
    <t>12-42</t>
  </si>
  <si>
    <t>12-43</t>
  </si>
  <si>
    <t>12-44</t>
  </si>
  <si>
    <t>12-45</t>
  </si>
  <si>
    <t>12-46</t>
  </si>
  <si>
    <t>12-47</t>
  </si>
  <si>
    <t>12-48</t>
  </si>
  <si>
    <t>12-49</t>
  </si>
  <si>
    <t>12-50</t>
  </si>
  <si>
    <t>12-51</t>
  </si>
  <si>
    <t>12-52</t>
  </si>
  <si>
    <t>12-53</t>
  </si>
  <si>
    <t>12-54</t>
  </si>
  <si>
    <t>12-55</t>
  </si>
  <si>
    <t>12-56</t>
  </si>
  <si>
    <t>12-57</t>
  </si>
  <si>
    <t>12-58</t>
  </si>
  <si>
    <t>12-59</t>
  </si>
  <si>
    <t>12-60</t>
  </si>
  <si>
    <t>13-1</t>
  </si>
  <si>
    <t>13-2</t>
  </si>
  <si>
    <t>13-3</t>
  </si>
  <si>
    <t>13-4</t>
  </si>
  <si>
    <t>13-5</t>
  </si>
  <si>
    <t>13-6</t>
  </si>
  <si>
    <t>13-7</t>
  </si>
  <si>
    <t>13-8</t>
  </si>
  <si>
    <t>13-9</t>
  </si>
  <si>
    <t>13-10</t>
  </si>
  <si>
    <t>13-11</t>
  </si>
  <si>
    <t>13-12</t>
  </si>
  <si>
    <t>13-13</t>
  </si>
  <si>
    <t>13-14</t>
  </si>
  <si>
    <t>13-15</t>
  </si>
  <si>
    <t>13-16</t>
  </si>
  <si>
    <t>13-17</t>
  </si>
  <si>
    <t>13-18</t>
  </si>
  <si>
    <t>13-19</t>
  </si>
  <si>
    <t>13-20</t>
  </si>
  <si>
    <t>13-21</t>
  </si>
  <si>
    <t>13-22</t>
  </si>
  <si>
    <t>13-23</t>
  </si>
  <si>
    <t>13-24</t>
  </si>
  <si>
    <t>13-25</t>
  </si>
  <si>
    <t>13-26</t>
  </si>
  <si>
    <t>13-27</t>
  </si>
  <si>
    <t>13-28</t>
  </si>
  <si>
    <t>13-29</t>
  </si>
  <si>
    <t>13-30</t>
  </si>
  <si>
    <t>13-31</t>
  </si>
  <si>
    <t>13-32</t>
  </si>
  <si>
    <t>13-33</t>
  </si>
  <si>
    <t>13-34</t>
  </si>
  <si>
    <t>13-35</t>
  </si>
  <si>
    <t>13-36</t>
  </si>
  <si>
    <t>13-37</t>
  </si>
  <si>
    <t>13-38</t>
  </si>
  <si>
    <t>13-39</t>
  </si>
  <si>
    <t>13-40</t>
  </si>
  <si>
    <t>13-41</t>
  </si>
  <si>
    <t>13-42</t>
  </si>
  <si>
    <t>13-43</t>
  </si>
  <si>
    <t>13-44</t>
  </si>
  <si>
    <t>13-45</t>
  </si>
  <si>
    <t>13-46</t>
  </si>
  <si>
    <t>13-47</t>
  </si>
  <si>
    <t>13-48</t>
  </si>
  <si>
    <t>13-49</t>
  </si>
  <si>
    <t>13-50</t>
  </si>
  <si>
    <t>13-51</t>
  </si>
  <si>
    <t>13-52</t>
  </si>
  <si>
    <t>13-53</t>
  </si>
  <si>
    <t>13-54</t>
  </si>
  <si>
    <t>13-55</t>
  </si>
  <si>
    <t>13-56</t>
  </si>
  <si>
    <t>13-57</t>
  </si>
  <si>
    <t>13-58</t>
  </si>
  <si>
    <t>13-59</t>
  </si>
  <si>
    <t>13-60</t>
  </si>
  <si>
    <t>14-1</t>
  </si>
  <si>
    <t>14-2</t>
  </si>
  <si>
    <t>14-3</t>
  </si>
  <si>
    <t>14-4</t>
  </si>
  <si>
    <t>14-5</t>
  </si>
  <si>
    <t>14-6</t>
  </si>
  <si>
    <t>14-7</t>
  </si>
  <si>
    <t>14-8</t>
  </si>
  <si>
    <t>14-9</t>
  </si>
  <si>
    <t>14-10</t>
  </si>
  <si>
    <t>14-11</t>
  </si>
  <si>
    <t>14-12</t>
  </si>
  <si>
    <t>14-13</t>
  </si>
  <si>
    <t>14-14</t>
  </si>
  <si>
    <t>14-15</t>
  </si>
  <si>
    <t>14-16</t>
  </si>
  <si>
    <t>14-17</t>
  </si>
  <si>
    <t>14-18</t>
  </si>
  <si>
    <t>14-19</t>
  </si>
  <si>
    <t>14-20</t>
  </si>
  <si>
    <t>14-21</t>
  </si>
  <si>
    <t>14-22</t>
  </si>
  <si>
    <t>14-23</t>
  </si>
  <si>
    <t>14-24</t>
  </si>
  <si>
    <t>14-25</t>
  </si>
  <si>
    <t>14-26</t>
  </si>
  <si>
    <t>14-27</t>
  </si>
  <si>
    <t>14-28</t>
  </si>
  <si>
    <t>14-29</t>
  </si>
  <si>
    <t>14-30</t>
  </si>
  <si>
    <t>14-31</t>
  </si>
  <si>
    <t>14-32</t>
  </si>
  <si>
    <t>14-33</t>
  </si>
  <si>
    <t>14-34</t>
  </si>
  <si>
    <t>14-35</t>
  </si>
  <si>
    <t>14-36</t>
  </si>
  <si>
    <t>14-37</t>
  </si>
  <si>
    <t>14-38</t>
  </si>
  <si>
    <t>14-39</t>
  </si>
  <si>
    <t>14-40</t>
  </si>
  <si>
    <t>14-41</t>
  </si>
  <si>
    <t>14-42</t>
  </si>
  <si>
    <t>14-43</t>
  </si>
  <si>
    <t>14-44</t>
  </si>
  <si>
    <t>14-45</t>
  </si>
  <si>
    <t>14-46</t>
  </si>
  <si>
    <t>14-47</t>
  </si>
  <si>
    <t>14-48</t>
  </si>
  <si>
    <t>14-49</t>
  </si>
  <si>
    <t>14-50</t>
  </si>
  <si>
    <t>14-51</t>
  </si>
  <si>
    <t>14-52</t>
  </si>
  <si>
    <t>14-53</t>
  </si>
  <si>
    <t>14-54</t>
  </si>
  <si>
    <t>14-55</t>
  </si>
  <si>
    <t>14-56</t>
  </si>
  <si>
    <t>14-57</t>
  </si>
  <si>
    <t>14-58</t>
  </si>
  <si>
    <t>14-59</t>
  </si>
  <si>
    <t>14-60</t>
  </si>
  <si>
    <t>15-1</t>
  </si>
  <si>
    <t>15-2</t>
  </si>
  <si>
    <t>15-3</t>
  </si>
  <si>
    <t>15-4</t>
  </si>
  <si>
    <t>15-5</t>
  </si>
  <si>
    <t>15-6</t>
  </si>
  <si>
    <t>15-7</t>
  </si>
  <si>
    <t>15-8</t>
  </si>
  <si>
    <t>15-9</t>
  </si>
  <si>
    <t>15-10</t>
  </si>
  <si>
    <t>15-11</t>
  </si>
  <si>
    <t>15-12</t>
  </si>
  <si>
    <t>15-13</t>
  </si>
  <si>
    <t>15-14</t>
  </si>
  <si>
    <t>15-15</t>
  </si>
  <si>
    <t>15-16</t>
  </si>
  <si>
    <t>15-17</t>
  </si>
  <si>
    <t>15-18</t>
  </si>
  <si>
    <t>15-19</t>
  </si>
  <si>
    <t>15-20</t>
  </si>
  <si>
    <t>15-21</t>
  </si>
  <si>
    <t>15-22</t>
  </si>
  <si>
    <t>15-23</t>
  </si>
  <si>
    <t>15-24</t>
  </si>
  <si>
    <t>15-25</t>
  </si>
  <si>
    <t>15-26</t>
  </si>
  <si>
    <t>15-27</t>
  </si>
  <si>
    <t>15-28</t>
  </si>
  <si>
    <t>15-29</t>
  </si>
  <si>
    <t>15-30</t>
  </si>
  <si>
    <t>15-31</t>
  </si>
  <si>
    <t>15-32</t>
  </si>
  <si>
    <t>15-33</t>
  </si>
  <si>
    <t>15-34</t>
  </si>
  <si>
    <t>15-35</t>
  </si>
  <si>
    <t>15-36</t>
  </si>
  <si>
    <t>15-37</t>
  </si>
  <si>
    <t>15-38</t>
  </si>
  <si>
    <t>15-39</t>
  </si>
  <si>
    <t>15-40</t>
  </si>
  <si>
    <t>15-41</t>
  </si>
  <si>
    <t>15-42</t>
  </si>
  <si>
    <t>15-43</t>
  </si>
  <si>
    <t>15-44</t>
  </si>
  <si>
    <t>15-45</t>
  </si>
  <si>
    <t>15-46</t>
  </si>
  <si>
    <t>15-47</t>
  </si>
  <si>
    <t>15-48</t>
  </si>
  <si>
    <t>15-49</t>
  </si>
  <si>
    <t>15-50</t>
  </si>
  <si>
    <t>15-51</t>
  </si>
  <si>
    <t>15-52</t>
  </si>
  <si>
    <t>15-53</t>
  </si>
  <si>
    <t>15-54</t>
  </si>
  <si>
    <t>15-55</t>
  </si>
  <si>
    <t>15-56</t>
  </si>
  <si>
    <t>15-57</t>
  </si>
  <si>
    <t>15-58</t>
  </si>
  <si>
    <t>15-59</t>
  </si>
  <si>
    <t>15-60</t>
  </si>
  <si>
    <t>16-1</t>
  </si>
  <si>
    <t>16-2</t>
  </si>
  <si>
    <t>16-3</t>
  </si>
  <si>
    <t>16-4</t>
  </si>
  <si>
    <t>16-5</t>
  </si>
  <si>
    <t>16-6</t>
  </si>
  <si>
    <t>16-7</t>
  </si>
  <si>
    <t>16-8</t>
  </si>
  <si>
    <t>16-9</t>
  </si>
  <si>
    <t>16-10</t>
  </si>
  <si>
    <t>16-11</t>
  </si>
  <si>
    <t>16-12</t>
  </si>
  <si>
    <t>16-13</t>
  </si>
  <si>
    <t>16-14</t>
  </si>
  <si>
    <t>16-15</t>
  </si>
  <si>
    <t>16-16</t>
  </si>
  <si>
    <t>16-17</t>
  </si>
  <si>
    <t>16-18</t>
  </si>
  <si>
    <t>16-19</t>
  </si>
  <si>
    <t>16-20</t>
  </si>
  <si>
    <t>16-21</t>
  </si>
  <si>
    <t>16-22</t>
  </si>
  <si>
    <t>16-23</t>
  </si>
  <si>
    <t>16-24</t>
  </si>
  <si>
    <t>16-25</t>
  </si>
  <si>
    <t>16-26</t>
  </si>
  <si>
    <t>16-27</t>
  </si>
  <si>
    <t>16-28</t>
  </si>
  <si>
    <t>16-29</t>
  </si>
  <si>
    <t>16-30</t>
  </si>
  <si>
    <t>16-31</t>
  </si>
  <si>
    <t>16-32</t>
  </si>
  <si>
    <t>16-33</t>
  </si>
  <si>
    <t>16-34</t>
  </si>
  <si>
    <t>16-35</t>
  </si>
  <si>
    <t>16-36</t>
  </si>
  <si>
    <t>16-37</t>
  </si>
  <si>
    <t>16-38</t>
  </si>
  <si>
    <t>16-39</t>
  </si>
  <si>
    <t>16-40</t>
  </si>
  <si>
    <t>16-41</t>
  </si>
  <si>
    <t>16-42</t>
  </si>
  <si>
    <t>16-43</t>
  </si>
  <si>
    <t>16-44</t>
  </si>
  <si>
    <t>16-45</t>
  </si>
  <si>
    <t>16-46</t>
  </si>
  <si>
    <t>16-47</t>
  </si>
  <si>
    <t>16-48</t>
  </si>
  <si>
    <t>16-49</t>
  </si>
  <si>
    <t>16-50</t>
  </si>
  <si>
    <t>16-51</t>
  </si>
  <si>
    <t>16-52</t>
  </si>
  <si>
    <t>16-53</t>
  </si>
  <si>
    <t>16-54</t>
  </si>
  <si>
    <t>16-55</t>
  </si>
  <si>
    <t>16-56</t>
  </si>
  <si>
    <t>16-57</t>
  </si>
  <si>
    <t>16-58</t>
  </si>
  <si>
    <t>16-59</t>
  </si>
  <si>
    <t>16-60</t>
  </si>
  <si>
    <t>17-1</t>
  </si>
  <si>
    <t>17-2</t>
  </si>
  <si>
    <t>17-3</t>
  </si>
  <si>
    <t>17-4</t>
  </si>
  <si>
    <t>17-5</t>
  </si>
  <si>
    <t>17-6</t>
  </si>
  <si>
    <t>17-7</t>
  </si>
  <si>
    <t>17-8</t>
  </si>
  <si>
    <t>17-9</t>
  </si>
  <si>
    <t>17-10</t>
  </si>
  <si>
    <t>17-11</t>
  </si>
  <si>
    <t>17-12</t>
  </si>
  <si>
    <t>17-13</t>
  </si>
  <si>
    <t>17-14</t>
  </si>
  <si>
    <t>17-15</t>
  </si>
  <si>
    <t>17-16</t>
  </si>
  <si>
    <t>17-17</t>
  </si>
  <si>
    <t>17-18</t>
  </si>
  <si>
    <t>17-19</t>
  </si>
  <si>
    <t>17-20</t>
  </si>
  <si>
    <t>17-21</t>
  </si>
  <si>
    <t>17-22</t>
  </si>
  <si>
    <t>17-23</t>
  </si>
  <si>
    <t>17-24</t>
  </si>
  <si>
    <t>17-25</t>
  </si>
  <si>
    <t>17-26</t>
  </si>
  <si>
    <t>17-27</t>
  </si>
  <si>
    <t>17-28</t>
  </si>
  <si>
    <t>17-29</t>
  </si>
  <si>
    <t>17-30</t>
  </si>
  <si>
    <t>17-31</t>
  </si>
  <si>
    <t>17-32</t>
  </si>
  <si>
    <t>17-33</t>
  </si>
  <si>
    <t>17-34</t>
  </si>
  <si>
    <t>17-35</t>
  </si>
  <si>
    <t>17-36</t>
  </si>
  <si>
    <t>17-37</t>
  </si>
  <si>
    <t>17-38</t>
  </si>
  <si>
    <t>17-39</t>
  </si>
  <si>
    <t>17-40</t>
  </si>
  <si>
    <t>17-41</t>
  </si>
  <si>
    <t>17-42</t>
  </si>
  <si>
    <t>17-43</t>
  </si>
  <si>
    <t>17-44</t>
  </si>
  <si>
    <t>17-45</t>
  </si>
  <si>
    <t>17-46</t>
  </si>
  <si>
    <t>17-47</t>
  </si>
  <si>
    <t>17-48</t>
  </si>
  <si>
    <t>17-49</t>
  </si>
  <si>
    <t>17-50</t>
  </si>
  <si>
    <t>17-51</t>
  </si>
  <si>
    <t>17-52</t>
  </si>
  <si>
    <t>17-53</t>
  </si>
  <si>
    <t>17-54</t>
  </si>
  <si>
    <t>17-55</t>
  </si>
  <si>
    <t>17-56</t>
  </si>
  <si>
    <t>17-57</t>
  </si>
  <si>
    <t>17-58</t>
  </si>
  <si>
    <t>17-59</t>
  </si>
  <si>
    <t>17-60</t>
  </si>
  <si>
    <t>18-1</t>
  </si>
  <si>
    <t>18-2</t>
  </si>
  <si>
    <t>18-3</t>
  </si>
  <si>
    <t>18-4</t>
  </si>
  <si>
    <t>18-5</t>
  </si>
  <si>
    <t>18-6</t>
  </si>
  <si>
    <t>18-7</t>
  </si>
  <si>
    <t>18-8</t>
  </si>
  <si>
    <t>18-9</t>
  </si>
  <si>
    <t>18-10</t>
  </si>
  <si>
    <t>18-11</t>
  </si>
  <si>
    <t>18-12</t>
  </si>
  <si>
    <t>18-13</t>
  </si>
  <si>
    <t>18-14</t>
  </si>
  <si>
    <t>18-15</t>
  </si>
  <si>
    <t>18-16</t>
  </si>
  <si>
    <t>18-17</t>
  </si>
  <si>
    <t>18-18</t>
  </si>
  <si>
    <t>18-19</t>
  </si>
  <si>
    <t>18-20</t>
  </si>
  <si>
    <t>18-21</t>
  </si>
  <si>
    <t>18-22</t>
  </si>
  <si>
    <t>18-23</t>
  </si>
  <si>
    <t>18-24</t>
  </si>
  <si>
    <t>18-25</t>
  </si>
  <si>
    <t>18-26</t>
  </si>
  <si>
    <t>18-27</t>
  </si>
  <si>
    <t>18-28</t>
  </si>
  <si>
    <t>18-29</t>
  </si>
  <si>
    <t>18-30</t>
  </si>
  <si>
    <t>18-31</t>
  </si>
  <si>
    <t>18-32</t>
  </si>
  <si>
    <t>18-33</t>
  </si>
  <si>
    <t>18-34</t>
  </si>
  <si>
    <t>18-35</t>
  </si>
  <si>
    <t>18-36</t>
  </si>
  <si>
    <t>18-37</t>
  </si>
  <si>
    <t>18-38</t>
  </si>
  <si>
    <t>18-39</t>
  </si>
  <si>
    <t>18-40</t>
  </si>
  <si>
    <t>18-41</t>
  </si>
  <si>
    <t>18-42</t>
  </si>
  <si>
    <t>18-43</t>
  </si>
  <si>
    <t>18-44</t>
  </si>
  <si>
    <t>18-45</t>
  </si>
  <si>
    <t>18-46</t>
  </si>
  <si>
    <t>18-47</t>
  </si>
  <si>
    <t>18-48</t>
  </si>
  <si>
    <t>18-49</t>
  </si>
  <si>
    <t>18-50</t>
  </si>
  <si>
    <t>18-51</t>
  </si>
  <si>
    <t>18-52</t>
  </si>
  <si>
    <t>18-53</t>
  </si>
  <si>
    <t>18-54</t>
  </si>
  <si>
    <t>18-55</t>
  </si>
  <si>
    <t>18-56</t>
  </si>
  <si>
    <t>18-57</t>
  </si>
  <si>
    <t>18-58</t>
  </si>
  <si>
    <t>18-59</t>
  </si>
  <si>
    <t>18-60</t>
  </si>
  <si>
    <t>19-1</t>
  </si>
  <si>
    <t>19-2</t>
  </si>
  <si>
    <t>19-3</t>
  </si>
  <si>
    <t>19-4</t>
  </si>
  <si>
    <t>19-5</t>
  </si>
  <si>
    <t>19-6</t>
  </si>
  <si>
    <t>19-7</t>
  </si>
  <si>
    <t>19-8</t>
  </si>
  <si>
    <t>19-9</t>
  </si>
  <si>
    <t>19-10</t>
  </si>
  <si>
    <t>19-11</t>
  </si>
  <si>
    <t>19-12</t>
  </si>
  <si>
    <t>19-13</t>
  </si>
  <si>
    <t>19-14</t>
  </si>
  <si>
    <t>19-15</t>
  </si>
  <si>
    <t>19-16</t>
  </si>
  <si>
    <t>19-17</t>
  </si>
  <si>
    <t>19-19</t>
  </si>
  <si>
    <t>19-20</t>
  </si>
  <si>
    <t>19-21</t>
  </si>
  <si>
    <t>19-22</t>
  </si>
  <si>
    <t>19-23</t>
  </si>
  <si>
    <t>19-24</t>
  </si>
  <si>
    <t>19-25</t>
  </si>
  <si>
    <t>19-26</t>
  </si>
  <si>
    <t>19-27</t>
  </si>
  <si>
    <t>19-28</t>
  </si>
  <si>
    <t>19-29</t>
  </si>
  <si>
    <t>19-30</t>
  </si>
  <si>
    <t>19-31</t>
  </si>
  <si>
    <t>19-32</t>
  </si>
  <si>
    <t>19-33</t>
  </si>
  <si>
    <t>19-34</t>
  </si>
  <si>
    <t>19-35</t>
  </si>
  <si>
    <t>19-36</t>
  </si>
  <si>
    <t>19-37</t>
  </si>
  <si>
    <t>19-38</t>
  </si>
  <si>
    <t>19-39</t>
  </si>
  <si>
    <t>19-40</t>
  </si>
  <si>
    <t>19-41</t>
  </si>
  <si>
    <t>19-42</t>
  </si>
  <si>
    <t>19-43</t>
  </si>
  <si>
    <t>19-44</t>
  </si>
  <si>
    <t>19-45</t>
  </si>
  <si>
    <t>19-46</t>
  </si>
  <si>
    <t>19-47</t>
  </si>
  <si>
    <t>19-48</t>
  </si>
  <si>
    <t>19-49</t>
  </si>
  <si>
    <t>19-50</t>
  </si>
  <si>
    <t>19-51</t>
  </si>
  <si>
    <t>19-52</t>
  </si>
  <si>
    <t>19-53</t>
  </si>
  <si>
    <t>19-54</t>
  </si>
  <si>
    <t>19-55</t>
  </si>
  <si>
    <t>19-56</t>
  </si>
  <si>
    <t>19-57</t>
  </si>
  <si>
    <t>19-58</t>
  </si>
  <si>
    <t>19-59</t>
  </si>
  <si>
    <t>19-60</t>
  </si>
  <si>
    <t>20-1</t>
  </si>
  <si>
    <t>20-2</t>
  </si>
  <si>
    <t>20-3</t>
  </si>
  <si>
    <t>20-4</t>
  </si>
  <si>
    <t>20-5</t>
  </si>
  <si>
    <t>20-6</t>
  </si>
  <si>
    <t>20-7</t>
  </si>
  <si>
    <t>20-8</t>
  </si>
  <si>
    <t>20-9</t>
  </si>
  <si>
    <t>20-10</t>
  </si>
  <si>
    <t>20-11</t>
  </si>
  <si>
    <t>20-12</t>
  </si>
  <si>
    <t>20-13</t>
  </si>
  <si>
    <t>20-14</t>
  </si>
  <si>
    <t>20-15</t>
  </si>
  <si>
    <t>20-16</t>
  </si>
  <si>
    <t>20-17</t>
  </si>
  <si>
    <t>20-20</t>
  </si>
  <si>
    <t>20-19</t>
  </si>
  <si>
    <t>20-21</t>
  </si>
  <si>
    <t>20-22</t>
  </si>
  <si>
    <t>20-23</t>
  </si>
  <si>
    <t>20-24</t>
  </si>
  <si>
    <t>20-25</t>
  </si>
  <si>
    <t>20-26</t>
  </si>
  <si>
    <t>20-27</t>
  </si>
  <si>
    <t>20-28</t>
  </si>
  <si>
    <t>20-29</t>
  </si>
  <si>
    <t>20-30</t>
  </si>
  <si>
    <t>20-31</t>
  </si>
  <si>
    <t>20-32</t>
  </si>
  <si>
    <t>20-33</t>
  </si>
  <si>
    <t>20-34</t>
  </si>
  <si>
    <t>20-35</t>
  </si>
  <si>
    <t>20-36</t>
  </si>
  <si>
    <t>20-37</t>
  </si>
  <si>
    <t>20-38</t>
  </si>
  <si>
    <t>20-39</t>
  </si>
  <si>
    <t>20-40</t>
  </si>
  <si>
    <t>20-41</t>
  </si>
  <si>
    <t>20-42</t>
  </si>
  <si>
    <t>20-43</t>
  </si>
  <si>
    <t>20-44</t>
  </si>
  <si>
    <t>20-45</t>
  </si>
  <si>
    <t>20-46</t>
  </si>
  <si>
    <t>20-47</t>
  </si>
  <si>
    <t>20-48</t>
  </si>
  <si>
    <t>20-49</t>
  </si>
  <si>
    <t>20-50</t>
  </si>
  <si>
    <t>20-51</t>
  </si>
  <si>
    <t>20-52</t>
  </si>
  <si>
    <t>20-53</t>
  </si>
  <si>
    <t>20-54</t>
  </si>
  <si>
    <t>20-55</t>
  </si>
  <si>
    <t>20-56</t>
  </si>
  <si>
    <t>20-57</t>
  </si>
  <si>
    <t>20-58</t>
  </si>
  <si>
    <t>20-59</t>
  </si>
  <si>
    <t>20-60</t>
  </si>
  <si>
    <t>21-1</t>
  </si>
  <si>
    <t>21-2</t>
  </si>
  <si>
    <t>21-3</t>
  </si>
  <si>
    <t>21-4</t>
  </si>
  <si>
    <t>21-5</t>
  </si>
  <si>
    <t>21-6</t>
  </si>
  <si>
    <t>21-7</t>
  </si>
  <si>
    <t>21-8</t>
  </si>
  <si>
    <t>21-9</t>
  </si>
  <si>
    <t>21-10</t>
  </si>
  <si>
    <t>21-11</t>
  </si>
  <si>
    <t>21-12</t>
  </si>
  <si>
    <t>21-13</t>
  </si>
  <si>
    <t>21-14</t>
  </si>
  <si>
    <t>21-15</t>
  </si>
  <si>
    <t>21-16</t>
  </si>
  <si>
    <t>21-17</t>
  </si>
  <si>
    <t>21-21</t>
  </si>
  <si>
    <t>21-19</t>
  </si>
  <si>
    <t>21-20</t>
  </si>
  <si>
    <t>21-22</t>
  </si>
  <si>
    <t>21-23</t>
  </si>
  <si>
    <t>21-24</t>
  </si>
  <si>
    <t>21-25</t>
  </si>
  <si>
    <t>21-26</t>
  </si>
  <si>
    <t>21-27</t>
  </si>
  <si>
    <t>21-28</t>
  </si>
  <si>
    <t>21-29</t>
  </si>
  <si>
    <t>21-30</t>
  </si>
  <si>
    <t>21-31</t>
  </si>
  <si>
    <t>21-32</t>
  </si>
  <si>
    <t>21-33</t>
  </si>
  <si>
    <t>21-34</t>
  </si>
  <si>
    <t>21-35</t>
  </si>
  <si>
    <t>21-36</t>
  </si>
  <si>
    <t>21-37</t>
  </si>
  <si>
    <t>21-38</t>
  </si>
  <si>
    <t>21-39</t>
  </si>
  <si>
    <t>21-40</t>
  </si>
  <si>
    <t>21-41</t>
  </si>
  <si>
    <t>21-42</t>
  </si>
  <si>
    <t>21-43</t>
  </si>
  <si>
    <t>21-44</t>
  </si>
  <si>
    <t>21-45</t>
  </si>
  <si>
    <t>21-46</t>
  </si>
  <si>
    <t>21-47</t>
  </si>
  <si>
    <t>21-48</t>
  </si>
  <si>
    <t>21-49</t>
  </si>
  <si>
    <t>21-50</t>
  </si>
  <si>
    <t>21-51</t>
  </si>
  <si>
    <t>21-52</t>
  </si>
  <si>
    <t>21-53</t>
  </si>
  <si>
    <t>21-54</t>
  </si>
  <si>
    <t>21-55</t>
  </si>
  <si>
    <t>21-56</t>
  </si>
  <si>
    <t>21-57</t>
  </si>
  <si>
    <t>21-58</t>
  </si>
  <si>
    <t>21-59</t>
  </si>
  <si>
    <t>21-60</t>
  </si>
  <si>
    <t>22-1</t>
  </si>
  <si>
    <t>22-2</t>
  </si>
  <si>
    <t>22-3</t>
  </si>
  <si>
    <t>22-4</t>
  </si>
  <si>
    <t>22-5</t>
  </si>
  <si>
    <t>22-6</t>
  </si>
  <si>
    <t>22-7</t>
  </si>
  <si>
    <t>22-8</t>
  </si>
  <si>
    <t>22-9</t>
  </si>
  <si>
    <t>22-10</t>
  </si>
  <si>
    <t>22-11</t>
  </si>
  <si>
    <t>22-12</t>
  </si>
  <si>
    <t>22-13</t>
  </si>
  <si>
    <t>22-14</t>
  </si>
  <si>
    <t>22-15</t>
  </si>
  <si>
    <t>22-16</t>
  </si>
  <si>
    <t>22-17</t>
  </si>
  <si>
    <t>22-22</t>
  </si>
  <si>
    <t>22-19</t>
  </si>
  <si>
    <t>22-20</t>
  </si>
  <si>
    <t>22-21</t>
  </si>
  <si>
    <t>22-23</t>
  </si>
  <si>
    <t>22-24</t>
  </si>
  <si>
    <t>22-25</t>
  </si>
  <si>
    <t>22-26</t>
  </si>
  <si>
    <t>22-27</t>
  </si>
  <si>
    <t>22-28</t>
  </si>
  <si>
    <t>22-29</t>
  </si>
  <si>
    <t>22-30</t>
  </si>
  <si>
    <t>22-31</t>
  </si>
  <si>
    <t>22-32</t>
  </si>
  <si>
    <t>22-33</t>
  </si>
  <si>
    <t>22-34</t>
  </si>
  <si>
    <t>22-35</t>
  </si>
  <si>
    <t>22-36</t>
  </si>
  <si>
    <t>22-37</t>
  </si>
  <si>
    <t>22-38</t>
  </si>
  <si>
    <t>22-39</t>
  </si>
  <si>
    <t>22-40</t>
  </si>
  <si>
    <t>22-41</t>
  </si>
  <si>
    <t>22-42</t>
  </si>
  <si>
    <t>22-43</t>
  </si>
  <si>
    <t>22-44</t>
  </si>
  <si>
    <t>22-45</t>
  </si>
  <si>
    <t>22-46</t>
  </si>
  <si>
    <t>22-47</t>
  </si>
  <si>
    <t>22-48</t>
  </si>
  <si>
    <t>22-49</t>
  </si>
  <si>
    <t>22-50</t>
  </si>
  <si>
    <t>22-51</t>
  </si>
  <si>
    <t>22-52</t>
  </si>
  <si>
    <t>22-53</t>
  </si>
  <si>
    <t>22-54</t>
  </si>
  <si>
    <t>22-55</t>
  </si>
  <si>
    <t>22-56</t>
  </si>
  <si>
    <t>22-57</t>
  </si>
  <si>
    <t>22-58</t>
  </si>
  <si>
    <t>22-59</t>
  </si>
  <si>
    <t>22-60</t>
  </si>
  <si>
    <t>23-1</t>
  </si>
  <si>
    <t>23-2</t>
  </si>
  <si>
    <t>23-3</t>
  </si>
  <si>
    <t>23-4</t>
  </si>
  <si>
    <t>23-5</t>
  </si>
  <si>
    <t>23-6</t>
  </si>
  <si>
    <t>23-7</t>
  </si>
  <si>
    <t>23-8</t>
  </si>
  <si>
    <t>23-9</t>
  </si>
  <si>
    <t>23-10</t>
  </si>
  <si>
    <t>23-11</t>
  </si>
  <si>
    <t>23-12</t>
  </si>
  <si>
    <t>23-13</t>
  </si>
  <si>
    <t>23-14</t>
  </si>
  <si>
    <t>23-15</t>
  </si>
  <si>
    <t>23-16</t>
  </si>
  <si>
    <t>23-17</t>
  </si>
  <si>
    <t>23-23</t>
  </si>
  <si>
    <t>23-19</t>
  </si>
  <si>
    <t>23-20</t>
  </si>
  <si>
    <t>23-21</t>
  </si>
  <si>
    <t>23-22</t>
  </si>
  <si>
    <t>23-24</t>
  </si>
  <si>
    <t>23-25</t>
  </si>
  <si>
    <t>23-26</t>
  </si>
  <si>
    <t>23-27</t>
  </si>
  <si>
    <t>23-28</t>
  </si>
  <si>
    <t>23-29</t>
  </si>
  <si>
    <t>23-30</t>
  </si>
  <si>
    <t>23-31</t>
  </si>
  <si>
    <t>23-32</t>
  </si>
  <si>
    <t>23-33</t>
  </si>
  <si>
    <t>23-34</t>
  </si>
  <si>
    <t>23-35</t>
  </si>
  <si>
    <t>23-36</t>
  </si>
  <si>
    <t>23-37</t>
  </si>
  <si>
    <t>23-38</t>
  </si>
  <si>
    <t>23-39</t>
  </si>
  <si>
    <t>23-40</t>
  </si>
  <si>
    <t>23-41</t>
  </si>
  <si>
    <t>23-42</t>
  </si>
  <si>
    <t>23-43</t>
  </si>
  <si>
    <t>23-44</t>
  </si>
  <si>
    <t>23-45</t>
  </si>
  <si>
    <t>23-46</t>
  </si>
  <si>
    <t>23-47</t>
  </si>
  <si>
    <t>23-48</t>
  </si>
  <si>
    <t>23-49</t>
  </si>
  <si>
    <t>23-50</t>
  </si>
  <si>
    <t>23-51</t>
  </si>
  <si>
    <t>23-52</t>
  </si>
  <si>
    <t>23-53</t>
  </si>
  <si>
    <t>23-54</t>
  </si>
  <si>
    <t>23-55</t>
  </si>
  <si>
    <t>23-56</t>
  </si>
  <si>
    <t>23-57</t>
  </si>
  <si>
    <t>23-58</t>
  </si>
  <si>
    <t>23-59</t>
  </si>
  <si>
    <t>23-60</t>
  </si>
  <si>
    <t>24-1</t>
  </si>
  <si>
    <t>24-2</t>
  </si>
  <si>
    <t>24-3</t>
  </si>
  <si>
    <t>24-4</t>
  </si>
  <si>
    <t>24-5</t>
  </si>
  <si>
    <t>24-6</t>
  </si>
  <si>
    <t>24-7</t>
  </si>
  <si>
    <t>24-8</t>
  </si>
  <si>
    <t>24-9</t>
  </si>
  <si>
    <t>24-10</t>
  </si>
  <si>
    <t>24-11</t>
  </si>
  <si>
    <t>24-12</t>
  </si>
  <si>
    <t>24-13</t>
  </si>
  <si>
    <t>24-14</t>
  </si>
  <si>
    <t>24-15</t>
  </si>
  <si>
    <t>24-16</t>
  </si>
  <si>
    <t>24-17</t>
  </si>
  <si>
    <t>24-24</t>
  </si>
  <si>
    <t>24-19</t>
  </si>
  <si>
    <t>24-20</t>
  </si>
  <si>
    <t>24-21</t>
  </si>
  <si>
    <t>24-22</t>
  </si>
  <si>
    <t>24-23</t>
  </si>
  <si>
    <t>24-25</t>
  </si>
  <si>
    <t>24-26</t>
  </si>
  <si>
    <t>24-27</t>
  </si>
  <si>
    <t>24-28</t>
  </si>
  <si>
    <t>24-29</t>
  </si>
  <si>
    <t>24-30</t>
  </si>
  <si>
    <t>24-31</t>
  </si>
  <si>
    <t>24-32</t>
  </si>
  <si>
    <t>24-33</t>
  </si>
  <si>
    <t>24-34</t>
  </si>
  <si>
    <t>24-35</t>
  </si>
  <si>
    <t>24-36</t>
  </si>
  <si>
    <t>24-37</t>
  </si>
  <si>
    <t>24-38</t>
  </si>
  <si>
    <t>24-39</t>
  </si>
  <si>
    <t>24-40</t>
  </si>
  <si>
    <t>24-41</t>
  </si>
  <si>
    <t>24-42</t>
  </si>
  <si>
    <t>24-43</t>
  </si>
  <si>
    <t>24-44</t>
  </si>
  <si>
    <t>24-45</t>
  </si>
  <si>
    <t>24-46</t>
  </si>
  <si>
    <t>24-47</t>
  </si>
  <si>
    <t>24-48</t>
  </si>
  <si>
    <t>24-49</t>
  </si>
  <si>
    <t>24-50</t>
  </si>
  <si>
    <t>24-51</t>
  </si>
  <si>
    <t>24-52</t>
  </si>
  <si>
    <t>24-53</t>
  </si>
  <si>
    <t>24-54</t>
  </si>
  <si>
    <t>24-55</t>
  </si>
  <si>
    <t>24-56</t>
  </si>
  <si>
    <t>24-57</t>
  </si>
  <si>
    <t>24-58</t>
  </si>
  <si>
    <t>24-59</t>
  </si>
  <si>
    <t>24-60</t>
  </si>
  <si>
    <t>25-1</t>
  </si>
  <si>
    <t>25-2</t>
  </si>
  <si>
    <t>25-3</t>
  </si>
  <si>
    <t>25-4</t>
  </si>
  <si>
    <t>25-5</t>
  </si>
  <si>
    <t>25-6</t>
  </si>
  <si>
    <t>25-7</t>
  </si>
  <si>
    <t>25-8</t>
  </si>
  <si>
    <t>25-9</t>
  </si>
  <si>
    <t>25-10</t>
  </si>
  <si>
    <t>25-11</t>
  </si>
  <si>
    <t>25-12</t>
  </si>
  <si>
    <t>25-13</t>
  </si>
  <si>
    <t>25-14</t>
  </si>
  <si>
    <t>25-15</t>
  </si>
  <si>
    <t>25-16</t>
  </si>
  <si>
    <t>25-17</t>
  </si>
  <si>
    <t>25-25</t>
  </si>
  <si>
    <t>25-19</t>
  </si>
  <si>
    <t>25-20</t>
  </si>
  <si>
    <t>25-21</t>
  </si>
  <si>
    <t>25-22</t>
  </si>
  <si>
    <t>25-23</t>
  </si>
  <si>
    <t>25-24</t>
  </si>
  <si>
    <t>25-26</t>
  </si>
  <si>
    <t>25-27</t>
  </si>
  <si>
    <t>25-28</t>
  </si>
  <si>
    <t>25-29</t>
  </si>
  <si>
    <t>25-30</t>
  </si>
  <si>
    <t>25-31</t>
  </si>
  <si>
    <t>25-32</t>
  </si>
  <si>
    <t>25-33</t>
  </si>
  <si>
    <t>25-34</t>
  </si>
  <si>
    <t>25-35</t>
  </si>
  <si>
    <t>25-36</t>
  </si>
  <si>
    <t>25-37</t>
  </si>
  <si>
    <t>25-38</t>
  </si>
  <si>
    <t>25-39</t>
  </si>
  <si>
    <t>25-40</t>
  </si>
  <si>
    <t>25-41</t>
  </si>
  <si>
    <t>25-42</t>
  </si>
  <si>
    <t>25-43</t>
  </si>
  <si>
    <t>25-44</t>
  </si>
  <si>
    <t>25-45</t>
  </si>
  <si>
    <t>25-46</t>
  </si>
  <si>
    <t>25-47</t>
  </si>
  <si>
    <t>25-48</t>
  </si>
  <si>
    <t>25-49</t>
  </si>
  <si>
    <t>25-50</t>
  </si>
  <si>
    <t>25-51</t>
  </si>
  <si>
    <t>25-52</t>
  </si>
  <si>
    <t>25-53</t>
  </si>
  <si>
    <t>25-54</t>
  </si>
  <si>
    <t>25-55</t>
  </si>
  <si>
    <t>25-56</t>
  </si>
  <si>
    <t>25-57</t>
  </si>
  <si>
    <t>25-58</t>
  </si>
  <si>
    <t>25-59</t>
  </si>
  <si>
    <t>25-60</t>
  </si>
  <si>
    <t>26-1</t>
  </si>
  <si>
    <t>26-2</t>
  </si>
  <si>
    <t>26-3</t>
  </si>
  <si>
    <t>26-4</t>
  </si>
  <si>
    <t>26-5</t>
  </si>
  <si>
    <t>26-6</t>
  </si>
  <si>
    <t>26-7</t>
  </si>
  <si>
    <t>26-8</t>
  </si>
  <si>
    <t>26-9</t>
  </si>
  <si>
    <t>26-10</t>
  </si>
  <si>
    <t>26-11</t>
  </si>
  <si>
    <t>26-12</t>
  </si>
  <si>
    <t>26-13</t>
  </si>
  <si>
    <t>26-14</t>
  </si>
  <si>
    <t>26-15</t>
  </si>
  <si>
    <t>26-16</t>
  </si>
  <si>
    <t>26-17</t>
  </si>
  <si>
    <t>26-26</t>
  </si>
  <si>
    <t>26-19</t>
  </si>
  <si>
    <t>26-20</t>
  </si>
  <si>
    <t>26-21</t>
  </si>
  <si>
    <t>26-22</t>
  </si>
  <si>
    <t>26-23</t>
  </si>
  <si>
    <t>26-24</t>
  </si>
  <si>
    <t>26-25</t>
  </si>
  <si>
    <t>26-27</t>
  </si>
  <si>
    <t>26-28</t>
  </si>
  <si>
    <t>26-29</t>
  </si>
  <si>
    <t>26-30</t>
  </si>
  <si>
    <t>26-31</t>
  </si>
  <si>
    <t>26-32</t>
  </si>
  <si>
    <t>26-33</t>
  </si>
  <si>
    <t>26-34</t>
  </si>
  <si>
    <t>26-35</t>
  </si>
  <si>
    <t>26-36</t>
  </si>
  <si>
    <t>26-37</t>
  </si>
  <si>
    <t>26-38</t>
  </si>
  <si>
    <t>26-39</t>
  </si>
  <si>
    <t>26-40</t>
  </si>
  <si>
    <t>26-41</t>
  </si>
  <si>
    <t>26-42</t>
  </si>
  <si>
    <t>26-43</t>
  </si>
  <si>
    <t>26-44</t>
  </si>
  <si>
    <t>26-45</t>
  </si>
  <si>
    <t>26-46</t>
  </si>
  <si>
    <t>26-47</t>
  </si>
  <si>
    <t>26-48</t>
  </si>
  <si>
    <t>26-49</t>
  </si>
  <si>
    <t>26-50</t>
  </si>
  <si>
    <t>26-51</t>
  </si>
  <si>
    <t>26-52</t>
  </si>
  <si>
    <t>26-53</t>
  </si>
  <si>
    <t>26-54</t>
  </si>
  <si>
    <t>26-55</t>
  </si>
  <si>
    <t>26-56</t>
  </si>
  <si>
    <t>26-57</t>
  </si>
  <si>
    <t>26-58</t>
  </si>
  <si>
    <t>26-59</t>
  </si>
  <si>
    <t>26-60</t>
  </si>
  <si>
    <t>27-1</t>
  </si>
  <si>
    <t>27-2</t>
  </si>
  <si>
    <t>27-3</t>
  </si>
  <si>
    <t>27-4</t>
  </si>
  <si>
    <t>27-5</t>
  </si>
  <si>
    <t>27-6</t>
  </si>
  <si>
    <t>27-7</t>
  </si>
  <si>
    <t>27-8</t>
  </si>
  <si>
    <t>27-9</t>
  </si>
  <si>
    <t>27-10</t>
  </si>
  <si>
    <t>27-11</t>
  </si>
  <si>
    <t>27-12</t>
  </si>
  <si>
    <t>27-13</t>
  </si>
  <si>
    <t>27-14</t>
  </si>
  <si>
    <t>27-15</t>
  </si>
  <si>
    <t>27-16</t>
  </si>
  <si>
    <t>27-17</t>
  </si>
  <si>
    <t>27-27</t>
  </si>
  <si>
    <t>27-19</t>
  </si>
  <si>
    <t>27-20</t>
  </si>
  <si>
    <t>27-21</t>
  </si>
  <si>
    <t>27-22</t>
  </si>
  <si>
    <t>27-23</t>
  </si>
  <si>
    <t>27-24</t>
  </si>
  <si>
    <t>27-25</t>
  </si>
  <si>
    <t>27-26</t>
  </si>
  <si>
    <t>27-28</t>
  </si>
  <si>
    <t>27-29</t>
  </si>
  <si>
    <t>27-30</t>
  </si>
  <si>
    <t>27-31</t>
  </si>
  <si>
    <t>27-32</t>
  </si>
  <si>
    <t>27-33</t>
  </si>
  <si>
    <t>27-34</t>
  </si>
  <si>
    <t>27-35</t>
  </si>
  <si>
    <t>27-36</t>
  </si>
  <si>
    <t>27-37</t>
  </si>
  <si>
    <t>27-38</t>
  </si>
  <si>
    <t>27-39</t>
  </si>
  <si>
    <t>27-40</t>
  </si>
  <si>
    <t>27-41</t>
  </si>
  <si>
    <t>27-42</t>
  </si>
  <si>
    <t>27-43</t>
  </si>
  <si>
    <t>27-44</t>
  </si>
  <si>
    <t>27-45</t>
  </si>
  <si>
    <t>27-46</t>
  </si>
  <si>
    <t>27-47</t>
  </si>
  <si>
    <t>27-48</t>
  </si>
  <si>
    <t>27-49</t>
  </si>
  <si>
    <t>27-50</t>
  </si>
  <si>
    <t>27-51</t>
  </si>
  <si>
    <t>27-52</t>
  </si>
  <si>
    <t>27-53</t>
  </si>
  <si>
    <t>27-54</t>
  </si>
  <si>
    <t>27-55</t>
  </si>
  <si>
    <t>27-56</t>
  </si>
  <si>
    <t>27-57</t>
  </si>
  <si>
    <t>27-58</t>
  </si>
  <si>
    <t>27-59</t>
  </si>
  <si>
    <t>27-60</t>
  </si>
  <si>
    <t>28-1</t>
  </si>
  <si>
    <t>28-2</t>
  </si>
  <si>
    <t>28-3</t>
  </si>
  <si>
    <t>28-4</t>
  </si>
  <si>
    <t>28-5</t>
  </si>
  <si>
    <t>28-6</t>
  </si>
  <si>
    <t>28-7</t>
  </si>
  <si>
    <t>28-8</t>
  </si>
  <si>
    <t>28-9</t>
  </si>
  <si>
    <t>28-10</t>
  </si>
  <si>
    <t>28-11</t>
  </si>
  <si>
    <t>28-12</t>
  </si>
  <si>
    <t>28-13</t>
  </si>
  <si>
    <t>28-14</t>
  </si>
  <si>
    <t>28-15</t>
  </si>
  <si>
    <t>28-16</t>
  </si>
  <si>
    <t>28-17</t>
  </si>
  <si>
    <t>28-28</t>
  </si>
  <si>
    <t>28-19</t>
  </si>
  <si>
    <t>28-20</t>
  </si>
  <si>
    <t>28-21</t>
  </si>
  <si>
    <t>28-22</t>
  </si>
  <si>
    <t>28-23</t>
  </si>
  <si>
    <t>28-24</t>
  </si>
  <si>
    <t>28-25</t>
  </si>
  <si>
    <t>28-26</t>
  </si>
  <si>
    <t>28-27</t>
  </si>
  <si>
    <t>28-29</t>
  </si>
  <si>
    <t>28-30</t>
  </si>
  <si>
    <t>28-31</t>
  </si>
  <si>
    <t>28-32</t>
  </si>
  <si>
    <t>28-33</t>
  </si>
  <si>
    <t>28-34</t>
  </si>
  <si>
    <t>28-35</t>
  </si>
  <si>
    <t>28-36</t>
  </si>
  <si>
    <t>28-37</t>
  </si>
  <si>
    <t>28-38</t>
  </si>
  <si>
    <t>28-39</t>
  </si>
  <si>
    <t>28-40</t>
  </si>
  <si>
    <t>28-41</t>
  </si>
  <si>
    <t>28-42</t>
  </si>
  <si>
    <t>28-43</t>
  </si>
  <si>
    <t>28-44</t>
  </si>
  <si>
    <t>28-45</t>
  </si>
  <si>
    <t>28-46</t>
  </si>
  <si>
    <t>28-47</t>
  </si>
  <si>
    <t>28-48</t>
  </si>
  <si>
    <t>28-49</t>
  </si>
  <si>
    <t>28-50</t>
  </si>
  <si>
    <t>28-51</t>
  </si>
  <si>
    <t>28-52</t>
  </si>
  <si>
    <t>28-53</t>
  </si>
  <si>
    <t>28-54</t>
  </si>
  <si>
    <t>28-55</t>
  </si>
  <si>
    <t>28-56</t>
  </si>
  <si>
    <t>28-57</t>
  </si>
  <si>
    <t>28-58</t>
  </si>
  <si>
    <t>28-59</t>
  </si>
  <si>
    <t>28-60</t>
  </si>
  <si>
    <t>29-1</t>
  </si>
  <si>
    <t>29-2</t>
  </si>
  <si>
    <t>29-3</t>
  </si>
  <si>
    <t>29-4</t>
  </si>
  <si>
    <t>29-5</t>
  </si>
  <si>
    <t>29-6</t>
  </si>
  <si>
    <t>29-7</t>
  </si>
  <si>
    <t>29-8</t>
  </si>
  <si>
    <t>29-9</t>
  </si>
  <si>
    <t>29-10</t>
  </si>
  <si>
    <t>29-11</t>
  </si>
  <si>
    <t>29-12</t>
  </si>
  <si>
    <t>29-13</t>
  </si>
  <si>
    <t>29-14</t>
  </si>
  <si>
    <t>29-15</t>
  </si>
  <si>
    <t>29-16</t>
  </si>
  <si>
    <t>29-17</t>
  </si>
  <si>
    <t>29-18</t>
  </si>
  <si>
    <t>29-19</t>
  </si>
  <si>
    <t>29-20</t>
  </si>
  <si>
    <t>29-21</t>
  </si>
  <si>
    <t>29-22</t>
  </si>
  <si>
    <t>29-23</t>
  </si>
  <si>
    <t>29-24</t>
  </si>
  <si>
    <t>29-25</t>
  </si>
  <si>
    <t>29-26</t>
  </si>
  <si>
    <t>29-27</t>
  </si>
  <si>
    <t>29-28</t>
  </si>
  <si>
    <t>29-29</t>
  </si>
  <si>
    <t>29-30</t>
  </si>
  <si>
    <t>29-31</t>
  </si>
  <si>
    <t>29-32</t>
  </si>
  <si>
    <t>29-33</t>
  </si>
  <si>
    <t>29-34</t>
  </si>
  <si>
    <t>29-35</t>
  </si>
  <si>
    <t>29-36</t>
  </si>
  <si>
    <t>29-37</t>
  </si>
  <si>
    <t>29-38</t>
  </si>
  <si>
    <t>29-39</t>
  </si>
  <si>
    <t>29-40</t>
  </si>
  <si>
    <t>29-41</t>
  </si>
  <si>
    <t>29-42</t>
  </si>
  <si>
    <t>29-43</t>
  </si>
  <si>
    <t>29-44</t>
  </si>
  <si>
    <t>29-45</t>
  </si>
  <si>
    <t>29-46</t>
  </si>
  <si>
    <t>29-47</t>
  </si>
  <si>
    <t>29-48</t>
  </si>
  <si>
    <t>29-49</t>
  </si>
  <si>
    <t>29-50</t>
  </si>
  <si>
    <t>29-51</t>
  </si>
  <si>
    <t>29-52</t>
  </si>
  <si>
    <t>29-53</t>
  </si>
  <si>
    <t>29-54</t>
  </si>
  <si>
    <t>29-55</t>
  </si>
  <si>
    <t>29-56</t>
  </si>
  <si>
    <t>29-57</t>
  </si>
  <si>
    <t>29-58</t>
  </si>
  <si>
    <t>29-59</t>
  </si>
  <si>
    <t>29-60</t>
  </si>
  <si>
    <t>30-1</t>
  </si>
  <si>
    <t>30-2</t>
  </si>
  <si>
    <t>30-3</t>
  </si>
  <si>
    <t>30-4</t>
  </si>
  <si>
    <t>30-5</t>
  </si>
  <si>
    <t>30-6</t>
  </si>
  <si>
    <t>30-7</t>
  </si>
  <si>
    <t>30-8</t>
  </si>
  <si>
    <t>30-9</t>
  </si>
  <si>
    <t>30-10</t>
  </si>
  <si>
    <t>30-11</t>
  </si>
  <si>
    <t>30-12</t>
  </si>
  <si>
    <t>30-13</t>
  </si>
  <si>
    <t>30-14</t>
  </si>
  <si>
    <t>30-15</t>
  </si>
  <si>
    <t>30-16</t>
  </si>
  <si>
    <t>30-17</t>
  </si>
  <si>
    <t>30-18</t>
  </si>
  <si>
    <t>30-19</t>
  </si>
  <si>
    <t>30-20</t>
  </si>
  <si>
    <t>30-21</t>
  </si>
  <si>
    <t>30-22</t>
  </si>
  <si>
    <t>30-23</t>
  </si>
  <si>
    <t>30-24</t>
  </si>
  <si>
    <t>30-25</t>
  </si>
  <si>
    <t>30-26</t>
  </si>
  <si>
    <t>30-27</t>
  </si>
  <si>
    <t>30-28</t>
  </si>
  <si>
    <t>30-29</t>
  </si>
  <si>
    <t>30-30</t>
  </si>
  <si>
    <t>30-31</t>
  </si>
  <si>
    <t>30-32</t>
  </si>
  <si>
    <t>30-33</t>
  </si>
  <si>
    <t>30-34</t>
  </si>
  <si>
    <t>30-35</t>
  </si>
  <si>
    <t>30-36</t>
  </si>
  <si>
    <t>30-37</t>
  </si>
  <si>
    <t>30-38</t>
  </si>
  <si>
    <t>30-39</t>
  </si>
  <si>
    <t>30-40</t>
  </si>
  <si>
    <t>30-41</t>
  </si>
  <si>
    <t>30-42</t>
  </si>
  <si>
    <t>30-43</t>
  </si>
  <si>
    <t>30-44</t>
  </si>
  <si>
    <t>30-45</t>
  </si>
  <si>
    <t>30-46</t>
  </si>
  <si>
    <t>30-47</t>
  </si>
  <si>
    <t>30-48</t>
  </si>
  <si>
    <t>30-49</t>
  </si>
  <si>
    <t>30-50</t>
  </si>
  <si>
    <t>30-51</t>
  </si>
  <si>
    <t>30-52</t>
  </si>
  <si>
    <t>30-53</t>
  </si>
  <si>
    <t>30-54</t>
  </si>
  <si>
    <t>30-55</t>
  </si>
  <si>
    <t>30-56</t>
  </si>
  <si>
    <t>30-57</t>
  </si>
  <si>
    <t>30-58</t>
  </si>
  <si>
    <t>30-59</t>
  </si>
  <si>
    <t>30-60</t>
  </si>
  <si>
    <t>31-1</t>
  </si>
  <si>
    <t>31-2</t>
  </si>
  <si>
    <t>31-3</t>
  </si>
  <si>
    <t>31-4</t>
  </si>
  <si>
    <t>31-5</t>
  </si>
  <si>
    <t>31-6</t>
  </si>
  <si>
    <t>31-7</t>
  </si>
  <si>
    <t>31-8</t>
  </si>
  <si>
    <t>31-9</t>
  </si>
  <si>
    <t>31-10</t>
  </si>
  <si>
    <t>31-11</t>
  </si>
  <si>
    <t>31-12</t>
  </si>
  <si>
    <t>31-13</t>
  </si>
  <si>
    <t>31-14</t>
  </si>
  <si>
    <t>31-15</t>
  </si>
  <si>
    <t>31-16</t>
  </si>
  <si>
    <t>31-17</t>
  </si>
  <si>
    <t>31-18</t>
  </si>
  <si>
    <t>31-19</t>
  </si>
  <si>
    <t>31-20</t>
  </si>
  <si>
    <t>31-21</t>
  </si>
  <si>
    <t>31-22</t>
  </si>
  <si>
    <t>31-23</t>
  </si>
  <si>
    <t>31-24</t>
  </si>
  <si>
    <t>31-25</t>
  </si>
  <si>
    <t>31-26</t>
  </si>
  <si>
    <t>31-27</t>
  </si>
  <si>
    <t>31-28</t>
  </si>
  <si>
    <t>31-29</t>
  </si>
  <si>
    <t>31-30</t>
  </si>
  <si>
    <t>31-31</t>
  </si>
  <si>
    <t>31-32</t>
  </si>
  <si>
    <t>31-33</t>
  </si>
  <si>
    <t>31-34</t>
  </si>
  <si>
    <t>31-35</t>
  </si>
  <si>
    <t>31-36</t>
  </si>
  <si>
    <t>31-37</t>
  </si>
  <si>
    <t>31-38</t>
  </si>
  <si>
    <t>31-39</t>
  </si>
  <si>
    <t>31-40</t>
  </si>
  <si>
    <t>31-41</t>
  </si>
  <si>
    <t>31-42</t>
  </si>
  <si>
    <t>31-43</t>
  </si>
  <si>
    <t>31-44</t>
  </si>
  <si>
    <t>31-45</t>
  </si>
  <si>
    <t>31-46</t>
  </si>
  <si>
    <t>31-47</t>
  </si>
  <si>
    <t>31-48</t>
  </si>
  <si>
    <t>31-49</t>
  </si>
  <si>
    <t>31-50</t>
  </si>
  <si>
    <t>31-51</t>
  </si>
  <si>
    <t>31-52</t>
  </si>
  <si>
    <t>31-53</t>
  </si>
  <si>
    <t>31-54</t>
  </si>
  <si>
    <t>31-55</t>
  </si>
  <si>
    <t>31-56</t>
  </si>
  <si>
    <t>31-57</t>
  </si>
  <si>
    <t>31-58</t>
  </si>
  <si>
    <t>31-59</t>
  </si>
  <si>
    <t>31-60</t>
  </si>
  <si>
    <t>32-1</t>
  </si>
  <si>
    <t>32-2</t>
  </si>
  <si>
    <t>32-3</t>
  </si>
  <si>
    <t>32-4</t>
  </si>
  <si>
    <t>32-5</t>
  </si>
  <si>
    <t>32-6</t>
  </si>
  <si>
    <t>32-7</t>
  </si>
  <si>
    <t>32-8</t>
  </si>
  <si>
    <t>32-9</t>
  </si>
  <si>
    <t>32-10</t>
  </si>
  <si>
    <t>32-11</t>
  </si>
  <si>
    <t>32-12</t>
  </si>
  <si>
    <t>32-13</t>
  </si>
  <si>
    <t>32-14</t>
  </si>
  <si>
    <t>32-15</t>
  </si>
  <si>
    <t>32-16</t>
  </si>
  <si>
    <t>32-17</t>
  </si>
  <si>
    <t>32-18</t>
  </si>
  <si>
    <t>32-19</t>
  </si>
  <si>
    <t>32-20</t>
  </si>
  <si>
    <t>32-21</t>
  </si>
  <si>
    <t>32-22</t>
  </si>
  <si>
    <t>32-23</t>
  </si>
  <si>
    <t>32-24</t>
  </si>
  <si>
    <t>32-25</t>
  </si>
  <si>
    <t>32-26</t>
  </si>
  <si>
    <t>32-27</t>
  </si>
  <si>
    <t>32-28</t>
  </si>
  <si>
    <t>32-29</t>
  </si>
  <si>
    <t>32-30</t>
  </si>
  <si>
    <t>32-31</t>
  </si>
  <si>
    <t>32-32</t>
  </si>
  <si>
    <t>32-33</t>
  </si>
  <si>
    <t>32-34</t>
  </si>
  <si>
    <t>32-35</t>
  </si>
  <si>
    <t>32-36</t>
  </si>
  <si>
    <t>32-37</t>
  </si>
  <si>
    <t>32-38</t>
  </si>
  <si>
    <t>32-39</t>
  </si>
  <si>
    <t>32-40</t>
  </si>
  <si>
    <t>32-41</t>
  </si>
  <si>
    <t>32-42</t>
  </si>
  <si>
    <t>32-43</t>
  </si>
  <si>
    <t>32-44</t>
  </si>
  <si>
    <t>32-45</t>
  </si>
  <si>
    <t>32-46</t>
  </si>
  <si>
    <t>32-47</t>
  </si>
  <si>
    <t>32-48</t>
  </si>
  <si>
    <t>32-49</t>
  </si>
  <si>
    <t>32-50</t>
  </si>
  <si>
    <t>32-51</t>
  </si>
  <si>
    <t>32-52</t>
  </si>
  <si>
    <t>32-53</t>
  </si>
  <si>
    <t>32-54</t>
  </si>
  <si>
    <t>32-55</t>
  </si>
  <si>
    <t>32-56</t>
  </si>
  <si>
    <t>32-57</t>
  </si>
  <si>
    <t>32-58</t>
  </si>
  <si>
    <t>32-59</t>
  </si>
  <si>
    <t>32-60</t>
  </si>
  <si>
    <t>33-1</t>
  </si>
  <si>
    <t>33-2</t>
  </si>
  <si>
    <t>33-3</t>
  </si>
  <si>
    <t>33-4</t>
  </si>
  <si>
    <t>33-5</t>
  </si>
  <si>
    <t>33-6</t>
  </si>
  <si>
    <t>33-7</t>
  </si>
  <si>
    <t>33-8</t>
  </si>
  <si>
    <t>33-9</t>
  </si>
  <si>
    <t>33-10</t>
  </si>
  <si>
    <t>33-11</t>
  </si>
  <si>
    <t>33-12</t>
  </si>
  <si>
    <t>33-13</t>
  </si>
  <si>
    <t>33-14</t>
  </si>
  <si>
    <t>33-15</t>
  </si>
  <si>
    <t>33-16</t>
  </si>
  <si>
    <t>33-17</t>
  </si>
  <si>
    <t>33-18</t>
  </si>
  <si>
    <t>33-19</t>
  </si>
  <si>
    <t>33-20</t>
  </si>
  <si>
    <t>33-21</t>
  </si>
  <si>
    <t>33-22</t>
  </si>
  <si>
    <t>33-23</t>
  </si>
  <si>
    <t>33-24</t>
  </si>
  <si>
    <t>33-25</t>
  </si>
  <si>
    <t>33-26</t>
  </si>
  <si>
    <t>33-27</t>
  </si>
  <si>
    <t>33-28</t>
  </si>
  <si>
    <t>33-29</t>
  </si>
  <si>
    <t>33-30</t>
  </si>
  <si>
    <t>33-31</t>
  </si>
  <si>
    <t>33-32</t>
  </si>
  <si>
    <t>33-33</t>
  </si>
  <si>
    <t>33-34</t>
  </si>
  <si>
    <t>33-35</t>
  </si>
  <si>
    <t>33-36</t>
  </si>
  <si>
    <t>33-37</t>
  </si>
  <si>
    <t>33-38</t>
  </si>
  <si>
    <t>33-39</t>
  </si>
  <si>
    <t>33-40</t>
  </si>
  <si>
    <t>33-41</t>
  </si>
  <si>
    <t>33-42</t>
  </si>
  <si>
    <t>33-43</t>
  </si>
  <si>
    <t>33-44</t>
  </si>
  <si>
    <t>33-45</t>
  </si>
  <si>
    <t>33-46</t>
  </si>
  <si>
    <t>33-47</t>
  </si>
  <si>
    <t>33-48</t>
  </si>
  <si>
    <t>33-49</t>
  </si>
  <si>
    <t>33-50</t>
  </si>
  <si>
    <t>33-51</t>
  </si>
  <si>
    <t>33-52</t>
  </si>
  <si>
    <t>33-53</t>
  </si>
  <si>
    <t>33-54</t>
  </si>
  <si>
    <t>33-55</t>
  </si>
  <si>
    <t>33-56</t>
  </si>
  <si>
    <t>33-57</t>
  </si>
  <si>
    <t>33-58</t>
  </si>
  <si>
    <t>33-59</t>
  </si>
  <si>
    <t>33-60</t>
  </si>
  <si>
    <t>34-1</t>
  </si>
  <si>
    <t>34-2</t>
  </si>
  <si>
    <t>34-3</t>
  </si>
  <si>
    <t>34-4</t>
  </si>
  <si>
    <t>34-5</t>
  </si>
  <si>
    <t>34-6</t>
  </si>
  <si>
    <t>34-7</t>
  </si>
  <si>
    <t>34-8</t>
  </si>
  <si>
    <t>34-9</t>
  </si>
  <si>
    <t>34-10</t>
  </si>
  <si>
    <t>34-11</t>
  </si>
  <si>
    <t>34-12</t>
  </si>
  <si>
    <t>34-13</t>
  </si>
  <si>
    <t>34-14</t>
  </si>
  <si>
    <t>34-15</t>
  </si>
  <si>
    <t>34-16</t>
  </si>
  <si>
    <t>34-17</t>
  </si>
  <si>
    <t>34-18</t>
  </si>
  <si>
    <t>34-19</t>
  </si>
  <si>
    <t>34-20</t>
  </si>
  <si>
    <t>34-21</t>
  </si>
  <si>
    <t>34-22</t>
  </si>
  <si>
    <t>34-23</t>
  </si>
  <si>
    <t>34-24</t>
  </si>
  <si>
    <t>34-25</t>
  </si>
  <si>
    <t>34-26</t>
  </si>
  <si>
    <t>34-27</t>
  </si>
  <si>
    <t>34-28</t>
  </si>
  <si>
    <t>34-29</t>
  </si>
  <si>
    <t>34-30</t>
  </si>
  <si>
    <t>34-31</t>
  </si>
  <si>
    <t>34-32</t>
  </si>
  <si>
    <t>34-33</t>
  </si>
  <si>
    <t>34-34</t>
  </si>
  <si>
    <t>34-35</t>
  </si>
  <si>
    <t>34-36</t>
  </si>
  <si>
    <t>34-37</t>
  </si>
  <si>
    <t>34-38</t>
  </si>
  <si>
    <t>34-39</t>
  </si>
  <si>
    <t>34-40</t>
  </si>
  <si>
    <t>34-41</t>
  </si>
  <si>
    <t>34-42</t>
  </si>
  <si>
    <t>34-43</t>
  </si>
  <si>
    <t>34-44</t>
  </si>
  <si>
    <t>34-45</t>
  </si>
  <si>
    <t>34-46</t>
  </si>
  <si>
    <t>34-47</t>
  </si>
  <si>
    <t>34-48</t>
  </si>
  <si>
    <t>34-49</t>
  </si>
  <si>
    <t>34-50</t>
  </si>
  <si>
    <t>34-51</t>
  </si>
  <si>
    <t>34-52</t>
  </si>
  <si>
    <t>34-53</t>
  </si>
  <si>
    <t>34-54</t>
  </si>
  <si>
    <t>34-55</t>
  </si>
  <si>
    <t>34-56</t>
  </si>
  <si>
    <t>34-57</t>
  </si>
  <si>
    <t>34-58</t>
  </si>
  <si>
    <t>34-59</t>
  </si>
  <si>
    <t>34-60</t>
  </si>
  <si>
    <t>35-1</t>
  </si>
  <si>
    <t>35-2</t>
  </si>
  <si>
    <t>35-3</t>
  </si>
  <si>
    <t>35-4</t>
  </si>
  <si>
    <t>35-5</t>
  </si>
  <si>
    <t>35-6</t>
  </si>
  <si>
    <t>35-7</t>
  </si>
  <si>
    <t>35-8</t>
  </si>
  <si>
    <t>35-9</t>
  </si>
  <si>
    <t>35-10</t>
  </si>
  <si>
    <t>35-11</t>
  </si>
  <si>
    <t>35-12</t>
  </si>
  <si>
    <t>35-13</t>
  </si>
  <si>
    <t>35-14</t>
  </si>
  <si>
    <t>35-15</t>
  </si>
  <si>
    <t>35-16</t>
  </si>
  <si>
    <t>35-17</t>
  </si>
  <si>
    <t>35-18</t>
  </si>
  <si>
    <t>35-19</t>
  </si>
  <si>
    <t>35-20</t>
  </si>
  <si>
    <t>35-21</t>
  </si>
  <si>
    <t>35-22</t>
  </si>
  <si>
    <t>35-23</t>
  </si>
  <si>
    <t>35-24</t>
  </si>
  <si>
    <t>35-25</t>
  </si>
  <si>
    <t>35-26</t>
  </si>
  <si>
    <t>35-27</t>
  </si>
  <si>
    <t>35-28</t>
  </si>
  <si>
    <t>35-29</t>
  </si>
  <si>
    <t>35-30</t>
  </si>
  <si>
    <t>35-31</t>
  </si>
  <si>
    <t>35-32</t>
  </si>
  <si>
    <t>35-33</t>
  </si>
  <si>
    <t>35-34</t>
  </si>
  <si>
    <t>35-35</t>
  </si>
  <si>
    <t>35-36</t>
  </si>
  <si>
    <t>35-37</t>
  </si>
  <si>
    <t>35-38</t>
  </si>
  <si>
    <t>35-39</t>
  </si>
  <si>
    <t>35-40</t>
  </si>
  <si>
    <t>35-41</t>
  </si>
  <si>
    <t>35-42</t>
  </si>
  <si>
    <t>35-43</t>
  </si>
  <si>
    <t>35-44</t>
  </si>
  <si>
    <t>35-45</t>
  </si>
  <si>
    <t>35-46</t>
  </si>
  <si>
    <t>35-47</t>
  </si>
  <si>
    <t>35-48</t>
  </si>
  <si>
    <t>35-49</t>
  </si>
  <si>
    <t>35-50</t>
  </si>
  <si>
    <t>35-51</t>
  </si>
  <si>
    <t>35-52</t>
  </si>
  <si>
    <t>35-53</t>
  </si>
  <si>
    <t>35-54</t>
  </si>
  <si>
    <t>35-55</t>
  </si>
  <si>
    <t>35-56</t>
  </si>
  <si>
    <t>35-57</t>
  </si>
  <si>
    <t>35-58</t>
  </si>
  <si>
    <t>35-59</t>
  </si>
  <si>
    <t>35-60</t>
  </si>
  <si>
    <t>36-1</t>
  </si>
  <si>
    <t>36-2</t>
  </si>
  <si>
    <t>36-3</t>
  </si>
  <si>
    <t>36-4</t>
  </si>
  <si>
    <t>36-5</t>
  </si>
  <si>
    <t>36-6</t>
  </si>
  <si>
    <t>36-7</t>
  </si>
  <si>
    <t>36-8</t>
  </si>
  <si>
    <t>36-9</t>
  </si>
  <si>
    <t>36-10</t>
  </si>
  <si>
    <t>36-11</t>
  </si>
  <si>
    <t>36-12</t>
  </si>
  <si>
    <t>36-13</t>
  </si>
  <si>
    <t>36-14</t>
  </si>
  <si>
    <t>36-15</t>
  </si>
  <si>
    <t>36-16</t>
  </si>
  <si>
    <t>36-17</t>
  </si>
  <si>
    <t>36-18</t>
  </si>
  <si>
    <t>36-19</t>
  </si>
  <si>
    <t>36-20</t>
  </si>
  <si>
    <t>36-21</t>
  </si>
  <si>
    <t>36-22</t>
  </si>
  <si>
    <t>36-23</t>
  </si>
  <si>
    <t>36-24</t>
  </si>
  <si>
    <t>36-25</t>
  </si>
  <si>
    <t>36-26</t>
  </si>
  <si>
    <t>36-27</t>
  </si>
  <si>
    <t>36-28</t>
  </si>
  <si>
    <t>36-29</t>
  </si>
  <si>
    <t>36-30</t>
  </si>
  <si>
    <t>36-31</t>
  </si>
  <si>
    <t>36-32</t>
  </si>
  <si>
    <t>36-33</t>
  </si>
  <si>
    <t>36-34</t>
  </si>
  <si>
    <t>36-35</t>
  </si>
  <si>
    <t>36-36</t>
  </si>
  <si>
    <t>36-37</t>
  </si>
  <si>
    <t>36-38</t>
  </si>
  <si>
    <t>36-39</t>
  </si>
  <si>
    <t>36-40</t>
  </si>
  <si>
    <t>36-41</t>
  </si>
  <si>
    <t>36-42</t>
  </si>
  <si>
    <t>36-43</t>
  </si>
  <si>
    <t>36-44</t>
  </si>
  <si>
    <t>36-45</t>
  </si>
  <si>
    <t>36-46</t>
  </si>
  <si>
    <t>36-47</t>
  </si>
  <si>
    <t>36-48</t>
  </si>
  <si>
    <t>36-49</t>
  </si>
  <si>
    <t>36-50</t>
  </si>
  <si>
    <t>36-51</t>
  </si>
  <si>
    <t>36-52</t>
  </si>
  <si>
    <t>36-53</t>
  </si>
  <si>
    <t>36-54</t>
  </si>
  <si>
    <t>36-55</t>
  </si>
  <si>
    <t>36-56</t>
  </si>
  <si>
    <t>36-57</t>
  </si>
  <si>
    <t>36-58</t>
  </si>
  <si>
    <t>36-59</t>
  </si>
  <si>
    <t>36-60</t>
  </si>
  <si>
    <t>37-1</t>
  </si>
  <si>
    <t>37-2</t>
  </si>
  <si>
    <t>37-3</t>
  </si>
  <si>
    <t>37-4</t>
  </si>
  <si>
    <t>37-5</t>
  </si>
  <si>
    <t>37-6</t>
  </si>
  <si>
    <t>37-7</t>
  </si>
  <si>
    <t>37-8</t>
  </si>
  <si>
    <t>37-9</t>
  </si>
  <si>
    <t>37-10</t>
  </si>
  <si>
    <t>37-11</t>
  </si>
  <si>
    <t>37-12</t>
  </si>
  <si>
    <t>37-13</t>
  </si>
  <si>
    <t>37-14</t>
  </si>
  <si>
    <t>37-15</t>
  </si>
  <si>
    <t>37-16</t>
  </si>
  <si>
    <t>37-17</t>
  </si>
  <si>
    <t>37-18</t>
  </si>
  <si>
    <t>37-19</t>
  </si>
  <si>
    <t>37-20</t>
  </si>
  <si>
    <t>37-21</t>
  </si>
  <si>
    <t>37-22</t>
  </si>
  <si>
    <t>37-23</t>
  </si>
  <si>
    <t>37-24</t>
  </si>
  <si>
    <t>37-25</t>
  </si>
  <si>
    <t>37-26</t>
  </si>
  <si>
    <t>37-27</t>
  </si>
  <si>
    <t>37-28</t>
  </si>
  <si>
    <t>37-29</t>
  </si>
  <si>
    <t>37-30</t>
  </si>
  <si>
    <t>37-31</t>
  </si>
  <si>
    <t>37-32</t>
  </si>
  <si>
    <t>37-33</t>
  </si>
  <si>
    <t>37-34</t>
  </si>
  <si>
    <t>37-35</t>
  </si>
  <si>
    <t>37-36</t>
  </si>
  <si>
    <t>37-37</t>
  </si>
  <si>
    <t>37-38</t>
  </si>
  <si>
    <t>37-39</t>
  </si>
  <si>
    <t>37-40</t>
  </si>
  <si>
    <t>37-41</t>
  </si>
  <si>
    <t>37-42</t>
  </si>
  <si>
    <t>37-43</t>
  </si>
  <si>
    <t>37-44</t>
  </si>
  <si>
    <t>37-45</t>
  </si>
  <si>
    <t>37-46</t>
  </si>
  <si>
    <t>37-47</t>
  </si>
  <si>
    <t>37-48</t>
  </si>
  <si>
    <t>37-49</t>
  </si>
  <si>
    <t>37-50</t>
  </si>
  <si>
    <t>37-51</t>
  </si>
  <si>
    <t>37-52</t>
  </si>
  <si>
    <t>37-53</t>
  </si>
  <si>
    <t>37-54</t>
  </si>
  <si>
    <t>37-55</t>
  </si>
  <si>
    <t>37-56</t>
  </si>
  <si>
    <t>37-57</t>
  </si>
  <si>
    <t>37-58</t>
  </si>
  <si>
    <t>37-59</t>
  </si>
  <si>
    <t>37-60</t>
  </si>
  <si>
    <t>38-1</t>
  </si>
  <si>
    <t>38-2</t>
  </si>
  <si>
    <t>38-3</t>
  </si>
  <si>
    <t>38-4</t>
  </si>
  <si>
    <t>38-5</t>
  </si>
  <si>
    <t>38-6</t>
  </si>
  <si>
    <t>38-7</t>
  </si>
  <si>
    <t>38-8</t>
  </si>
  <si>
    <t>38-9</t>
  </si>
  <si>
    <t>38-10</t>
  </si>
  <si>
    <t>38-11</t>
  </si>
  <si>
    <t>38-12</t>
  </si>
  <si>
    <t>38-13</t>
  </si>
  <si>
    <t>38-14</t>
  </si>
  <si>
    <t>38-15</t>
  </si>
  <si>
    <t>38-16</t>
  </si>
  <si>
    <t>38-17</t>
  </si>
  <si>
    <t>38-18</t>
  </si>
  <si>
    <t>38-19</t>
  </si>
  <si>
    <t>38-20</t>
  </si>
  <si>
    <t>38-21</t>
  </si>
  <si>
    <t>38-22</t>
  </si>
  <si>
    <t>38-23</t>
  </si>
  <si>
    <t>38-24</t>
  </si>
  <si>
    <t>38-25</t>
  </si>
  <si>
    <t>38-26</t>
  </si>
  <si>
    <t>38-27</t>
  </si>
  <si>
    <t>38-28</t>
  </si>
  <si>
    <t>38-29</t>
  </si>
  <si>
    <t>38-30</t>
  </si>
  <si>
    <t>38-31</t>
  </si>
  <si>
    <t>38-32</t>
  </si>
  <si>
    <t>38-33</t>
  </si>
  <si>
    <t>38-34</t>
  </si>
  <si>
    <t>38-35</t>
  </si>
  <si>
    <t>38-36</t>
  </si>
  <si>
    <t>38-37</t>
  </si>
  <si>
    <t>38-38</t>
  </si>
  <si>
    <t>38-39</t>
  </si>
  <si>
    <t>38-40</t>
  </si>
  <si>
    <t>38-41</t>
  </si>
  <si>
    <t>38-42</t>
  </si>
  <si>
    <t>38-43</t>
  </si>
  <si>
    <t>38-44</t>
  </si>
  <si>
    <t>38-45</t>
  </si>
  <si>
    <t>38-46</t>
  </si>
  <si>
    <t>38-47</t>
  </si>
  <si>
    <t>38-48</t>
  </si>
  <si>
    <t>38-49</t>
  </si>
  <si>
    <t>38-50</t>
  </si>
  <si>
    <t>38-51</t>
  </si>
  <si>
    <t>38-52</t>
  </si>
  <si>
    <t>38-53</t>
  </si>
  <si>
    <t>38-54</t>
  </si>
  <si>
    <t>38-55</t>
  </si>
  <si>
    <t>38-56</t>
  </si>
  <si>
    <t>38-57</t>
  </si>
  <si>
    <t>38-58</t>
  </si>
  <si>
    <t>38-59</t>
  </si>
  <si>
    <t>38-60</t>
  </si>
  <si>
    <t>39-1</t>
  </si>
  <si>
    <t>39-2</t>
  </si>
  <si>
    <t>39-3</t>
  </si>
  <si>
    <t>39-4</t>
  </si>
  <si>
    <t>39-5</t>
  </si>
  <si>
    <t>39-6</t>
  </si>
  <si>
    <t>39-7</t>
  </si>
  <si>
    <t>39-8</t>
  </si>
  <si>
    <t>39-9</t>
  </si>
  <si>
    <t>39-10</t>
  </si>
  <si>
    <t>39-11</t>
  </si>
  <si>
    <t>39-12</t>
  </si>
  <si>
    <t>39-13</t>
  </si>
  <si>
    <t>39-14</t>
  </si>
  <si>
    <t>39-15</t>
  </si>
  <si>
    <t>39-16</t>
  </si>
  <si>
    <t>39-17</t>
  </si>
  <si>
    <t>39-18</t>
  </si>
  <si>
    <t>39-19</t>
  </si>
  <si>
    <t>39-20</t>
  </si>
  <si>
    <t>39-21</t>
  </si>
  <si>
    <t>39-22</t>
  </si>
  <si>
    <t>39-23</t>
  </si>
  <si>
    <t>39-24</t>
  </si>
  <si>
    <t>39-25</t>
  </si>
  <si>
    <t>39-26</t>
  </si>
  <si>
    <t>39-27</t>
  </si>
  <si>
    <t>39-28</t>
  </si>
  <si>
    <t>39-29</t>
  </si>
  <si>
    <t>39-30</t>
  </si>
  <si>
    <t>39-31</t>
  </si>
  <si>
    <t>39-32</t>
  </si>
  <si>
    <t>39-33</t>
  </si>
  <si>
    <t>39-34</t>
  </si>
  <si>
    <t>39-35</t>
  </si>
  <si>
    <t>39-36</t>
  </si>
  <si>
    <t>39-37</t>
  </si>
  <si>
    <t>39-38</t>
  </si>
  <si>
    <t>39-39</t>
  </si>
  <si>
    <t>39-40</t>
  </si>
  <si>
    <t>39-41</t>
  </si>
  <si>
    <t>39-42</t>
  </si>
  <si>
    <t>39-43</t>
  </si>
  <si>
    <t>39-44</t>
  </si>
  <si>
    <t>39-45</t>
  </si>
  <si>
    <t>39-46</t>
  </si>
  <si>
    <t>39-47</t>
  </si>
  <si>
    <t>39-48</t>
  </si>
  <si>
    <t>39-49</t>
  </si>
  <si>
    <t>39-50</t>
  </si>
  <si>
    <t>39-51</t>
  </si>
  <si>
    <t>39-52</t>
  </si>
  <si>
    <t>39-53</t>
  </si>
  <si>
    <t>39-54</t>
  </si>
  <si>
    <t>39-55</t>
  </si>
  <si>
    <t>39-56</t>
  </si>
  <si>
    <t>39-57</t>
  </si>
  <si>
    <t>39-58</t>
  </si>
  <si>
    <t>39-59</t>
  </si>
  <si>
    <t>39-60</t>
  </si>
  <si>
    <t>40-1</t>
  </si>
  <si>
    <t>40-2</t>
  </si>
  <si>
    <t>40-3</t>
  </si>
  <si>
    <t>40-4</t>
  </si>
  <si>
    <t>40-5</t>
  </si>
  <si>
    <t>40-6</t>
  </si>
  <si>
    <t>40-7</t>
  </si>
  <si>
    <t>40-8</t>
  </si>
  <si>
    <t>40-9</t>
  </si>
  <si>
    <t>40-10</t>
  </si>
  <si>
    <t>40-11</t>
  </si>
  <si>
    <t>40-12</t>
  </si>
  <si>
    <t>40-13</t>
  </si>
  <si>
    <t>40-14</t>
  </si>
  <si>
    <t>40-15</t>
  </si>
  <si>
    <t>40-16</t>
  </si>
  <si>
    <t>40-17</t>
  </si>
  <si>
    <t>40-18</t>
  </si>
  <si>
    <t>40-19</t>
  </si>
  <si>
    <t>40-20</t>
  </si>
  <si>
    <t>40-21</t>
  </si>
  <si>
    <t>40-22</t>
  </si>
  <si>
    <t>40-23</t>
  </si>
  <si>
    <t>40-24</t>
  </si>
  <si>
    <t>40-25</t>
  </si>
  <si>
    <t>40-26</t>
  </si>
  <si>
    <t>40-27</t>
  </si>
  <si>
    <t>40-28</t>
  </si>
  <si>
    <t>40-29</t>
  </si>
  <si>
    <t>40-30</t>
  </si>
  <si>
    <t>40-31</t>
  </si>
  <si>
    <t>40-32</t>
  </si>
  <si>
    <t>40-33</t>
  </si>
  <si>
    <t>40-34</t>
  </si>
  <si>
    <t>40-35</t>
  </si>
  <si>
    <t>40-36</t>
  </si>
  <si>
    <t>40-37</t>
  </si>
  <si>
    <t>40-38</t>
  </si>
  <si>
    <t>40-39</t>
  </si>
  <si>
    <t>40-40</t>
  </si>
  <si>
    <t>40-41</t>
  </si>
  <si>
    <t>40-42</t>
  </si>
  <si>
    <t>40-43</t>
  </si>
  <si>
    <t>40-44</t>
  </si>
  <si>
    <t>40-45</t>
  </si>
  <si>
    <t>40-46</t>
  </si>
  <si>
    <t>40-47</t>
  </si>
  <si>
    <t>40-48</t>
  </si>
  <si>
    <t>40-49</t>
  </si>
  <si>
    <t>40-50</t>
  </si>
  <si>
    <t>40-51</t>
  </si>
  <si>
    <t>40-52</t>
  </si>
  <si>
    <t>40-53</t>
  </si>
  <si>
    <t>40-54</t>
  </si>
  <si>
    <t>40-55</t>
  </si>
  <si>
    <t>40-56</t>
  </si>
  <si>
    <t>40-57</t>
  </si>
  <si>
    <t>40-58</t>
  </si>
  <si>
    <t>40-59</t>
  </si>
  <si>
    <t>40-60</t>
  </si>
  <si>
    <t>Итого</t>
  </si>
  <si>
    <t>Расчет параметров БВР и потребности материалов</t>
  </si>
  <si>
    <t>Предприятие</t>
  </si>
  <si>
    <t>АО "Поиск Золото"</t>
  </si>
  <si>
    <t>Месторождение</t>
  </si>
  <si>
    <t>Хаптагай-Хая</t>
  </si>
  <si>
    <t>Блок</t>
  </si>
  <si>
    <t>Дата проведения взрыва</t>
  </si>
  <si>
    <t>Начало зарядки скважин</t>
  </si>
  <si>
    <t>07-00</t>
  </si>
  <si>
    <t>Окончание зарядки скважин</t>
  </si>
  <si>
    <t>17-00</t>
  </si>
  <si>
    <t>Время начала взрыва</t>
  </si>
  <si>
    <t>18-00</t>
  </si>
  <si>
    <t>Время окончания взрыва</t>
  </si>
  <si>
    <t>Параметр</t>
  </si>
  <si>
    <t>Ед. изм.</t>
  </si>
  <si>
    <t>Значение</t>
  </si>
  <si>
    <t>Расположение скважин</t>
  </si>
  <si>
    <t>Шахматное</t>
  </si>
  <si>
    <t>Тип ВВ</t>
  </si>
  <si>
    <t>АС пористая</t>
  </si>
  <si>
    <t>Плотность ВВ в заряде</t>
  </si>
  <si>
    <t>г/cм.куб</t>
  </si>
  <si>
    <t>Вид дизельного топлива</t>
  </si>
  <si>
    <t>Зимнее</t>
  </si>
  <si>
    <t>Усредненная температура окружающего воздуха</t>
  </si>
  <si>
    <t>Плотность дизельного топлива</t>
  </si>
  <si>
    <t>Условный диаметр скважин</t>
  </si>
  <si>
    <t>м</t>
  </si>
  <si>
    <t>k использования скважины (Кис)</t>
  </si>
  <si>
    <t>k работоспособности Игданита к аммониту 6-ЖВ</t>
  </si>
  <si>
    <t>Плотность пород на месторождении</t>
  </si>
  <si>
    <t>кг/м.куб</t>
  </si>
  <si>
    <t>k трещиноватости пород</t>
  </si>
  <si>
    <t>Превышение верхней отметки взрываемого участка над участком границы опасной зоны</t>
  </si>
  <si>
    <t>Сеть бурения скважин</t>
  </si>
  <si>
    <t>Расстояние между скважинами</t>
  </si>
  <si>
    <t>Расстояние между рядами скважин</t>
  </si>
  <si>
    <t>Площадь взрываемого массива на 1 скв</t>
  </si>
  <si>
    <t>м.кв/скв</t>
  </si>
  <si>
    <t>Расход селитры на 1 п.м</t>
  </si>
  <si>
    <t>кг/пог.м</t>
  </si>
  <si>
    <t>Выход горной массы с 1 п.м</t>
  </si>
  <si>
    <t>м.куб/пог.м</t>
  </si>
  <si>
    <t>Удельный расход ВВ</t>
  </si>
  <si>
    <t>Количество рядов</t>
  </si>
  <si>
    <t>шт</t>
  </si>
  <si>
    <t>Количество скважин</t>
  </si>
  <si>
    <t>Площадь взрываемого массива</t>
  </si>
  <si>
    <t>м.кв</t>
  </si>
  <si>
    <t>Объем взрываемого массива (по маркшейдерским данным)</t>
  </si>
  <si>
    <t>м.куб</t>
  </si>
  <si>
    <t>Общий объем бурения</t>
  </si>
  <si>
    <t>п.м</t>
  </si>
  <si>
    <t>Средняя глубина скважин</t>
  </si>
  <si>
    <t>Средняя высота уступа</t>
  </si>
  <si>
    <t>Средняя глубина перебура</t>
  </si>
  <si>
    <t>Средняя длина заряда</t>
  </si>
  <si>
    <t>Средняя длина забойки</t>
  </si>
  <si>
    <t>ЛСПП</t>
  </si>
  <si>
    <t>Коэффициент сближения зарядов</t>
  </si>
  <si>
    <t>Расчет ВВ</t>
  </si>
  <si>
    <t>Общая масса заряда, в т.ч.:</t>
  </si>
  <si>
    <t>кг</t>
  </si>
  <si>
    <t>А.С.</t>
  </si>
  <si>
    <t>Д.Т.</t>
  </si>
  <si>
    <t>л</t>
  </si>
  <si>
    <t>Средняя масса заряда в 1 скважине, в т.ч:</t>
  </si>
  <si>
    <t>Расчет средств инициирования</t>
  </si>
  <si>
    <t>Искра-С (500 мс)</t>
  </si>
  <si>
    <t>Искра-П (67 мс)</t>
  </si>
  <si>
    <t>Искра-П (42 мс)</t>
  </si>
  <si>
    <t>Искра-В (Старт-600м)</t>
  </si>
  <si>
    <t xml:space="preserve"> АКЦИОНЕРНОЕ ОБЩЕСТВО</t>
  </si>
  <si>
    <t>П Р О Е К Т</t>
  </si>
  <si>
    <t xml:space="preserve">М А С C О В О Г О    В З Р Ы В А </t>
  </si>
  <si>
    <t>п. Усть – Нера</t>
  </si>
  <si>
    <t>АКТ</t>
  </si>
  <si>
    <t>о готовности блока к заряжанию</t>
  </si>
  <si>
    <t xml:space="preserve">   </t>
  </si>
  <si>
    <t>"______"</t>
  </si>
  <si>
    <t>полностью забурен и подготовлен  к заряжанию в следующих параметрах:</t>
  </si>
  <si>
    <t>1.      Средняя глубина скважин</t>
  </si>
  <si>
    <t>2.      Площадь блока</t>
  </si>
  <si>
    <t>тыс.м2</t>
  </si>
  <si>
    <t>3.      Количество скважин</t>
  </si>
  <si>
    <t>шт.</t>
  </si>
  <si>
    <t xml:space="preserve"> </t>
  </si>
  <si>
    <t>4.      Объем торфов на взрыв</t>
  </si>
  <si>
    <t>тыс.м3</t>
  </si>
  <si>
    <t xml:space="preserve">                  Ответственный:</t>
  </si>
  <si>
    <t xml:space="preserve">                  руководитель ВР </t>
  </si>
  <si>
    <t xml:space="preserve">   Маркшейдер  </t>
  </si>
  <si>
    <t xml:space="preserve">    </t>
  </si>
  <si>
    <t>С проектом массового взрыва ознакомлены и проинструктированы:</t>
  </si>
  <si>
    <t>Ф.И.О.</t>
  </si>
  <si>
    <t>Профессия</t>
  </si>
  <si>
    <t>Роспись</t>
  </si>
  <si>
    <t>Взрывник</t>
  </si>
  <si>
    <t xml:space="preserve">Водитель </t>
  </si>
  <si>
    <t>РАСПОРЯДОК</t>
  </si>
  <si>
    <t>проведения массового взрыва</t>
  </si>
  <si>
    <t xml:space="preserve">         </t>
  </si>
  <si>
    <t xml:space="preserve">1.    Дата взрыва         </t>
  </si>
  <si>
    <t>месторождение</t>
  </si>
  <si>
    <t xml:space="preserve">11.  Место расположения взрывной станции:  согласно схемы                                                  </t>
  </si>
  <si>
    <t>12.  Опасная зона:</t>
  </si>
  <si>
    <t xml:space="preserve">13.  Объекты находящиеся в опасной зоне:         </t>
  </si>
  <si>
    <t>ЛЭП-6кв</t>
  </si>
  <si>
    <t>14.   Мероприятия по предотвращению повреждений охраняемых объектов:</t>
  </si>
  <si>
    <t>Отключение и демонтаж линии электропередач  ЛЭП - 6кв</t>
  </si>
  <si>
    <t>15.   Оборудование отводится от ближайшей скважины:</t>
  </si>
  <si>
    <t xml:space="preserve">           </t>
  </si>
  <si>
    <t>экскаваторы на  600м.</t>
  </si>
  <si>
    <t>буровые станки на 600м.</t>
  </si>
  <si>
    <t>16.  Схема расстановки постов охраны опасной зоны, прилагается.</t>
  </si>
  <si>
    <t>17.  Ответственным руководителем массового взрыва назначен:</t>
  </si>
  <si>
    <t xml:space="preserve">                                    (должность, фамилия, инициалы)</t>
  </si>
  <si>
    <t xml:space="preserve"> 18. Подвозка взрывчатых материалов к месту взрыва производится:</t>
  </si>
  <si>
    <t>(вид транспортного средства)</t>
  </si>
  <si>
    <t>сопровождающее лицо:</t>
  </si>
  <si>
    <t xml:space="preserve">    (должность, Ф.И.О.)</t>
  </si>
  <si>
    <t>19.   Для очистки скважин перед заряжанием используется:</t>
  </si>
  <si>
    <t>(технические средства)</t>
  </si>
  <si>
    <t>обслуживаемая бригада:</t>
  </si>
  <si>
    <t>(Фамилия и инициалы работников)</t>
  </si>
  <si>
    <t>ТАБЛИЦА</t>
  </si>
  <si>
    <t>параметров взрывных работ</t>
  </si>
  <si>
    <t>Глубина скважин, м</t>
  </si>
  <si>
    <t>Расстояние между скважинами, м</t>
  </si>
  <si>
    <t>Расстояние между рядами, м</t>
  </si>
  <si>
    <t>Диаметр скважины, мм</t>
  </si>
  <si>
    <t>Масса заряда в скважине, кг</t>
  </si>
  <si>
    <t>Длина заряда, м</t>
  </si>
  <si>
    <t>Длина забойки, м</t>
  </si>
  <si>
    <t>Р</t>
  </si>
  <si>
    <t>Ф</t>
  </si>
  <si>
    <t>Расчетная формула усредненного веса заряда:</t>
  </si>
  <si>
    <t>Общая масса заряда:</t>
  </si>
  <si>
    <t>Потребляемое кол-во СИ:</t>
  </si>
  <si>
    <t>1. Гранулит М (АС+ДТ)</t>
  </si>
  <si>
    <t>1. ИСКРА-В-Старт</t>
  </si>
  <si>
    <t>2. Селитра / скв.</t>
  </si>
  <si>
    <t>2. ИСКРА-С(500мс)</t>
  </si>
  <si>
    <t>3. Дизельное топливо</t>
  </si>
  <si>
    <t>Итого ВМ:</t>
  </si>
  <si>
    <t>3. ИСКРА-П (42 мс)</t>
  </si>
  <si>
    <t xml:space="preserve">Итого: </t>
  </si>
  <si>
    <t>4. ИСКРА-П (67 мс)</t>
  </si>
  <si>
    <t>Расчет составил:</t>
  </si>
  <si>
    <t>Расчет проверил:</t>
  </si>
  <si>
    <t xml:space="preserve">  </t>
  </si>
  <si>
    <t xml:space="preserve">(кем, когда)   </t>
  </si>
  <si>
    <t xml:space="preserve">(должность, Ф.И.О)   </t>
  </si>
  <si>
    <t>2.    Ответственным за вывод людей с территории запретной и опасной зон</t>
  </si>
  <si>
    <t>назначен:</t>
  </si>
  <si>
    <t>3.    Ответсвенным за заряжание и монтаж взрывной (электровзрывной) сети</t>
  </si>
  <si>
    <t xml:space="preserve">5.    Ответственным за охрану запретной и опасной зон назначен: </t>
  </si>
  <si>
    <t xml:space="preserve">6.    Ответственным за отключение электроэнергии, удаление в безопасное место эл/оборудования перед взрывом, а также за проверку и подключение ее после </t>
  </si>
  <si>
    <t>взрыва назначен:</t>
  </si>
  <si>
    <t xml:space="preserve">7.    Ответственным за подачу звуковых сигналов и световых сигналов назначен: </t>
  </si>
  <si>
    <t>8.     Ответственным за оповещение соседних предприятий, подразделений назначен:</t>
  </si>
  <si>
    <t xml:space="preserve">9.     Подача сигналов проводится по распоряжению: </t>
  </si>
  <si>
    <t>Исполнитель:</t>
  </si>
  <si>
    <t xml:space="preserve">                                                                        </t>
  </si>
  <si>
    <t xml:space="preserve"> (фамилия, инициалы)</t>
  </si>
  <si>
    <t xml:space="preserve">звуковая сирена установленная на зарядно-смесительной машине МЗ-3Б </t>
  </si>
  <si>
    <t>(технические средства, исполнители)</t>
  </si>
  <si>
    <t xml:space="preserve">10.   После выставления постов подается предупредительный сигнал: </t>
  </si>
  <si>
    <t xml:space="preserve">один продолжительный звуковой, оператором МЗ-3Б  </t>
  </si>
  <si>
    <t xml:space="preserve">11.   По указанию ответственного за вывод людей все люди не занятые заряжанием, должны удалится за пределы опасной зоны:  </t>
  </si>
  <si>
    <t xml:space="preserve">        место  расположения – столовая  вахтового поселка, согласно схемы      </t>
  </si>
  <si>
    <t>(указать куда)</t>
  </si>
  <si>
    <t xml:space="preserve">12.  Осуществляются перечисленные в распорядке проведения массового взрыва дополнительные меры безопасности, связанные с вводом запретной зоны- запрещается проход не задействованных на зарядке работников, запрещен проезд техники.  </t>
  </si>
  <si>
    <t>13. Заряжание скважин осуществляет:</t>
  </si>
  <si>
    <t>(фамилия, инициалы)</t>
  </si>
  <si>
    <t xml:space="preserve">14.  Место сбора лиц, выполняющих заряжание, перед выходом из запретной зоны:                   </t>
  </si>
  <si>
    <t>пост №1</t>
  </si>
  <si>
    <t xml:space="preserve">15.  По завершению заряжания выставляются посты охраны опасной зоны. </t>
  </si>
  <si>
    <t>1.   Укладку в заряды боевиков с капсюлем, монтаж электровзрывной сети осуществляет:</t>
  </si>
  <si>
    <t>(должность, фамилия, инициалы, дата, подпись)</t>
  </si>
  <si>
    <t>под руководством:   ответственного руководителя ВР</t>
  </si>
  <si>
    <t>(должность, фамилия, инициалы)</t>
  </si>
  <si>
    <t>2.      Боевой сигнал:</t>
  </si>
  <si>
    <t>два длинных звуковых, оператором МЗ-3Б</t>
  </si>
  <si>
    <t xml:space="preserve">(вид сигнала, кем подается) </t>
  </si>
  <si>
    <t>3.        После подачи боевого сигнала производится взрыв:</t>
  </si>
  <si>
    <t>неэлектрический</t>
  </si>
  <si>
    <t>(способ взрывания)</t>
  </si>
  <si>
    <t>4.       Сигнал отбой:</t>
  </si>
  <si>
    <t>три коротких после осмотра места взрыва</t>
  </si>
  <si>
    <t xml:space="preserve">                                                            (вид сигнала, кем подается)</t>
  </si>
  <si>
    <t xml:space="preserve">после получения указания от ответственного руководителя ВР    </t>
  </si>
  <si>
    <t>5.   Время проветривания и допуска людей: в карьер, к месту взрыва __00_ час __30_ мин.</t>
  </si>
  <si>
    <t xml:space="preserve">6.       С распорядком проведения массового взрыва ознакомлены:                                                                                </t>
  </si>
  <si>
    <t>(ПОДПИСИ)</t>
  </si>
  <si>
    <t>Ответственный руководитель взрывных работ:</t>
  </si>
  <si>
    <t>Ответственный за вывод людей из опасной и запретной зон:</t>
  </si>
  <si>
    <t>Ответственный руководитель ВР в смене:</t>
  </si>
  <si>
    <t>Ответственный за заряжание и монтаж взрывной сети:</t>
  </si>
  <si>
    <t>Ответственный за вывод внутрикарьерного транспорта:</t>
  </si>
  <si>
    <t>Ответственный за отключение электроэнергии:</t>
  </si>
  <si>
    <t>Ответственный за охрану запретной и опасной зон:</t>
  </si>
  <si>
    <t>Ответственный за подачу сигналов:</t>
  </si>
  <si>
    <t>Ответственный за оповещение соседних предприятий:</t>
  </si>
  <si>
    <t>Распорядок проведения массового взрыва составил:</t>
  </si>
  <si>
    <t>Распорядок проведения массового взрыва проверил:</t>
  </si>
  <si>
    <t xml:space="preserve">      П Р И К А З   №   37-ВМ</t>
  </si>
  <si>
    <t>п. Усть-Нера</t>
  </si>
  <si>
    <t>О производстве массового взрыва</t>
  </si>
  <si>
    <t>блок №</t>
  </si>
  <si>
    <t xml:space="preserve">              Согласно графику производства массовых взрывов и проекта горных работ на участке</t>
  </si>
  <si>
    <t xml:space="preserve"> часов  будет произведен массовый взрыв. </t>
  </si>
  <si>
    <t>В целях обеспечения безопасности работ и сохранности ВМ,</t>
  </si>
  <si>
    <t>ПРИКАЗЫВАЮ:</t>
  </si>
  <si>
    <t xml:space="preserve">1.  Проект производства массового взрыва на </t>
  </si>
  <si>
    <t>назначить :</t>
  </si>
  <si>
    <t xml:space="preserve">5.      Непосредственное руководство работой персонала  при подготовке и проведении массового взрыва, учет и сохранность  ВМ при заряжании скважин возложить на:  </t>
  </si>
  <si>
    <t>7.      Директор прииска обязан обеспечить подготовку и проведение массового взрыва: автотранспортом, рабочим персоналом для: забойки скважин и загрузки АС в СЗМ, а так же для назначения на посты охраны опасной зоны взрывных работ.</t>
  </si>
  <si>
    <t>8.      Ответственность за отключение электроэнергии возложить на:</t>
  </si>
  <si>
    <t xml:space="preserve">9.      Зарядку скважин произвести:  </t>
  </si>
  <si>
    <t xml:space="preserve">    (сырые скважины зарядить с использованием полиэтиленового рукава)</t>
  </si>
  <si>
    <t>10.  Взрыв произвести:</t>
  </si>
  <si>
    <t>15. Оповещение диспетчера АО "Поиск Золото" о времени провидения массового взрыва за 30мин. До начала МВ. Лахманов А.В.</t>
  </si>
  <si>
    <t xml:space="preserve">16. Все назначенные настоящим приказом ответственные лица на период подготовки  и производства взрывных работ подчиняются ответственному руководителю массового взрыва. </t>
  </si>
  <si>
    <t>17. Контроль за исполнением настоящего приказа оставляю за собой.</t>
  </si>
  <si>
    <t>РАСПОРЯЖЕНИЕ</t>
  </si>
  <si>
    <t>о расстановке постов оцепления по охране опасной зоны</t>
  </si>
  <si>
    <t xml:space="preserve">взрыв </t>
  </si>
  <si>
    <t>время взрыва с</t>
  </si>
  <si>
    <t>часов</t>
  </si>
  <si>
    <t>Пост №1 – перекрывает подходы со стороны _____________________________________</t>
  </si>
  <si>
    <t>Ответственный ____________________ (подпись) _________________________________</t>
  </si>
  <si>
    <t>Пост №2 – перекрывает подходы со стороны _____________________________________</t>
  </si>
  <si>
    <t>Пост №3 – перекрывает подходы со стороны _____________________________________</t>
  </si>
  <si>
    <t>Пост №4 – перекрывает подходы со стороны _____________________________________</t>
  </si>
  <si>
    <t>Пост №5 – перекрывает подходы со стороны _____________________________________</t>
  </si>
  <si>
    <t>ВСЕМ  ПОСТОВЫМ!</t>
  </si>
  <si>
    <t xml:space="preserve">1. Бдительно наблюдать за местностью, самовольно не покидать пост и никого не пропускать в опасную зону. </t>
  </si>
  <si>
    <t>2. Внимательно следить за подаваемыми сигналами:</t>
  </si>
  <si>
    <t>ОДИН ДЛИННЫЙ звуковой сигнал    -       предупредительный</t>
  </si>
  <si>
    <t>ДВА ДЛИННЫХ звуковых сигнала     -       боевой</t>
  </si>
  <si>
    <t>ТРИ  КОРОТКИХ звуковых сигнала    -       отбой</t>
  </si>
  <si>
    <t xml:space="preserve">Ответственный за выставление постов опасной зоны:  </t>
  </si>
  <si>
    <t xml:space="preserve">Расчет параметров буровзрывных работ и потребности материалов </t>
  </si>
  <si>
    <t>Линия сопротивления по подошве уступа (ЛСПП)   для вертикального заряда рассчитывается по формуле:</t>
  </si>
  <si>
    <t xml:space="preserve">где: kт  -  коэффициент местных геологических условий, значения которого находятся в диапазоне 0,9-1,2; меньшее значение соответствует монолитным, крупноблочным, вязким породам, большее – слабым, мелкоблочным, полускальным породам; kт </t>
  </si>
  <si>
    <t xml:space="preserve">            - плотность ВВ в заряде, кг/м3, </t>
  </si>
  <si>
    <t xml:space="preserve">Wп = </t>
  </si>
  <si>
    <t>*</t>
  </si>
  <si>
    <t>-</t>
  </si>
  <si>
    <t>=</t>
  </si>
  <si>
    <t xml:space="preserve">Определение расстояния между скважинами и рядами скважин. </t>
  </si>
  <si>
    <t>Расстояние между скважинными зарядами в ряду (а) определяется по формуле:</t>
  </si>
  <si>
    <t>где: m – коэффициент сближения зарядов. Для нормального дробления коэффициент сближения принимается в зависимости от диаметра взрывных скважин (dскв.) и определяется по формуле:</t>
  </si>
  <si>
    <t>Для инициирования зарядов скважин используется неэлектрические системы ИСКРА С/П, поэтому расстояние между рядами и скважинами будет одинаково:</t>
  </si>
  <si>
    <t>Величина перебура определяется по формуле:</t>
  </si>
  <si>
    <t>, где:</t>
  </si>
  <si>
    <t xml:space="preserve">      - плотность ВВ в заряде,</t>
  </si>
  <si>
    <t>Глубина  скважины устанавливается по формуле:</t>
  </si>
  <si>
    <t xml:space="preserve">Lс = Н + Lпер = </t>
  </si>
  <si>
    <t>+</t>
  </si>
  <si>
    <t>Коэффициент использования скважины (Кис) составит:</t>
  </si>
  <si>
    <t>Кис = H / Lc =</t>
  </si>
  <si>
    <t>:</t>
  </si>
  <si>
    <t>Вес заряда в скважине (Q скв) принимается по фактическим данным каталога скважин:</t>
  </si>
  <si>
    <t>Q скв = Q АС/скв + Q ДТ/скв + Q боевика/скв</t>
  </si>
  <si>
    <t xml:space="preserve">Q АС+ДТ/скв = </t>
  </si>
  <si>
    <t>Q АС/скв = по каталогу скважин / n скв</t>
  </si>
  <si>
    <t xml:space="preserve">Q АС/скв = </t>
  </si>
  <si>
    <t>Q ДТ/скв = по каталогу скважин / n скв</t>
  </si>
  <si>
    <t>Q скв = Q сел/скв + Q дт/скв + Q боевика</t>
  </si>
  <si>
    <t xml:space="preserve">Q скв = </t>
  </si>
  <si>
    <t>где:</t>
  </si>
  <si>
    <t>q — удельный расход ВВ = общая масса ВМ / маркшейдерский объем ВГМ; для проверки, не для пересчета заряда по сетке.</t>
  </si>
  <si>
    <t>а — расстояние между скважинами в ряду, справочно; на контуре фактические отклонения учитываются каталогом.</t>
  </si>
  <si>
    <t>b — расстояние между рядами, справочно; расчет заряда и ВГМ не ведется от сетки из-за смещения контурных рядов.</t>
  </si>
  <si>
    <t>H — высота уступа, фактически по каталогу скважин.</t>
  </si>
  <si>
    <t xml:space="preserve">Вес заряда принимается равным  </t>
  </si>
  <si>
    <t>Длина заряда принимается по фактической длине колонки заряда из каталога скважин:</t>
  </si>
  <si>
    <t>L зар = ΣLзар / n скв =</t>
  </si>
  <si>
    <t>где: Q скв – вес заряда в скважине, кг</t>
  </si>
  <si>
    <t xml:space="preserve">         Р – вместимость погонного метра скважины, кг/пог.м</t>
  </si>
  <si>
    <t>Длина забойки принимается по фактической забойке из каталога скважин:</t>
  </si>
  <si>
    <t>L заб = ΣLзаб / n скв =</t>
  </si>
  <si>
    <t xml:space="preserve">где: </t>
  </si>
  <si>
    <t>Lс – длина скважины, м;</t>
  </si>
  <si>
    <t>Площадь, приходящаяся на одну скважину, справочно:</t>
  </si>
  <si>
    <t>S скв = a * b =</t>
  </si>
  <si>
    <t>кв.м</t>
  </si>
  <si>
    <t>b -  расстояние между рядами скважин, м</t>
  </si>
  <si>
    <t>Выход горной массы по маркшейдерским данным:</t>
  </si>
  <si>
    <t>V гм/пог.м = V маркш. / ΣLс =</t>
  </si>
  <si>
    <t>Сетка бурения в этом расчете справочная, т.к. контурные скважины 2–3 рядов имеют смещение и не соответствуют регулярной сетке 5×5,5 м.</t>
  </si>
  <si>
    <t>Lс – длина скважины, м.</t>
  </si>
  <si>
    <t>V гм/скв = V маркш. / n скв =</t>
  </si>
  <si>
    <t>м.куб/скв</t>
  </si>
  <si>
    <t>V гм = по маркшейдерским данным =</t>
  </si>
  <si>
    <t>Суммарный расход ВВ (игданита) на взрыв составит:</t>
  </si>
  <si>
    <t xml:space="preserve">Расход СИ: </t>
  </si>
  <si>
    <t>Искра Старт (0 мс) : 1 шт</t>
  </si>
  <si>
    <t>Nскв – общее количество скважин на взрыв.</t>
  </si>
  <si>
    <t xml:space="preserve">Основные параметры буровзрывных работ </t>
  </si>
  <si>
    <t>Единица измерения</t>
  </si>
  <si>
    <t>Средний показатель</t>
  </si>
  <si>
    <t>Площадь полигона</t>
  </si>
  <si>
    <t>тыс.кв.м</t>
  </si>
  <si>
    <t>Высота уступа</t>
  </si>
  <si>
    <t>Объем взрыва</t>
  </si>
  <si>
    <t>тыс.куб.м</t>
  </si>
  <si>
    <t>в т.ч. перебур</t>
  </si>
  <si>
    <t>Диаметр скважины</t>
  </si>
  <si>
    <t>мм</t>
  </si>
  <si>
    <t>Коэффициент использования скважины</t>
  </si>
  <si>
    <t>Линия сопротивления по подошве (ЛСПП)</t>
  </si>
  <si>
    <t>Объем бурения скважин</t>
  </si>
  <si>
    <t>пог.м</t>
  </si>
  <si>
    <t>Удельный расход Гранулита М</t>
  </si>
  <si>
    <t>Длина заряда</t>
  </si>
  <si>
    <t>Длина забойки</t>
  </si>
  <si>
    <t>Величина заряда в скважине</t>
  </si>
  <si>
    <t>Выход горной массы на 1 пог.м скважины</t>
  </si>
  <si>
    <t>куб.м</t>
  </si>
  <si>
    <t>Расход Гранулит М</t>
  </si>
  <si>
    <t>т</t>
  </si>
  <si>
    <t>Удельный расход АС на 1 куб.м ГМ</t>
  </si>
  <si>
    <t>кг/куб.м</t>
  </si>
  <si>
    <t>Расход ИСКРА-С</t>
  </si>
  <si>
    <t>Расход Искра-П (67 мс)</t>
  </si>
  <si>
    <t>Расход Искра-П (42 мс)</t>
  </si>
  <si>
    <t>Расход Искра-В (Старт-600м)</t>
  </si>
  <si>
    <t>Расход аммиачной селитры на взрыв</t>
  </si>
  <si>
    <t>Удельный расход аммиачной селитры</t>
  </si>
  <si>
    <t>кг/м3</t>
  </si>
  <si>
    <t>Расчет безопасных расстояний при взрывных работах</t>
  </si>
  <si>
    <t>Расчет производится согласно главе XII ФНП «Правила безопасности при производстве, хранении и применении взрывчатых материалов промышленного назначения».</t>
  </si>
  <si>
    <t>Определение зон, опасных по разлету отдельных кусков породы (грунта)</t>
  </si>
  <si>
    <t xml:space="preserve">        Расстояние, безопасное для людей при взрывании скважинных зарядов, рассчитанных на дробящее действие, определяется по формуле:</t>
  </si>
  <si>
    <t>rраз= 1250 * nз</t>
  </si>
  <si>
    <t>, м</t>
  </si>
  <si>
    <t xml:space="preserve">rраз = </t>
  </si>
  <si>
    <t>где: nзаб - коэффициент заполнения скважины забойкой, равный 1;</t>
  </si>
  <si>
    <t xml:space="preserve">       f – коэффициент крепости пород по шкале М. М. Протодьяконова, f = 4;</t>
  </si>
  <si>
    <t xml:space="preserve">       а – расстояние между скважинами, (м);</t>
  </si>
  <si>
    <t xml:space="preserve">       nз - коэффициент заполнения скважин взрывчатым веществом; </t>
  </si>
  <si>
    <t>Lз  - длина заряда в скважине (м);</t>
  </si>
  <si>
    <t>L с – длина скважины, (м).</t>
  </si>
  <si>
    <t>nз = L з / L c =</t>
  </si>
  <si>
    <t>/</t>
  </si>
  <si>
    <t xml:space="preserve">nзаб = 1, при взрывании с забойки </t>
  </si>
  <si>
    <t>nзаб = lзаб / lн  = 1;</t>
  </si>
  <si>
    <t xml:space="preserve">При производстве взрывных работ на косогорах, а также в условиях превышения верхней отметки взрываемого участка над участками границы опасной зоны более чем на 30 метров, размеры опасной зоны r раз. в направлении вниз по склону увеличиваются и безопасное расстояние по разлету отдельных кусков породы рассчитываются по формуле: </t>
  </si>
  <si>
    <t>R раз = r раз* Кр, м</t>
  </si>
  <si>
    <t>где: R раз – безопасное расстояние по разлету отдельных кусков породы в направлении косогора или местности, расположенной  ниже 30 м, считая от верхней отметки взрываемого участка.</t>
  </si>
  <si>
    <t>Кр - коэффициент, учитывающий особенности рельефа местности, определен по формуле:</t>
  </si>
  <si>
    <t xml:space="preserve">     Кр = </t>
  </si>
  <si>
    <t xml:space="preserve">   0,5 * ( 1 +</t>
  </si>
  <si>
    <t>) =</t>
  </si>
  <si>
    <t xml:space="preserve">R раз = </t>
  </si>
  <si>
    <t>Определение расстояний безопасных по действию
 ударной воздушной волны (УВВ) на здания и сооружения</t>
  </si>
  <si>
    <t>Расчет безопасного расстояния по действию УВВ при взрыве заряда на земной поверхности для зданий и сооружений рассчитывается по формуле:</t>
  </si>
  <si>
    <t>где:   R в - безопасное расстояние, м</t>
  </si>
  <si>
    <t xml:space="preserve">Q – максимальная масса заряда ВВ взрываемого блока, </t>
  </si>
  <si>
    <t>Кв - коэффициент, значения которого зависит от условий расположения заряда, а также от степени повреждения зданий и сооружений</t>
  </si>
  <si>
    <t xml:space="preserve">R в = </t>
  </si>
  <si>
    <t>10  *</t>
  </si>
  <si>
    <t xml:space="preserve">                         Расчет сейсмически безопасных расстояний</t>
  </si>
  <si>
    <t>Кг –  коэффициент, зависящий от свойств грунта в основании охраняемого здания, Kг = 12;</t>
  </si>
  <si>
    <t>Кc – коэффициент, зависящий от типа зданий и характера застройки, Kc = 1,5</t>
  </si>
  <si>
    <t xml:space="preserve">  α – коэффициент, зависящий от условий взрывания (для камуфлетного и взрыва на рыхление α = 1 );</t>
  </si>
  <si>
    <t>N – максимальное количество групп  одновременно взрываемых зарядов, N =2. При наличии повреждений в зданиях после взрыва безопасные расстояния, определенные по выше указанной методике, увеличиваются не менее чем в 2 раза.</t>
  </si>
  <si>
    <t xml:space="preserve">Q – максимальная масса  ВВ одновременно взрываемых зарядов, </t>
  </si>
  <si>
    <t>r c =</t>
  </si>
  <si>
    <t>Расчет расстояний, безопасных по высоте разлета
 отдельных кусков породы</t>
  </si>
  <si>
    <t>Расчет расстояний, безопасных по высоте разлета отдельных кусков породы произведен в соответствии с требованиями п. 831 главы ХII ФНиП ПБ «Правила безопасности при взрывных работах», по формуле:</t>
  </si>
  <si>
    <t>Расчет расстояния, исключающего передачу детонации при хранении ВМ,</t>
  </si>
  <si>
    <t xml:space="preserve"> доставленных к месту работ</t>
  </si>
  <si>
    <t>Расчет расстояния, исключающего передачу детонации при хранении ВМ, доставленных к месту работ,  произведен в соответствии с требованиями п. 845 главы ХII ФНиП ПБ «Правила безопасности при взрывных работах» по формуле:</t>
  </si>
  <si>
    <t>Кд - коэффициент, значение которого зависит от вида взрывчатых материалов зарядов и условий взрыва. Кд = 0,8</t>
  </si>
  <si>
    <t>Q - масса взрывчатых веществ активного заряда, кг;</t>
  </si>
  <si>
    <t>b - меньший линейный размер пассивного заряда (ширина штабеля), м.</t>
  </si>
  <si>
    <t>При расчете расстояния, исключающего передачу детонации при хранении ВМ, рассматриваются ВВ (гранулит М) и средства инициирования. Формулировки приведены в соответствие с действующими ФНП, без ссылки на утратившие силу ПБ 13-407-01.</t>
  </si>
  <si>
    <t xml:space="preserve">Вар. 1. Игданит – активный заряд, электродетонаторы – пассивный. </t>
  </si>
  <si>
    <t xml:space="preserve">Вар. 1. Электродетонаторы – активный заряд, игданит – пассивный. </t>
  </si>
  <si>
    <t>Окончательное значение расстояния, исключающего передачу детонации при хранении ВМ, доставленных к месту работ, принимаем равным 15 м.</t>
  </si>
  <si>
    <t>По результатам расчетов радиус опасной зоны на участке производства взрывных работ принимаем:</t>
  </si>
  <si>
    <t>Принятые расстояния должны быть не менее расчетных по разлету кусков, УВВ, сейсмическому воздействию и высоте разлета; при наличии более жестких требований проекта принимается большее значение.</t>
  </si>
  <si>
    <t xml:space="preserve">Проект массового взрыва со всеми графическими </t>
  </si>
  <si>
    <t>материалами хранится в делах взрывного участка</t>
  </si>
  <si>
    <t xml:space="preserve"> (цеха) до полной отработки взорванного блока.</t>
  </si>
  <si>
    <t xml:space="preserve"> ( ФНиП ПБ «Правила безопасности при взрывных работах)</t>
  </si>
  <si>
    <t>Наименование селитры</t>
  </si>
  <si>
    <t>Плотность</t>
  </si>
  <si>
    <t>Усть-Нера</t>
  </si>
  <si>
    <t>t0C</t>
  </si>
  <si>
    <t>Арктическое</t>
  </si>
  <si>
    <t>Месторождение / участок</t>
  </si>
  <si>
    <t>Подразделение</t>
  </si>
  <si>
    <t>Должность</t>
  </si>
  <si>
    <t>Фамилия Имя Отчество</t>
  </si>
  <si>
    <t>Столбец1</t>
  </si>
  <si>
    <t>Дней до взрыва (для даты подписания проекта)</t>
  </si>
  <si>
    <t>Январь</t>
  </si>
  <si>
    <t>Прямоугольное</t>
  </si>
  <si>
    <t>Февраль</t>
  </si>
  <si>
    <t>Ольчан-Вольник (пойма)</t>
  </si>
  <si>
    <t>Прииск "Талынья"</t>
  </si>
  <si>
    <t>Генеральный директор</t>
  </si>
  <si>
    <t>Каздобин Андрей Витальевич</t>
  </si>
  <si>
    <t>Март</t>
  </si>
  <si>
    <t>Ольчан-Вольник (терраса)</t>
  </si>
  <si>
    <t>Главный инженер</t>
  </si>
  <si>
    <t>Парамонов Вячеслав Иванович</t>
  </si>
  <si>
    <t>Апрель</t>
  </si>
  <si>
    <t>Ольчан-Талынья</t>
  </si>
  <si>
    <t>Начальник участка БВР</t>
  </si>
  <si>
    <t>Сырбу Генадий Петрович</t>
  </si>
  <si>
    <t>Май</t>
  </si>
  <si>
    <t>Ольчан-Покорный</t>
  </si>
  <si>
    <t>Главный геолог</t>
  </si>
  <si>
    <t>Июнь</t>
  </si>
  <si>
    <t>Ольчан-Смородина</t>
  </si>
  <si>
    <t>Главный маркшейдер</t>
  </si>
  <si>
    <t>Ефимов Сергей Федорович</t>
  </si>
  <si>
    <t>Июль</t>
  </si>
  <si>
    <t>Малый Тарын</t>
  </si>
  <si>
    <t>Прииск "Тарын"</t>
  </si>
  <si>
    <t xml:space="preserve"> Главный механик</t>
  </si>
  <si>
    <t>Круглов Сергей Юрьевич</t>
  </si>
  <si>
    <t>Август</t>
  </si>
  <si>
    <t>Нера-Таллах</t>
  </si>
  <si>
    <t>участок "Нера"</t>
  </si>
  <si>
    <t>Главный энергетик</t>
  </si>
  <si>
    <t>Сентябрь</t>
  </si>
  <si>
    <t>Большой Тарын</t>
  </si>
  <si>
    <t>Инженер ОТ и ПБ</t>
  </si>
  <si>
    <t xml:space="preserve">Сорокин Виталий Владимиртвич </t>
  </si>
  <si>
    <t>Ответственный за оповещение диспетчерской службы организации В.Д.</t>
  </si>
  <si>
    <t>Октябрь</t>
  </si>
  <si>
    <t>Сайлык</t>
  </si>
  <si>
    <t>Прииск "Урочище Сайлык"</t>
  </si>
  <si>
    <t>Ответственный руководитель ВР</t>
  </si>
  <si>
    <t>Ноябрь</t>
  </si>
  <si>
    <t>Прииск "Эрел"</t>
  </si>
  <si>
    <t>Ответственный за вывод людей из опасной и запретной зон</t>
  </si>
  <si>
    <t>Декабрь</t>
  </si>
  <si>
    <t>Тирехтях</t>
  </si>
  <si>
    <t>Прииск "Айхал"</t>
  </si>
  <si>
    <t>Старший взрывник</t>
  </si>
  <si>
    <t>Ответственный за укладку в заряды боевиков с ИСКРА-С</t>
  </si>
  <si>
    <t>Второй взрывник</t>
  </si>
  <si>
    <t>Ответственный руководитель ВР в смене</t>
  </si>
  <si>
    <t>Ответственный за заряжание и монтаж электровзрывной сети</t>
  </si>
  <si>
    <t>Ответственный за вывод внутрикарьерного транспорта</t>
  </si>
  <si>
    <t>Ответственный за отключение электроэнергии</t>
  </si>
  <si>
    <t>Маркшейдер</t>
  </si>
  <si>
    <t>КамАЗ 43118 Х 873 МК 14</t>
  </si>
  <si>
    <r>
      <t>r</t>
    </r>
    <r>
      <rPr>
        <vertAlign val="subscript"/>
        <sz val="12"/>
        <color theme="1"/>
        <rFont val="Calibri"/>
        <family val="2"/>
        <charset val="204"/>
        <scheme val="minor"/>
      </rPr>
      <t>д</t>
    </r>
    <r>
      <rPr>
        <sz val="12"/>
        <color theme="1"/>
        <rFont val="Calibri"/>
        <family val="2"/>
        <charset val="204"/>
        <scheme val="minor"/>
      </rPr>
      <t xml:space="preserve">  - безопасное расстояние от центра активного заряда до поверхности пассивного заряда, м; </t>
    </r>
  </si>
  <si>
    <t>Инструктаж работников провёл:</t>
  </si>
  <si>
    <t xml:space="preserve">2.     Ответственным руководителем массового взрыва </t>
  </si>
  <si>
    <t xml:space="preserve">разработанный на основании типового </t>
  </si>
  <si>
    <t xml:space="preserve"> проекта,  утвердить.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</si>
  <si>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зар</t>
    </r>
    <r>
      <rPr>
        <sz val="11"/>
        <color theme="1"/>
        <rFont val="Calibri"/>
        <family val="2"/>
        <charset val="204"/>
        <scheme val="minor"/>
      </rPr>
      <t xml:space="preserve"> - диаметр заряда, м. Так как предполагается использование не патронированного ВВ,  </t>
    </r>
  </si>
  <si>
    <r>
      <t>К</t>
    </r>
    <r>
      <rPr>
        <vertAlign val="subscript"/>
        <sz val="11"/>
        <color theme="1"/>
        <rFont val="Calibri"/>
        <family val="2"/>
        <charset val="204"/>
        <scheme val="minor"/>
      </rPr>
      <t>n</t>
    </r>
    <r>
      <rPr>
        <sz val="11"/>
        <color theme="1"/>
        <rFont val="Calibri"/>
        <family val="2"/>
        <charset val="204"/>
        <scheme val="minor"/>
      </rPr>
      <t xml:space="preserve"> - поправочный коэффициент к расчету значения ЛСПП, принимаем равным 0,8</t>
    </r>
  </si>
  <si>
    <t xml:space="preserve">                                Wп = 53 * kт * dзар                      , м</t>
  </si>
  <si>
    <t>ΣLс — фактические п.м бурения.</t>
  </si>
  <si>
    <t xml:space="preserve">где:      </t>
  </si>
  <si>
    <t>а -  расстояние между скважинами в ряду, м</t>
  </si>
  <si>
    <t xml:space="preserve">где                              V маркш. — объем взорванной горной массы по маркшейдерским данным;                                                     </t>
  </si>
  <si>
    <t>где:                                 n скв - количество скважин</t>
  </si>
  <si>
    <t xml:space="preserve">   Скважины   пробурены в соответствии с проектом и очищены. Блок  очищен  от посторонних предметов и металлолома.</t>
  </si>
  <si>
    <t>2.    Место взрыва:</t>
  </si>
  <si>
    <t>3.    Время взрыва:</t>
  </si>
  <si>
    <t xml:space="preserve">4.    Зарядка производится:       </t>
  </si>
  <si>
    <t xml:space="preserve">6.    Общее количество взрываемых скважин  (шт.)          </t>
  </si>
  <si>
    <t xml:space="preserve">10.  Порядок монтажа взрывной сети:  к  источнику  тока                                           </t>
  </si>
  <si>
    <t>для людей: 1000 м.</t>
  </si>
  <si>
    <t>для оборудования: 600м.</t>
  </si>
  <si>
    <t>для сооружений: 600 м.</t>
  </si>
  <si>
    <t>«УТВЕРЖДАЮ»</t>
  </si>
  <si>
    <t xml:space="preserve">9.   Схема взрывания с указанием величин интервалов замедлений: Схема волновая 42/67 </t>
  </si>
  <si>
    <t>4.   Ответственным за вывод внутрикарьерного транспорта из запретной и опасной зон</t>
  </si>
  <si>
    <t xml:space="preserve">        -коэффициент заполнения скважины забойкой равен отношению длины забойки lзаб (м) к длине свободной от заряда верхней части скважины lн (м)    При полном заполнении забойкой, свободной от заряда верхней части скважины 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</si>
  <si>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 разл.в. </t>
    </r>
    <r>
      <rPr>
        <sz val="11"/>
        <color theme="1"/>
        <rFont val="Calibri"/>
        <family val="2"/>
        <charset val="204"/>
        <scheme val="minor"/>
      </rPr>
      <t xml:space="preserve">= 1,4 * r </t>
    </r>
    <r>
      <rPr>
        <vertAlign val="subscript"/>
        <sz val="11"/>
        <color theme="1"/>
        <rFont val="Calibri"/>
        <family val="2"/>
        <charset val="204"/>
        <scheme val="minor"/>
      </rPr>
      <t>разл.</t>
    </r>
  </si>
  <si>
    <r>
      <t xml:space="preserve">r </t>
    </r>
    <r>
      <rPr>
        <vertAlign val="subscript"/>
        <sz val="11"/>
        <color theme="1"/>
        <rFont val="Calibri"/>
        <family val="2"/>
        <charset val="204"/>
        <scheme val="minor"/>
      </rPr>
      <t>разл.в.</t>
    </r>
    <r>
      <rPr>
        <sz val="11"/>
        <color theme="1"/>
        <rFont val="Calibri"/>
        <family val="2"/>
        <charset val="204"/>
        <scheme val="minor"/>
      </rPr>
      <t xml:space="preserve"> = </t>
    </r>
  </si>
  <si>
    <t xml:space="preserve">           Расчет безопасного расстояния по сейсмическому действию при короткозамедленном взрывании групп зарядов с замедлением между группами  не менее 20 мс рассчитывается по формуле:</t>
  </si>
  <si>
    <t>Россыпное месторождение:</t>
  </si>
  <si>
    <t>блок:</t>
  </si>
  <si>
    <t>Шмелёв Сергей Владимирович</t>
  </si>
  <si>
    <t>Фурман Александр Сергеевич</t>
  </si>
  <si>
    <t xml:space="preserve"> П-10; С1-13б</t>
  </si>
  <si>
    <t>СБШ-250</t>
  </si>
  <si>
    <t>Сорокин В.В.</t>
  </si>
  <si>
    <t>Лаврентиев Д. М.</t>
  </si>
  <si>
    <t>Пикущий Ю. П.</t>
  </si>
  <si>
    <t>Коннов Н. Е.</t>
  </si>
  <si>
    <t>Фурман А. С.</t>
  </si>
  <si>
    <t>Думолакас Д. В.</t>
  </si>
  <si>
    <t>Гаршин И. Г.</t>
  </si>
  <si>
    <t>Гонин С. В.</t>
  </si>
  <si>
    <t>Григорьев В. С.</t>
  </si>
  <si>
    <t xml:space="preserve"> Начальник участка "Хаптагай-Хая"</t>
  </si>
  <si>
    <t>Начальник участка "Хаптагай-Хая"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</si>
</sst>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"/>
    <numFmt numFmtId="166" formatCode="#,##0.000"/>
    <numFmt numFmtId="167" formatCode="#,##0.0"/>
    <numFmt numFmtId="168" formatCode="[$-419]d\ mmm\ yy;@"/>
  </numFmts>
  <fonts count="45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10"/>
      <name val="Arial Cyr"/>
      <charset val="204"/>
    </font>
    <font>
      <i/>
      <sz val="10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b/>
      <sz val="10"/>
      <color theme="0"/>
      <name val="Calibri"/>
      <family val="2"/>
      <charset val="204"/>
      <scheme val="minor"/>
    </font>
    <font>
      <b/>
      <sz val="10"/>
      <color theme="4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b/>
      <sz val="13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</font>
    <font>
      <b/>
      <sz val="13"/>
      <color theme="1"/>
      <name val="Calibri"/>
      <family val="2"/>
      <charset val="204"/>
    </font>
    <font>
      <b/>
      <sz val="12"/>
      <color theme="1"/>
      <name val="Calibri"/>
      <family val="2"/>
      <charset val="204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i/>
      <sz val="12"/>
      <color theme="1"/>
      <name val="Calibri"/>
      <family val="2"/>
      <charset val="204"/>
    </font>
    <font>
      <sz val="10"/>
      <color theme="1"/>
      <name val="Calibri"/>
      <family val="2"/>
      <charset val="204"/>
    </font>
    <font>
      <sz val="9"/>
      <color theme="1"/>
      <name val="Calibri"/>
      <family val="2"/>
      <charset val="204"/>
    </font>
    <font>
      <b/>
      <u/>
      <sz val="11"/>
      <color theme="1"/>
      <name val="Calibri"/>
      <family val="2"/>
      <charset val="204"/>
      <scheme val="minor"/>
    </font>
    <font>
      <i/>
      <u/>
      <sz val="12"/>
      <color theme="1"/>
      <name val="Calibri"/>
      <family val="2"/>
      <charset val="204"/>
      <scheme val="minor"/>
    </font>
    <font>
      <u/>
      <sz val="11"/>
      <color theme="1"/>
      <name val="Calibri"/>
      <family val="2"/>
      <charset val="204"/>
      <scheme val="minor"/>
    </font>
    <font>
      <sz val="12"/>
      <name val="Calibri"/>
      <family val="2"/>
      <charset val="204"/>
    </font>
    <font>
      <b/>
      <i/>
      <sz val="12"/>
      <color theme="1"/>
      <name val="Calibri"/>
      <family val="2"/>
      <charset val="204"/>
    </font>
    <font>
      <sz val="12"/>
      <name val="Calibri"/>
      <family val="2"/>
      <charset val="204"/>
      <scheme val="minor"/>
    </font>
    <font>
      <i/>
      <sz val="20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b/>
      <sz val="9"/>
      <color theme="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charset val="204"/>
      <scheme val="minor"/>
    </font>
    <font>
      <b/>
      <i/>
      <sz val="12"/>
      <color theme="1"/>
      <name val="Calibri"/>
      <family val="2"/>
      <charset val="204"/>
      <scheme val="minor"/>
    </font>
    <font>
      <vertAlign val="subscript"/>
      <sz val="12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u/>
      <sz val="11"/>
      <color theme="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color rgb="FF000000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CC6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4" fillId="0" borderId="0"/>
    <xf numFmtId="9" fontId="34" fillId="0" borderId="0"/>
    <xf numFmtId="0" fontId="35" fillId="0" borderId="0"/>
  </cellStyleXfs>
  <cellXfs count="467">
    <xf numFmtId="0" fontId="0" fillId="0" borderId="0" xfId="0"/>
    <xf numFmtId="0" fontId="2" fillId="0" borderId="0" xfId="0" applyFont="1" applyAlignment="1">
      <alignment horizontal="left"/>
    </xf>
    <xf numFmtId="0" fontId="0" fillId="0" borderId="1" xfId="0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1" fillId="0" borderId="0" xfId="0" applyFont="1" applyAlignment="1">
      <alignment horizontal="right"/>
    </xf>
    <xf numFmtId="0" fontId="1" fillId="4" borderId="5" xfId="0" applyFont="1" applyFill="1" applyBorder="1" applyAlignment="1">
      <alignment vertical="center"/>
    </xf>
    <xf numFmtId="3" fontId="1" fillId="0" borderId="0" xfId="0" applyNumberFormat="1" applyFont="1" applyAlignment="1">
      <alignment horizontal="center"/>
    </xf>
    <xf numFmtId="0" fontId="1" fillId="0" borderId="5" xfId="0" applyFont="1" applyBorder="1" applyAlignment="1">
      <alignment horizontal="center"/>
    </xf>
    <xf numFmtId="0" fontId="7" fillId="0" borderId="10" xfId="0" applyFont="1" applyBorder="1"/>
    <xf numFmtId="0" fontId="7" fillId="0" borderId="11" xfId="0" applyFont="1" applyBorder="1"/>
    <xf numFmtId="0" fontId="9" fillId="5" borderId="5" xfId="0" applyFont="1" applyFill="1" applyBorder="1" applyAlignment="1">
      <alignment vertical="center"/>
    </xf>
    <xf numFmtId="0" fontId="9" fillId="5" borderId="5" xfId="0" applyFont="1" applyFill="1" applyBorder="1" applyAlignment="1">
      <alignment horizontal="center" vertical="center"/>
    </xf>
    <xf numFmtId="0" fontId="8" fillId="0" borderId="10" xfId="0" applyFont="1" applyBorder="1"/>
    <xf numFmtId="0" fontId="8" fillId="0" borderId="12" xfId="0" applyFont="1" applyBorder="1"/>
    <xf numFmtId="0" fontId="8" fillId="0" borderId="11" xfId="0" applyFont="1" applyBorder="1"/>
    <xf numFmtId="0" fontId="8" fillId="0" borderId="5" xfId="0" applyFont="1" applyBorder="1"/>
    <xf numFmtId="0" fontId="8" fillId="3" borderId="13" xfId="0" applyFont="1" applyFill="1" applyBorder="1"/>
    <xf numFmtId="0" fontId="8" fillId="3" borderId="8" xfId="0" applyFont="1" applyFill="1" applyBorder="1"/>
    <xf numFmtId="0" fontId="10" fillId="0" borderId="5" xfId="0" applyFont="1" applyBorder="1" applyAlignment="1">
      <alignment horizontal="center"/>
    </xf>
    <xf numFmtId="0" fontId="8" fillId="0" borderId="13" xfId="0" applyFont="1" applyBorder="1"/>
    <xf numFmtId="0" fontId="8" fillId="0" borderId="8" xfId="0" applyFont="1" applyBorder="1"/>
    <xf numFmtId="0" fontId="8" fillId="3" borderId="5" xfId="0" applyFont="1" applyFill="1" applyBorder="1" applyAlignment="1">
      <alignment horizontal="center"/>
    </xf>
    <xf numFmtId="0" fontId="8" fillId="3" borderId="5" xfId="0" applyFont="1" applyFill="1" applyBorder="1"/>
    <xf numFmtId="0" fontId="8" fillId="3" borderId="14" xfId="0" applyFont="1" applyFill="1" applyBorder="1"/>
    <xf numFmtId="0" fontId="8" fillId="3" borderId="15" xfId="0" applyFont="1" applyFill="1" applyBorder="1"/>
    <xf numFmtId="0" fontId="8" fillId="0" borderId="0" xfId="0" applyFont="1" applyAlignment="1">
      <alignment horizontal="center"/>
    </xf>
    <xf numFmtId="0" fontId="8" fillId="0" borderId="14" xfId="0" applyFont="1" applyBorder="1"/>
    <xf numFmtId="0" fontId="8" fillId="0" borderId="15" xfId="0" applyFont="1" applyBorder="1"/>
    <xf numFmtId="0" fontId="1" fillId="0" borderId="0" xfId="0" applyFont="1"/>
    <xf numFmtId="0" fontId="3" fillId="4" borderId="5" xfId="0" applyFont="1" applyFill="1" applyBorder="1" applyAlignment="1">
      <alignment horizontal="center" vertical="center" wrapText="1"/>
    </xf>
    <xf numFmtId="0" fontId="13" fillId="4" borderId="12" xfId="0" applyFont="1" applyFill="1" applyBorder="1" applyAlignment="1">
      <alignment horizontal="center" vertical="center" wrapText="1"/>
    </xf>
    <xf numFmtId="3" fontId="1" fillId="0" borderId="0" xfId="0" applyNumberFormat="1" applyFont="1"/>
    <xf numFmtId="0" fontId="17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0" fillId="0" borderId="0" xfId="0" applyAlignment="1">
      <alignment wrapText="1"/>
    </xf>
    <xf numFmtId="0" fontId="23" fillId="0" borderId="0" xfId="0" applyFont="1" applyAlignment="1">
      <alignment vertical="center"/>
    </xf>
    <xf numFmtId="0" fontId="1" fillId="0" borderId="16" xfId="0" applyFont="1" applyBorder="1" applyAlignment="1">
      <alignment horizontal="center" wrapText="1"/>
    </xf>
    <xf numFmtId="0" fontId="1" fillId="0" borderId="12" xfId="0" applyFont="1" applyBorder="1" applyAlignment="1">
      <alignment vertical="top" wrapText="1"/>
    </xf>
    <xf numFmtId="0" fontId="24" fillId="0" borderId="0" xfId="0" applyFont="1"/>
    <xf numFmtId="0" fontId="16" fillId="0" borderId="0" xfId="0" applyFont="1"/>
    <xf numFmtId="0" fontId="16" fillId="0" borderId="0" xfId="0" applyFont="1" applyAlignment="1">
      <alignment horizontal="center"/>
    </xf>
    <xf numFmtId="0" fontId="25" fillId="0" borderId="0" xfId="0" applyFont="1" applyAlignment="1">
      <alignment horizontal="right"/>
    </xf>
    <xf numFmtId="0" fontId="26" fillId="0" borderId="0" xfId="0" applyFont="1"/>
    <xf numFmtId="49" fontId="0" fillId="0" borderId="0" xfId="0" applyNumberFormat="1"/>
    <xf numFmtId="0" fontId="19" fillId="0" borderId="0" xfId="0" applyFont="1" applyAlignment="1">
      <alignment vertical="center"/>
    </xf>
    <xf numFmtId="0" fontId="19" fillId="0" borderId="0" xfId="0" applyFont="1" applyAlignment="1">
      <alignment horizontal="center" vertical="center"/>
    </xf>
    <xf numFmtId="0" fontId="1" fillId="4" borderId="5" xfId="0" applyFont="1" applyFill="1" applyBorder="1" applyAlignment="1">
      <alignment vertical="center" wrapText="1"/>
    </xf>
    <xf numFmtId="0" fontId="30" fillId="0" borderId="0" xfId="0" applyFont="1"/>
    <xf numFmtId="0" fontId="31" fillId="0" borderId="8" xfId="0" applyFont="1" applyBorder="1"/>
    <xf numFmtId="0" fontId="32" fillId="4" borderId="5" xfId="0" applyFont="1" applyFill="1" applyBorder="1" applyAlignment="1">
      <alignment horizontal="center" vertical="center" wrapText="1"/>
    </xf>
    <xf numFmtId="0" fontId="33" fillId="4" borderId="5" xfId="0" applyFont="1" applyFill="1" applyBorder="1" applyAlignment="1">
      <alignment horizontal="center" vertical="center" wrapText="1"/>
    </xf>
    <xf numFmtId="0" fontId="32" fillId="4" borderId="5" xfId="0" applyFont="1" applyFill="1" applyBorder="1" applyAlignment="1">
      <alignment horizontal="center" vertical="center"/>
    </xf>
    <xf numFmtId="0" fontId="7" fillId="0" borderId="5" xfId="0" applyFont="1" applyBorder="1"/>
    <xf numFmtId="0" fontId="7" fillId="0" borderId="5" xfId="0" applyFont="1" applyBorder="1" applyAlignment="1">
      <alignment horizontal="left"/>
    </xf>
    <xf numFmtId="0" fontId="8" fillId="0" borderId="5" xfId="0" applyFont="1" applyBorder="1" applyAlignment="1">
      <alignment horizontal="left"/>
    </xf>
    <xf numFmtId="0" fontId="8" fillId="0" borderId="5" xfId="0" applyFont="1" applyBorder="1" applyAlignment="1">
      <alignment horizontal="center"/>
    </xf>
    <xf numFmtId="3" fontId="0" fillId="0" borderId="0" xfId="0" applyNumberFormat="1"/>
    <xf numFmtId="0" fontId="20" fillId="3" borderId="0" xfId="0" applyFont="1" applyFill="1" applyAlignment="1">
      <alignment vertical="center"/>
    </xf>
    <xf numFmtId="0" fontId="0" fillId="3" borderId="0" xfId="0" applyFill="1"/>
    <xf numFmtId="0" fontId="20" fillId="0" borderId="0" xfId="0" applyFont="1" applyAlignment="1">
      <alignment vertical="center"/>
    </xf>
    <xf numFmtId="168" fontId="8" fillId="0" borderId="0" xfId="0" applyNumberFormat="1" applyFont="1"/>
    <xf numFmtId="0" fontId="5" fillId="0" borderId="0" xfId="0" applyFont="1"/>
    <xf numFmtId="4" fontId="0" fillId="0" borderId="0" xfId="0" applyNumberFormat="1"/>
    <xf numFmtId="0" fontId="16" fillId="0" borderId="0" xfId="0" applyFont="1" applyAlignment="1">
      <alignment vertical="center"/>
    </xf>
    <xf numFmtId="0" fontId="16" fillId="0" borderId="0" xfId="0" applyFont="1" applyAlignment="1">
      <alignment horizontal="justify" vertical="center"/>
    </xf>
    <xf numFmtId="0" fontId="8" fillId="0" borderId="0" xfId="0" applyFont="1"/>
    <xf numFmtId="0" fontId="31" fillId="0" borderId="0" xfId="0" applyFont="1"/>
    <xf numFmtId="0" fontId="8" fillId="3" borderId="0" xfId="0" applyFont="1" applyFill="1"/>
    <xf numFmtId="0" fontId="37" fillId="0" borderId="0" xfId="0" applyFont="1"/>
    <xf numFmtId="0" fontId="37" fillId="3" borderId="0" xfId="0" applyFont="1" applyFill="1"/>
    <xf numFmtId="0" fontId="37" fillId="0" borderId="12" xfId="0" applyFont="1" applyBorder="1"/>
    <xf numFmtId="0" fontId="36" fillId="6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0" fillId="0" borderId="0" xfId="0"/>
    <xf numFmtId="0" fontId="35" fillId="6" borderId="5" xfId="3" applyFill="1" applyBorder="1" applyAlignment="1">
      <alignment horizontal="center" vertical="center"/>
    </xf>
    <xf numFmtId="0" fontId="35" fillId="6" borderId="12" xfId="3" applyFill="1" applyBorder="1" applyAlignment="1">
      <alignment horizontal="center" vertical="center"/>
    </xf>
    <xf numFmtId="0" fontId="35" fillId="6" borderId="10" xfId="3" applyFill="1" applyBorder="1" applyAlignment="1">
      <alignment horizontal="center" vertical="center"/>
    </xf>
    <xf numFmtId="0" fontId="35" fillId="6" borderId="13" xfId="3" applyFill="1" applyBorder="1" applyAlignment="1">
      <alignment horizontal="center" vertical="center"/>
    </xf>
    <xf numFmtId="3" fontId="0" fillId="0" borderId="5" xfId="0" quotePrefix="1" applyNumberFormat="1" applyBorder="1" applyAlignment="1">
      <alignment horizontal="center"/>
    </xf>
    <xf numFmtId="4" fontId="0" fillId="0" borderId="5" xfId="0" quotePrefix="1" applyNumberFormat="1" applyBorder="1" applyAlignment="1">
      <alignment horizontal="center"/>
    </xf>
    <xf numFmtId="0" fontId="0" fillId="0" borderId="5" xfId="0" applyBorder="1" applyAlignment="1">
      <alignment horizontal="center"/>
    </xf>
    <xf numFmtId="3" fontId="0" fillId="0" borderId="8" xfId="0" applyNumberFormat="1" applyBorder="1" applyAlignment="1">
      <alignment horizontal="center"/>
    </xf>
    <xf numFmtId="0" fontId="0" fillId="0" borderId="5" xfId="0" applyBorder="1"/>
    <xf numFmtId="1" fontId="0" fillId="0" borderId="5" xfId="0" applyNumberFormat="1" applyBorder="1" applyAlignment="1">
      <alignment horizontal="center"/>
    </xf>
    <xf numFmtId="0" fontId="1" fillId="4" borderId="5" xfId="0" applyFont="1" applyFill="1" applyBorder="1" applyAlignment="1">
      <alignment horizontal="center" vertical="center" wrapText="1"/>
    </xf>
    <xf numFmtId="0" fontId="1" fillId="4" borderId="5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1" fillId="0" borderId="0" xfId="0" applyFont="1" applyAlignment="1">
      <alignment horizontal="center"/>
    </xf>
    <xf numFmtId="0" fontId="22" fillId="0" borderId="0" xfId="0" applyFont="1" applyAlignment="1">
      <alignment horizontal="center" vertical="center"/>
    </xf>
    <xf numFmtId="0" fontId="21" fillId="0" borderId="0" xfId="0" applyFont="1" applyAlignment="1">
      <alignment horizontal="left" vertical="center" wrapText="1"/>
    </xf>
    <xf numFmtId="0" fontId="0" fillId="0" borderId="0" xfId="0" applyAlignment="1">
      <alignment horizontal="center" vertical="center"/>
    </xf>
    <xf numFmtId="0" fontId="19" fillId="0" borderId="0" xfId="0" applyFont="1"/>
    <xf numFmtId="0" fontId="19" fillId="0" borderId="0" xfId="0" applyFont="1" applyAlignment="1">
      <alignment horizontal="center"/>
    </xf>
    <xf numFmtId="0" fontId="16" fillId="0" borderId="0" xfId="0" applyFont="1" applyAlignment="1">
      <alignment horizontal="center" vertical="center" wrapText="1"/>
    </xf>
    <xf numFmtId="0" fontId="28" fillId="0" borderId="0" xfId="0" applyFont="1" applyAlignment="1">
      <alignment horizontal="center" vertical="center"/>
    </xf>
    <xf numFmtId="0" fontId="16" fillId="0" borderId="0" xfId="0" applyFont="1" applyAlignment="1">
      <alignment horizontal="left" vertical="center" wrapText="1"/>
    </xf>
    <xf numFmtId="0" fontId="16" fillId="0" borderId="0" xfId="0" applyFont="1" applyAlignment="1">
      <alignment horizontal="left" vertical="center"/>
    </xf>
    <xf numFmtId="0" fontId="16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167" fontId="0" fillId="0" borderId="0" xfId="0" applyNumberFormat="1"/>
    <xf numFmtId="0" fontId="13" fillId="4" borderId="12" xfId="0" applyFont="1" applyFill="1" applyBorder="1" applyAlignment="1">
      <alignment vertical="center" wrapText="1"/>
    </xf>
    <xf numFmtId="167" fontId="0" fillId="0" borderId="8" xfId="0" applyNumberFormat="1" applyBorder="1" applyAlignment="1">
      <alignment horizontal="center"/>
    </xf>
    <xf numFmtId="164" fontId="0" fillId="0" borderId="5" xfId="0" applyNumberFormat="1" applyBorder="1" applyAlignment="1">
      <alignment horizontal="center"/>
    </xf>
    <xf numFmtId="3" fontId="1" fillId="0" borderId="0" xfId="0" applyNumberFormat="1" applyFont="1" applyAlignment="1">
      <alignment vertical="center" wrapText="1"/>
    </xf>
    <xf numFmtId="0" fontId="0" fillId="0" borderId="0" xfId="0" applyAlignment="1">
      <alignment vertical="center" wrapText="1"/>
    </xf>
    <xf numFmtId="165" fontId="11" fillId="0" borderId="5" xfId="0" applyNumberFormat="1" applyFont="1" applyBorder="1" applyAlignment="1">
      <alignment horizontal="center"/>
    </xf>
    <xf numFmtId="0" fontId="0" fillId="0" borderId="0" xfId="0" applyFont="1"/>
    <xf numFmtId="0" fontId="38" fillId="0" borderId="0" xfId="0" applyFont="1" applyAlignment="1">
      <alignment horizontal="center" vertical="center"/>
    </xf>
    <xf numFmtId="0" fontId="19" fillId="0" borderId="0" xfId="0" applyFont="1" applyAlignment="1">
      <alignment horizontal="justify" vertical="center"/>
    </xf>
    <xf numFmtId="0" fontId="2" fillId="0" borderId="0" xfId="0" applyFont="1" applyAlignment="1">
      <alignment horizontal="left" vertical="center" indent="15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left" vertical="center"/>
    </xf>
    <xf numFmtId="0" fontId="0" fillId="0" borderId="0" xfId="0" applyFont="1" applyAlignment="1">
      <alignment horizontal="left" wrapText="1"/>
    </xf>
    <xf numFmtId="4" fontId="0" fillId="0" borderId="0" xfId="0" applyNumberFormat="1" applyFont="1"/>
    <xf numFmtId="0" fontId="0" fillId="0" borderId="0" xfId="0" applyFont="1" applyAlignment="1">
      <alignment horizontal="center" vertical="center"/>
    </xf>
    <xf numFmtId="4" fontId="0" fillId="0" borderId="0" xfId="0" applyNumberFormat="1" applyFont="1" applyAlignment="1">
      <alignment horizontal="center" vertical="center"/>
    </xf>
    <xf numFmtId="0" fontId="0" fillId="0" borderId="0" xfId="0" applyFont="1" applyAlignment="1">
      <alignment vertical="center"/>
    </xf>
    <xf numFmtId="0" fontId="0" fillId="0" borderId="0" xfId="0" applyFont="1" applyAlignment="1">
      <alignment horizontal="center"/>
    </xf>
    <xf numFmtId="4" fontId="0" fillId="0" borderId="0" xfId="0" applyNumberFormat="1" applyFont="1" applyAlignment="1">
      <alignment horizontal="center"/>
    </xf>
    <xf numFmtId="0" fontId="0" fillId="0" borderId="0" xfId="0" applyFont="1" applyAlignment="1">
      <alignment horizontal="left"/>
    </xf>
    <xf numFmtId="1" fontId="0" fillId="0" borderId="0" xfId="0" applyNumberFormat="1" applyFont="1"/>
    <xf numFmtId="0" fontId="0" fillId="0" borderId="5" xfId="0" applyFont="1" applyBorder="1"/>
    <xf numFmtId="4" fontId="0" fillId="0" borderId="5" xfId="0" applyNumberFormat="1" applyFont="1" applyBorder="1" applyAlignment="1">
      <alignment horizontal="center"/>
    </xf>
    <xf numFmtId="164" fontId="0" fillId="0" borderId="5" xfId="0" applyNumberFormat="1" applyFont="1" applyBorder="1" applyAlignment="1">
      <alignment horizontal="center"/>
    </xf>
    <xf numFmtId="167" fontId="0" fillId="0" borderId="5" xfId="0" applyNumberFormat="1" applyFont="1" applyBorder="1" applyAlignment="1">
      <alignment horizontal="center"/>
    </xf>
    <xf numFmtId="0" fontId="0" fillId="0" borderId="5" xfId="0" applyFont="1" applyBorder="1" applyAlignment="1">
      <alignment horizontal="left" indent="1"/>
    </xf>
    <xf numFmtId="3" fontId="0" fillId="0" borderId="5" xfId="0" applyNumberFormat="1" applyFont="1" applyBorder="1" applyAlignment="1">
      <alignment horizontal="center"/>
    </xf>
    <xf numFmtId="2" fontId="0" fillId="0" borderId="5" xfId="0" applyNumberFormat="1" applyFont="1" applyBorder="1" applyAlignment="1">
      <alignment horizontal="center"/>
    </xf>
    <xf numFmtId="0" fontId="0" fillId="0" borderId="0" xfId="0" applyBorder="1"/>
    <xf numFmtId="4" fontId="0" fillId="0" borderId="0" xfId="0" applyNumberFormat="1" applyFont="1" applyAlignment="1">
      <alignment horizontal="left"/>
    </xf>
    <xf numFmtId="0" fontId="0" fillId="0" borderId="0" xfId="0"/>
    <xf numFmtId="0" fontId="16" fillId="0" borderId="0" xfId="0" applyFont="1" applyAlignment="1">
      <alignment horizontal="left" vertical="center"/>
    </xf>
    <xf numFmtId="0" fontId="0" fillId="0" borderId="0" xfId="0"/>
    <xf numFmtId="0" fontId="0" fillId="0" borderId="0" xfId="0"/>
    <xf numFmtId="0" fontId="1" fillId="4" borderId="5" xfId="0" applyFont="1" applyFill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0" fillId="0" borderId="0" xfId="0" applyFont="1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5" xfId="0" applyFont="1" applyBorder="1" applyAlignment="1">
      <alignment horizontal="center"/>
    </xf>
    <xf numFmtId="0" fontId="0" fillId="0" borderId="0" xfId="0" applyAlignment="1"/>
    <xf numFmtId="0" fontId="0" fillId="0" borderId="5" xfId="0" applyFont="1" applyBorder="1" applyAlignment="1">
      <alignment horizontal="center" vertical="center"/>
    </xf>
    <xf numFmtId="3" fontId="0" fillId="3" borderId="5" xfId="0" applyNumberFormat="1" applyFont="1" applyFill="1" applyBorder="1" applyAlignment="1">
      <alignment horizontal="center" vertical="center"/>
    </xf>
    <xf numFmtId="3" fontId="0" fillId="0" borderId="5" xfId="0" applyNumberFormat="1" applyFont="1" applyBorder="1"/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0" fillId="0" borderId="0" xfId="0" applyFont="1" applyAlignment="1">
      <alignment horizontal="justify" vertical="center"/>
    </xf>
    <xf numFmtId="0" fontId="0" fillId="0" borderId="0" xfId="0" applyFont="1" applyAlignment="1">
      <alignment horizontal="right" vertical="center"/>
    </xf>
    <xf numFmtId="0" fontId="0" fillId="0" borderId="5" xfId="0" applyFont="1" applyBorder="1" applyAlignment="1">
      <alignment horizontal="left" vertical="center"/>
    </xf>
    <xf numFmtId="0" fontId="0" fillId="0" borderId="5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/>
    </xf>
    <xf numFmtId="0" fontId="0" fillId="0" borderId="17" xfId="0" applyFont="1" applyBorder="1"/>
    <xf numFmtId="0" fontId="0" fillId="0" borderId="0" xfId="0" applyFont="1" applyAlignment="1">
      <alignment wrapText="1"/>
    </xf>
    <xf numFmtId="0" fontId="0" fillId="0" borderId="0" xfId="0" applyFont="1" applyAlignment="1">
      <alignment vertical="top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vertical="center"/>
    </xf>
    <xf numFmtId="0" fontId="14" fillId="0" borderId="0" xfId="0" applyFont="1" applyAlignment="1">
      <alignment horizontal="right" vertical="center"/>
    </xf>
    <xf numFmtId="0" fontId="0" fillId="0" borderId="0" xfId="0" applyFont="1" applyAlignment="1">
      <alignment horizontal="left" vertical="center" indent="3"/>
    </xf>
    <xf numFmtId="0" fontId="0" fillId="0" borderId="0" xfId="0" applyFont="1" applyAlignment="1">
      <alignment horizontal="left" vertical="center" indent="4"/>
    </xf>
    <xf numFmtId="0" fontId="0" fillId="0" borderId="0" xfId="0" applyFont="1" applyAlignment="1">
      <alignment horizontal="right" vertical="top"/>
    </xf>
    <xf numFmtId="1" fontId="0" fillId="0" borderId="5" xfId="0" applyNumberFormat="1" applyFont="1" applyBorder="1" applyAlignment="1">
      <alignment horizontal="center"/>
    </xf>
    <xf numFmtId="0" fontId="0" fillId="0" borderId="7" xfId="0" applyFont="1" applyBorder="1"/>
    <xf numFmtId="3" fontId="0" fillId="0" borderId="0" xfId="0" applyNumberFormat="1" applyFont="1"/>
    <xf numFmtId="3" fontId="1" fillId="0" borderId="0" xfId="0" applyNumberFormat="1" applyFont="1" applyAlignment="1">
      <alignment horizontal="right"/>
    </xf>
    <xf numFmtId="4" fontId="1" fillId="0" borderId="0" xfId="0" applyNumberFormat="1" applyFont="1"/>
    <xf numFmtId="0" fontId="0" fillId="0" borderId="7" xfId="0" applyFont="1" applyBorder="1" applyAlignment="1">
      <alignment horizontal="center"/>
    </xf>
    <xf numFmtId="0" fontId="14" fillId="0" borderId="0" xfId="0" applyFont="1"/>
    <xf numFmtId="0" fontId="0" fillId="0" borderId="0" xfId="0" applyFont="1" applyAlignment="1">
      <alignment horizontal="left" vertical="center" wrapText="1"/>
    </xf>
    <xf numFmtId="0" fontId="41" fillId="0" borderId="0" xfId="0" applyFont="1" applyAlignment="1">
      <alignment horizontal="center"/>
    </xf>
    <xf numFmtId="0" fontId="0" fillId="6" borderId="0" xfId="0" applyFont="1" applyFill="1"/>
    <xf numFmtId="0" fontId="0" fillId="6" borderId="0" xfId="0" applyFont="1" applyFill="1" applyAlignment="1">
      <alignment horizontal="left" vertical="center" wrapText="1"/>
    </xf>
    <xf numFmtId="0" fontId="0" fillId="6" borderId="0" xfId="0" applyFont="1" applyFill="1" applyAlignment="1">
      <alignment vertical="center"/>
    </xf>
    <xf numFmtId="0" fontId="0" fillId="6" borderId="0" xfId="0" applyFont="1" applyFill="1" applyAlignment="1">
      <alignment horizontal="left" vertical="center" indent="3"/>
    </xf>
    <xf numFmtId="0" fontId="0" fillId="6" borderId="0" xfId="0" applyFont="1" applyFill="1" applyAlignment="1">
      <alignment horizontal="center" vertical="center"/>
    </xf>
    <xf numFmtId="0" fontId="0" fillId="6" borderId="0" xfId="0" applyFont="1" applyFill="1" applyAlignment="1">
      <alignment horizontal="center"/>
    </xf>
    <xf numFmtId="0" fontId="0" fillId="6" borderId="7" xfId="0" applyFont="1" applyFill="1" applyBorder="1"/>
    <xf numFmtId="0" fontId="0" fillId="6" borderId="7" xfId="0" applyFont="1" applyFill="1" applyBorder="1" applyAlignment="1">
      <alignment horizontal="right"/>
    </xf>
    <xf numFmtId="0" fontId="26" fillId="6" borderId="0" xfId="0" applyFont="1" applyFill="1" applyAlignment="1">
      <alignment horizontal="center"/>
    </xf>
    <xf numFmtId="0" fontId="41" fillId="0" borderId="0" xfId="0" applyFont="1" applyAlignment="1">
      <alignment horizontal="center" vertical="center" wrapText="1"/>
    </xf>
    <xf numFmtId="0" fontId="0" fillId="0" borderId="0" xfId="0" applyFont="1" applyAlignment="1"/>
    <xf numFmtId="0" fontId="14" fillId="0" borderId="0" xfId="0" applyFont="1" applyAlignment="1">
      <alignment horizontal="left"/>
    </xf>
    <xf numFmtId="0" fontId="41" fillId="0" borderId="0" xfId="0" applyFont="1" applyAlignment="1">
      <alignment horizontal="right"/>
    </xf>
    <xf numFmtId="0" fontId="14" fillId="0" borderId="0" xfId="0" applyFont="1" applyAlignment="1">
      <alignment horizontal="left" vertical="center"/>
    </xf>
    <xf numFmtId="0" fontId="26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 wrapText="1"/>
    </xf>
    <xf numFmtId="0" fontId="0" fillId="0" borderId="0" xfId="0" applyFont="1" applyAlignment="1">
      <alignment vertical="center" wrapText="1"/>
    </xf>
    <xf numFmtId="0" fontId="0" fillId="0" borderId="0" xfId="0" applyFont="1" applyAlignment="1">
      <alignment horizontal="center" vertical="center" wrapText="1"/>
    </xf>
    <xf numFmtId="0" fontId="0" fillId="0" borderId="0" xfId="0" applyFont="1" applyAlignment="1">
      <alignment horizontal="left" vertical="top" wrapText="1"/>
    </xf>
    <xf numFmtId="0" fontId="41" fillId="0" borderId="0" xfId="0" applyFont="1" applyAlignment="1">
      <alignment horizontal="center" vertical="center" shrinkToFit="1"/>
    </xf>
    <xf numFmtId="0" fontId="41" fillId="0" borderId="0" xfId="0" applyFont="1" applyAlignment="1">
      <alignment horizontal="center" vertical="center"/>
    </xf>
    <xf numFmtId="0" fontId="0" fillId="0" borderId="0" xfId="0" applyFont="1" applyAlignment="1">
      <alignment horizontal="left" vertical="center" indent="1"/>
    </xf>
    <xf numFmtId="0" fontId="1" fillId="0" borderId="0" xfId="0" applyFont="1" applyAlignment="1">
      <alignment horizontal="left" vertical="center"/>
    </xf>
    <xf numFmtId="0" fontId="43" fillId="0" borderId="0" xfId="0" applyFont="1" applyAlignment="1">
      <alignment horizontal="center" vertical="center"/>
    </xf>
    <xf numFmtId="164" fontId="0" fillId="0" borderId="0" xfId="0" applyNumberFormat="1" applyFont="1"/>
    <xf numFmtId="0" fontId="0" fillId="0" borderId="7" xfId="0" quotePrefix="1" applyFont="1" applyBorder="1" applyAlignment="1">
      <alignment horizontal="center"/>
    </xf>
    <xf numFmtId="165" fontId="0" fillId="0" borderId="0" xfId="0" applyNumberFormat="1" applyFont="1"/>
    <xf numFmtId="49" fontId="0" fillId="0" borderId="0" xfId="0" applyNumberFormat="1" applyFont="1" applyAlignment="1">
      <alignment horizontal="left"/>
    </xf>
    <xf numFmtId="0" fontId="0" fillId="0" borderId="0" xfId="0" applyFont="1" applyBorder="1"/>
    <xf numFmtId="4" fontId="0" fillId="0" borderId="0" xfId="0" applyNumberFormat="1" applyFont="1" applyBorder="1"/>
    <xf numFmtId="0" fontId="0" fillId="6" borderId="0" xfId="0" applyFont="1" applyFill="1" applyBorder="1" applyAlignment="1">
      <alignment horizontal="center" vertical="center"/>
    </xf>
    <xf numFmtId="0" fontId="0" fillId="0" borderId="0" xfId="0" applyFont="1" applyFill="1" applyBorder="1"/>
    <xf numFmtId="0" fontId="0" fillId="6" borderId="0" xfId="0" applyFont="1" applyFill="1" applyBorder="1" applyAlignment="1">
      <alignment vertical="center"/>
    </xf>
    <xf numFmtId="0" fontId="0" fillId="6" borderId="0" xfId="0" applyFont="1" applyFill="1" applyBorder="1" applyAlignment="1">
      <alignment vertical="center" wrapText="1"/>
    </xf>
    <xf numFmtId="0" fontId="0" fillId="0" borderId="0" xfId="0" applyFont="1" applyFill="1" applyBorder="1" applyAlignment="1"/>
    <xf numFmtId="0" fontId="0" fillId="0" borderId="0" xfId="0" applyFont="1" applyBorder="1" applyAlignment="1">
      <alignment horizontal="center"/>
    </xf>
    <xf numFmtId="0" fontId="0" fillId="0" borderId="0" xfId="0" applyFont="1" applyFill="1" applyBorder="1" applyAlignment="1">
      <alignment horizontal="left" wrapText="1"/>
    </xf>
    <xf numFmtId="0" fontId="0" fillId="0" borderId="0" xfId="0" applyFont="1" applyBorder="1" applyAlignment="1"/>
    <xf numFmtId="164" fontId="0" fillId="6" borderId="0" xfId="0" applyNumberFormat="1" applyFont="1" applyFill="1" applyBorder="1" applyAlignment="1">
      <alignment horizontal="center" vertical="center"/>
    </xf>
    <xf numFmtId="3" fontId="0" fillId="6" borderId="0" xfId="0" applyNumberFormat="1" applyFont="1" applyFill="1" applyBorder="1" applyAlignment="1">
      <alignment vertical="center"/>
    </xf>
    <xf numFmtId="0" fontId="0" fillId="0" borderId="0" xfId="0" applyFont="1" applyBorder="1" applyAlignment="1">
      <alignment vertical="center"/>
    </xf>
    <xf numFmtId="0" fontId="0" fillId="6" borderId="0" xfId="0" applyFont="1" applyFill="1" applyBorder="1" applyAlignment="1">
      <alignment horizontal="left" vertical="center"/>
    </xf>
    <xf numFmtId="1" fontId="0" fillId="6" borderId="0" xfId="0" applyNumberFormat="1" applyFont="1" applyFill="1" applyBorder="1" applyAlignment="1">
      <alignment horizontal="center" vertical="center"/>
    </xf>
    <xf numFmtId="1" fontId="0" fillId="6" borderId="0" xfId="0" applyNumberFormat="1" applyFont="1" applyFill="1" applyBorder="1" applyAlignment="1">
      <alignment horizontal="left" vertical="center"/>
    </xf>
    <xf numFmtId="164" fontId="0" fillId="6" borderId="0" xfId="0" applyNumberFormat="1" applyFont="1" applyFill="1" applyBorder="1" applyAlignment="1">
      <alignment vertical="center"/>
    </xf>
    <xf numFmtId="0" fontId="0" fillId="6" borderId="0" xfId="0" applyFont="1" applyFill="1" applyBorder="1" applyAlignment="1">
      <alignment horizontal="left" vertical="center" wrapText="1"/>
    </xf>
    <xf numFmtId="3" fontId="0" fillId="6" borderId="0" xfId="0" applyNumberFormat="1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left" vertical="center" wrapText="1"/>
    </xf>
    <xf numFmtId="0" fontId="0" fillId="0" borderId="0" xfId="0" applyFont="1" applyFill="1" applyBorder="1" applyAlignment="1">
      <alignment horizontal="left" vertical="center"/>
    </xf>
    <xf numFmtId="164" fontId="0" fillId="6" borderId="0" xfId="0" applyNumberFormat="1" applyFont="1" applyFill="1" applyBorder="1" applyAlignment="1">
      <alignment horizontal="left" vertical="center"/>
    </xf>
    <xf numFmtId="3" fontId="0" fillId="6" borderId="0" xfId="0" applyNumberFormat="1" applyFont="1" applyFill="1" applyBorder="1" applyAlignment="1">
      <alignment horizontal="left" vertical="center"/>
    </xf>
    <xf numFmtId="0" fontId="0" fillId="0" borderId="0" xfId="0" applyFont="1" applyBorder="1" applyAlignment="1">
      <alignment horizontal="left" vertical="center"/>
    </xf>
    <xf numFmtId="3" fontId="6" fillId="6" borderId="0" xfId="0" applyNumberFormat="1" applyFont="1" applyFill="1" applyBorder="1" applyAlignment="1">
      <alignment horizontal="left" vertical="center"/>
    </xf>
    <xf numFmtId="4" fontId="0" fillId="6" borderId="0" xfId="0" applyNumberFormat="1" applyFont="1" applyFill="1" applyBorder="1" applyAlignment="1">
      <alignment horizontal="left" vertical="center"/>
    </xf>
    <xf numFmtId="0" fontId="14" fillId="6" borderId="0" xfId="0" applyFont="1" applyFill="1" applyBorder="1" applyAlignment="1">
      <alignment horizontal="left" vertical="center"/>
    </xf>
    <xf numFmtId="0" fontId="0" fillId="0" borderId="0" xfId="0" applyFont="1" applyAlignment="1">
      <alignment horizontal="right"/>
    </xf>
    <xf numFmtId="164" fontId="19" fillId="6" borderId="0" xfId="0" applyNumberFormat="1" applyFont="1" applyFill="1" applyAlignment="1">
      <alignment horizontal="center" vertical="center"/>
    </xf>
    <xf numFmtId="0" fontId="0" fillId="0" borderId="0" xfId="0" applyFont="1" applyFill="1" applyBorder="1" applyAlignment="1">
      <alignment vertical="center" wrapText="1"/>
    </xf>
    <xf numFmtId="3" fontId="0" fillId="0" borderId="0" xfId="0" applyNumberFormat="1" applyFont="1" applyAlignment="1">
      <alignment horizontal="left"/>
    </xf>
    <xf numFmtId="0" fontId="0" fillId="0" borderId="7" xfId="0" applyFont="1" applyFill="1" applyBorder="1" applyAlignment="1"/>
    <xf numFmtId="0" fontId="44" fillId="0" borderId="0" xfId="0" applyFont="1" applyAlignment="1">
      <alignment vertical="center"/>
    </xf>
    <xf numFmtId="0" fontId="0" fillId="0" borderId="0" xfId="0" applyFont="1" applyAlignment="1">
      <alignment horizontal="right" vertical="center" wrapText="1"/>
    </xf>
    <xf numFmtId="0" fontId="0" fillId="0" borderId="0" xfId="0" applyFont="1" applyAlignment="1">
      <alignment horizontal="center" vertical="top"/>
    </xf>
    <xf numFmtId="167" fontId="0" fillId="0" borderId="0" xfId="0" applyNumberFormat="1" applyFont="1" applyAlignment="1">
      <alignment horizontal="center" vertical="center"/>
    </xf>
    <xf numFmtId="2" fontId="0" fillId="0" borderId="0" xfId="0" applyNumberFormat="1" applyFont="1" applyAlignment="1">
      <alignment horizontal="center" vertical="center"/>
    </xf>
    <xf numFmtId="3" fontId="0" fillId="0" borderId="0" xfId="0" applyNumberFormat="1" applyFont="1" applyAlignment="1">
      <alignment horizontal="center" vertical="center"/>
    </xf>
    <xf numFmtId="0" fontId="0" fillId="0" borderId="0" xfId="0" applyFont="1" applyAlignment="1">
      <alignment horizontal="left" vertical="top"/>
    </xf>
    <xf numFmtId="0" fontId="0" fillId="0" borderId="0" xfId="0" applyFont="1" applyAlignment="1">
      <alignment horizontal="center" wrapText="1"/>
    </xf>
    <xf numFmtId="167" fontId="0" fillId="0" borderId="0" xfId="0" applyNumberFormat="1" applyFont="1" applyAlignment="1">
      <alignment horizontal="center" wrapText="1"/>
    </xf>
    <xf numFmtId="1" fontId="0" fillId="0" borderId="0" xfId="0" applyNumberFormat="1" applyFont="1" applyAlignment="1">
      <alignment horizontal="left"/>
    </xf>
    <xf numFmtId="164" fontId="0" fillId="0" borderId="0" xfId="0" applyNumberFormat="1" applyFont="1" applyAlignment="1">
      <alignment horizontal="center" vertical="center" wrapText="1"/>
    </xf>
    <xf numFmtId="1" fontId="0" fillId="0" borderId="0" xfId="0" applyNumberFormat="1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1" fontId="0" fillId="0" borderId="0" xfId="0" applyNumberFormat="1" applyFont="1" applyAlignment="1">
      <alignment horizontal="right" vertical="center" wrapText="1"/>
    </xf>
    <xf numFmtId="1" fontId="0" fillId="0" borderId="0" xfId="0" applyNumberFormat="1" applyFont="1" applyAlignment="1">
      <alignment horizontal="center" vertical="center"/>
    </xf>
    <xf numFmtId="164" fontId="0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40" fillId="0" borderId="0" xfId="0" applyFont="1" applyAlignment="1">
      <alignment vertical="center"/>
    </xf>
    <xf numFmtId="0" fontId="44" fillId="0" borderId="0" xfId="0" applyFont="1"/>
    <xf numFmtId="0" fontId="24" fillId="0" borderId="0" xfId="0" applyFont="1" applyAlignment="1">
      <alignment vertical="center"/>
    </xf>
    <xf numFmtId="0" fontId="0" fillId="0" borderId="0" xfId="0" applyFont="1" applyFill="1" applyAlignment="1">
      <alignment vertical="center" wrapText="1"/>
    </xf>
    <xf numFmtId="0" fontId="35" fillId="6" borderId="10" xfId="3" applyFill="1" applyBorder="1"/>
    <xf numFmtId="0" fontId="29" fillId="6" borderId="12" xfId="3" applyFont="1" applyFill="1" applyBorder="1" applyAlignment="1">
      <alignment vertical="center"/>
    </xf>
    <xf numFmtId="0" fontId="29" fillId="6" borderId="20" xfId="3" applyFont="1" applyFill="1" applyBorder="1" applyAlignment="1">
      <alignment vertical="center"/>
    </xf>
    <xf numFmtId="0" fontId="35" fillId="6" borderId="5" xfId="3" applyFill="1" applyBorder="1"/>
    <xf numFmtId="0" fontId="29" fillId="6" borderId="5" xfId="3" applyFont="1" applyFill="1" applyBorder="1" applyAlignment="1">
      <alignment vertical="center"/>
    </xf>
    <xf numFmtId="0" fontId="29" fillId="6" borderId="21" xfId="3" applyFont="1" applyFill="1" applyBorder="1" applyAlignment="1">
      <alignment vertical="center"/>
    </xf>
    <xf numFmtId="0" fontId="35" fillId="6" borderId="21" xfId="3" applyFill="1" applyBorder="1"/>
    <xf numFmtId="0" fontId="40" fillId="7" borderId="0" xfId="0" applyFont="1" applyFill="1"/>
    <xf numFmtId="0" fontId="0" fillId="7" borderId="0" xfId="0" applyFill="1"/>
    <xf numFmtId="4" fontId="0" fillId="7" borderId="0" xfId="0" applyNumberFormat="1" applyFill="1" applyAlignment="1">
      <alignment vertical="center" wrapText="1"/>
    </xf>
    <xf numFmtId="168" fontId="1" fillId="3" borderId="18" xfId="0" applyNumberFormat="1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/>
    </xf>
    <xf numFmtId="0" fontId="0" fillId="3" borderId="5" xfId="0" applyFont="1" applyFill="1" applyBorder="1" applyAlignment="1">
      <alignment horizontal="center" vertical="center"/>
    </xf>
    <xf numFmtId="167" fontId="0" fillId="3" borderId="5" xfId="0" applyNumberFormat="1" applyFont="1" applyFill="1" applyBorder="1" applyAlignment="1">
      <alignment horizontal="center" vertical="center"/>
    </xf>
    <xf numFmtId="3" fontId="0" fillId="0" borderId="5" xfId="0" applyNumberFormat="1" applyFont="1" applyBorder="1" applyAlignment="1">
      <alignment horizontal="center" vertical="center"/>
    </xf>
    <xf numFmtId="166" fontId="0" fillId="0" borderId="5" xfId="0" applyNumberFormat="1" applyFont="1" applyBorder="1" applyAlignment="1">
      <alignment horizontal="center" vertical="center"/>
    </xf>
    <xf numFmtId="166" fontId="0" fillId="3" borderId="5" xfId="0" applyNumberFormat="1" applyFont="1" applyFill="1" applyBorder="1" applyAlignment="1">
      <alignment horizontal="center" vertical="center"/>
    </xf>
    <xf numFmtId="9" fontId="1" fillId="3" borderId="5" xfId="2" applyFont="1" applyFill="1" applyBorder="1" applyAlignment="1">
      <alignment horizontal="center" vertical="center"/>
    </xf>
    <xf numFmtId="4" fontId="0" fillId="3" borderId="5" xfId="0" applyNumberFormat="1" applyFont="1" applyFill="1" applyBorder="1" applyAlignment="1">
      <alignment horizontal="center" vertical="center"/>
    </xf>
    <xf numFmtId="0" fontId="14" fillId="0" borderId="5" xfId="0" applyFont="1" applyBorder="1" applyAlignment="1">
      <alignment horizontal="center" vertical="center"/>
    </xf>
    <xf numFmtId="164" fontId="14" fillId="3" borderId="5" xfId="0" applyNumberFormat="1" applyFont="1" applyFill="1" applyBorder="1" applyAlignment="1">
      <alignment horizontal="center" vertical="center"/>
    </xf>
    <xf numFmtId="0" fontId="14" fillId="0" borderId="16" xfId="0" applyFont="1" applyBorder="1" applyAlignment="1">
      <alignment horizontal="center" vertical="center"/>
    </xf>
    <xf numFmtId="164" fontId="14" fillId="0" borderId="16" xfId="0" applyNumberFormat="1" applyFont="1" applyBorder="1" applyAlignment="1">
      <alignment horizontal="center" vertical="center"/>
    </xf>
    <xf numFmtId="0" fontId="0" fillId="0" borderId="19" xfId="0" applyFont="1" applyBorder="1" applyAlignment="1">
      <alignment horizontal="center" vertical="center"/>
    </xf>
    <xf numFmtId="3" fontId="0" fillId="0" borderId="19" xfId="0" applyNumberFormat="1" applyFont="1" applyBorder="1" applyAlignment="1">
      <alignment horizontal="center" vertical="center"/>
    </xf>
    <xf numFmtId="3" fontId="6" fillId="0" borderId="5" xfId="0" applyNumberFormat="1" applyFont="1" applyBorder="1" applyAlignment="1">
      <alignment horizontal="center" vertical="center"/>
    </xf>
    <xf numFmtId="4" fontId="0" fillId="0" borderId="5" xfId="0" applyNumberFormat="1" applyFont="1" applyBorder="1" applyAlignment="1">
      <alignment horizontal="center" vertical="center"/>
    </xf>
    <xf numFmtId="167" fontId="6" fillId="0" borderId="5" xfId="0" applyNumberFormat="1" applyFont="1" applyBorder="1" applyAlignment="1">
      <alignment horizontal="center" vertical="center"/>
    </xf>
    <xf numFmtId="164" fontId="6" fillId="0" borderId="5" xfId="0" applyNumberFormat="1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3" fontId="1" fillId="0" borderId="5" xfId="0" applyNumberFormat="1" applyFont="1" applyBorder="1" applyAlignment="1">
      <alignment horizontal="center" vertical="center"/>
    </xf>
    <xf numFmtId="3" fontId="14" fillId="0" borderId="5" xfId="0" applyNumberFormat="1" applyFont="1" applyBorder="1" applyAlignment="1">
      <alignment horizontal="center" vertical="center"/>
    </xf>
    <xf numFmtId="4" fontId="14" fillId="0" borderId="5" xfId="0" applyNumberFormat="1" applyFont="1" applyBorder="1" applyAlignment="1">
      <alignment horizontal="center" vertical="center"/>
    </xf>
    <xf numFmtId="2" fontId="1" fillId="0" borderId="5" xfId="0" applyNumberFormat="1" applyFont="1" applyBorder="1" applyAlignment="1">
      <alignment horizontal="center" vertical="center"/>
    </xf>
    <xf numFmtId="1" fontId="14" fillId="0" borderId="5" xfId="0" applyNumberFormat="1" applyFont="1" applyBorder="1" applyAlignment="1">
      <alignment horizontal="center" vertical="center"/>
    </xf>
    <xf numFmtId="167" fontId="14" fillId="0" borderId="5" xfId="0" applyNumberFormat="1" applyFont="1" applyBorder="1" applyAlignment="1">
      <alignment horizontal="center" vertical="center"/>
    </xf>
    <xf numFmtId="4" fontId="14" fillId="3" borderId="5" xfId="0" applyNumberFormat="1" applyFont="1" applyFill="1" applyBorder="1" applyAlignment="1">
      <alignment horizontal="center" vertical="center"/>
    </xf>
    <xf numFmtId="164" fontId="14" fillId="0" borderId="5" xfId="0" applyNumberFormat="1" applyFont="1" applyBorder="1" applyAlignment="1">
      <alignment horizontal="center" vertical="center"/>
    </xf>
    <xf numFmtId="0" fontId="0" fillId="0" borderId="0" xfId="0" applyFont="1"/>
    <xf numFmtId="0" fontId="0" fillId="0" borderId="0" xfId="0" applyFont="1" applyFill="1" applyAlignment="1">
      <alignment horizontal="left" vertical="center"/>
    </xf>
    <xf numFmtId="0" fontId="0" fillId="0" borderId="0" xfId="0" applyFont="1" applyFill="1"/>
    <xf numFmtId="0" fontId="0" fillId="0" borderId="0" xfId="0" applyFont="1" applyFill="1" applyAlignment="1">
      <alignment horizontal="left" vertical="center" wrapText="1"/>
    </xf>
    <xf numFmtId="0" fontId="0" fillId="0" borderId="12" xfId="0" applyBorder="1"/>
    <xf numFmtId="0" fontId="0" fillId="0" borderId="0" xfId="0" applyFont="1" applyFill="1" applyAlignment="1">
      <alignment vertical="center"/>
    </xf>
    <xf numFmtId="0" fontId="0" fillId="0" borderId="0" xfId="0" applyFont="1" applyFill="1" applyAlignment="1"/>
    <xf numFmtId="0" fontId="0" fillId="0" borderId="0" xfId="0" applyFont="1" applyFill="1" applyAlignment="1">
      <alignment horizontal="right" vertical="center"/>
    </xf>
    <xf numFmtId="0" fontId="41" fillId="0" borderId="0" xfId="0" applyFont="1" applyFill="1" applyAlignment="1">
      <alignment horizontal="center" vertical="center" wrapText="1"/>
    </xf>
    <xf numFmtId="0" fontId="0" fillId="0" borderId="0" xfId="0" applyFill="1"/>
    <xf numFmtId="0" fontId="0" fillId="0" borderId="0" xfId="0" applyFont="1" applyFill="1" applyAlignment="1">
      <alignment horizontal="left" vertical="center" indent="4"/>
    </xf>
    <xf numFmtId="0" fontId="0" fillId="0" borderId="17" xfId="0" applyFont="1" applyFill="1" applyBorder="1" applyAlignment="1"/>
    <xf numFmtId="0" fontId="0" fillId="0" borderId="0" xfId="0" applyFont="1" applyFill="1" applyAlignment="1">
      <alignment horizontal="left" vertical="center" indent="3"/>
    </xf>
    <xf numFmtId="0" fontId="0" fillId="0" borderId="0" xfId="0" applyFont="1" applyFill="1" applyAlignment="1">
      <alignment horizontal="left"/>
    </xf>
    <xf numFmtId="0" fontId="0" fillId="0" borderId="0" xfId="0" applyFont="1" applyFill="1" applyAlignment="1">
      <alignment horizontal="center"/>
    </xf>
    <xf numFmtId="0" fontId="0" fillId="0" borderId="0" xfId="0" applyFont="1" applyFill="1" applyAlignment="1">
      <alignment horizontal="center" vertical="center"/>
    </xf>
    <xf numFmtId="0" fontId="26" fillId="0" borderId="7" xfId="0" applyFont="1" applyFill="1" applyBorder="1"/>
    <xf numFmtId="0" fontId="26" fillId="0" borderId="7" xfId="0" applyFont="1" applyFill="1" applyBorder="1" applyAlignment="1">
      <alignment vertical="center"/>
    </xf>
    <xf numFmtId="0" fontId="0" fillId="0" borderId="7" xfId="0" applyFont="1" applyFill="1" applyBorder="1" applyAlignment="1">
      <alignment horizontal="right"/>
    </xf>
    <xf numFmtId="0" fontId="20" fillId="0" borderId="0" xfId="0" applyFont="1" applyFill="1" applyAlignment="1">
      <alignment vertical="center"/>
    </xf>
    <xf numFmtId="0" fontId="0" fillId="0" borderId="9" xfId="0" applyFont="1" applyFill="1" applyBorder="1"/>
    <xf numFmtId="0" fontId="0" fillId="0" borderId="9" xfId="0" applyFont="1" applyFill="1" applyBorder="1" applyAlignment="1">
      <alignment horizontal="right"/>
    </xf>
    <xf numFmtId="0" fontId="0" fillId="0" borderId="7" xfId="0" applyFont="1" applyFill="1" applyBorder="1"/>
    <xf numFmtId="0" fontId="26" fillId="0" borderId="9" xfId="0" applyFont="1" applyFill="1" applyBorder="1"/>
    <xf numFmtId="0" fontId="0" fillId="0" borderId="0" xfId="0" applyFont="1" applyAlignment="1">
      <alignment horizontal="left"/>
    </xf>
    <xf numFmtId="0" fontId="0" fillId="0" borderId="1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13" xfId="0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20" fillId="0" borderId="5" xfId="0" applyFont="1" applyBorder="1" applyAlignment="1">
      <alignment horizontal="left" vertical="center"/>
    </xf>
    <xf numFmtId="0" fontId="20" fillId="0" borderId="5" xfId="0" applyFont="1" applyBorder="1" applyAlignment="1">
      <alignment horizontal="center" vertical="center" wrapText="1"/>
    </xf>
    <xf numFmtId="0" fontId="0" fillId="0" borderId="0" xfId="0" applyFont="1"/>
    <xf numFmtId="0" fontId="0" fillId="0" borderId="7" xfId="0" applyFont="1" applyBorder="1"/>
    <xf numFmtId="0" fontId="1" fillId="0" borderId="0" xfId="0" applyFont="1"/>
    <xf numFmtId="0" fontId="24" fillId="0" borderId="0" xfId="0" applyFont="1" applyAlignment="1">
      <alignment horizontal="left"/>
    </xf>
    <xf numFmtId="0" fontId="0" fillId="0" borderId="0" xfId="0" applyFont="1" applyAlignment="1">
      <alignment horizontal="left"/>
    </xf>
    <xf numFmtId="0" fontId="0" fillId="0" borderId="7" xfId="0" applyFont="1" applyBorder="1" applyAlignment="1">
      <alignment horizontal="center"/>
    </xf>
    <xf numFmtId="4" fontId="0" fillId="6" borderId="5" xfId="0" applyNumberFormat="1" applyFont="1" applyFill="1" applyBorder="1" applyAlignment="1">
      <alignment horizontal="center" vertical="center"/>
    </xf>
    <xf numFmtId="0" fontId="13" fillId="4" borderId="8" xfId="0" applyFont="1" applyFill="1" applyBorder="1" applyAlignment="1">
      <alignment horizontal="center"/>
    </xf>
    <xf numFmtId="0" fontId="0" fillId="0" borderId="9" xfId="0" applyBorder="1"/>
    <xf numFmtId="0" fontId="1" fillId="4" borderId="5" xfId="0" applyFont="1" applyFill="1" applyBorder="1" applyAlignment="1">
      <alignment horizontal="center"/>
    </xf>
    <xf numFmtId="0" fontId="0" fillId="0" borderId="13" xfId="0" applyBorder="1"/>
    <xf numFmtId="0" fontId="1" fillId="0" borderId="0" xfId="0" applyFont="1" applyAlignment="1">
      <alignment horizontal="center" vertical="top" wrapText="1"/>
    </xf>
    <xf numFmtId="0" fontId="0" fillId="0" borderId="0" xfId="0" applyAlignment="1">
      <alignment horizontal="center"/>
    </xf>
    <xf numFmtId="0" fontId="0" fillId="0" borderId="0" xfId="0"/>
    <xf numFmtId="0" fontId="1" fillId="4" borderId="5" xfId="0" applyFont="1" applyFill="1" applyBorder="1" applyAlignment="1">
      <alignment horizontal="center" vertical="center" wrapText="1"/>
    </xf>
    <xf numFmtId="0" fontId="0" fillId="0" borderId="12" xfId="0" applyBorder="1"/>
    <xf numFmtId="0" fontId="1" fillId="3" borderId="18" xfId="0" applyFont="1" applyFill="1" applyBorder="1" applyAlignment="1">
      <alignment horizontal="center" vertical="center"/>
    </xf>
    <xf numFmtId="0" fontId="0" fillId="0" borderId="18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5" fillId="0" borderId="0" xfId="0" applyFont="1" applyAlignment="1">
      <alignment horizontal="center"/>
    </xf>
    <xf numFmtId="0" fontId="0" fillId="0" borderId="0" xfId="0" applyFont="1"/>
    <xf numFmtId="0" fontId="0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Font="1" applyAlignment="1">
      <alignment horizontal="left" vertical="center" wrapText="1"/>
    </xf>
    <xf numFmtId="0" fontId="0" fillId="0" borderId="0" xfId="0" applyFont="1" applyAlignment="1">
      <alignment horizontal="center" vertical="center"/>
    </xf>
    <xf numFmtId="164" fontId="0" fillId="0" borderId="7" xfId="0" applyNumberFormat="1" applyFont="1" applyBorder="1" applyAlignment="1">
      <alignment horizontal="center" vertical="center"/>
    </xf>
    <xf numFmtId="0" fontId="0" fillId="0" borderId="7" xfId="0" applyFont="1" applyBorder="1"/>
    <xf numFmtId="0" fontId="1" fillId="0" borderId="0" xfId="0" applyFont="1" applyAlignment="1">
      <alignment vertical="center"/>
    </xf>
    <xf numFmtId="0" fontId="0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 wrapText="1"/>
    </xf>
    <xf numFmtId="164" fontId="0" fillId="0" borderId="9" xfId="0" applyNumberFormat="1" applyFont="1" applyBorder="1" applyAlignment="1">
      <alignment horizontal="center" vertical="center"/>
    </xf>
    <xf numFmtId="0" fontId="0" fillId="0" borderId="9" xfId="0" applyFont="1" applyBorder="1"/>
    <xf numFmtId="1" fontId="0" fillId="0" borderId="9" xfId="0" applyNumberFormat="1" applyFont="1" applyBorder="1" applyAlignment="1">
      <alignment horizontal="center" vertical="center"/>
    </xf>
    <xf numFmtId="0" fontId="0" fillId="0" borderId="0" xfId="0" applyFont="1" applyAlignment="1">
      <alignment horizontal="right" vertical="center"/>
    </xf>
    <xf numFmtId="0" fontId="0" fillId="0" borderId="0" xfId="0" applyFont="1" applyAlignment="1">
      <alignment horizontal="right"/>
    </xf>
    <xf numFmtId="0" fontId="0" fillId="0" borderId="7" xfId="0" applyFont="1" applyBorder="1" applyAlignment="1">
      <alignment horizontal="right" vertical="center"/>
    </xf>
    <xf numFmtId="0" fontId="0" fillId="0" borderId="0" xfId="0" applyFont="1" applyBorder="1" applyAlignment="1">
      <alignment horizontal="right" vertical="center"/>
    </xf>
    <xf numFmtId="0" fontId="0" fillId="0" borderId="17" xfId="0" applyFont="1" applyBorder="1" applyAlignment="1">
      <alignment horizontal="center" vertical="center"/>
    </xf>
    <xf numFmtId="0" fontId="0" fillId="0" borderId="17" xfId="0" applyFont="1" applyBorder="1"/>
    <xf numFmtId="0" fontId="1" fillId="0" borderId="0" xfId="0" applyFont="1"/>
    <xf numFmtId="0" fontId="14" fillId="0" borderId="7" xfId="0" applyFont="1" applyBorder="1" applyAlignment="1">
      <alignment horizontal="center" vertical="center"/>
    </xf>
    <xf numFmtId="0" fontId="0" fillId="0" borderId="0" xfId="0" applyFont="1" applyAlignment="1">
      <alignment wrapText="1"/>
    </xf>
    <xf numFmtId="0" fontId="0" fillId="0" borderId="7" xfId="0" applyFont="1" applyBorder="1" applyAlignment="1">
      <alignment horizontal="center" vertical="center"/>
    </xf>
    <xf numFmtId="0" fontId="0" fillId="0" borderId="0" xfId="0" applyFont="1" applyAlignment="1">
      <alignment horizontal="center" vertical="top"/>
    </xf>
    <xf numFmtId="0" fontId="14" fillId="0" borderId="7" xfId="0" applyFont="1" applyBorder="1" applyAlignment="1">
      <alignment horizontal="center"/>
    </xf>
    <xf numFmtId="0" fontId="0" fillId="0" borderId="7" xfId="0" applyFont="1" applyBorder="1" applyAlignment="1">
      <alignment horizontal="left" vertical="center"/>
    </xf>
    <xf numFmtId="0" fontId="0" fillId="0" borderId="17" xfId="0" applyFont="1" applyBorder="1" applyAlignment="1">
      <alignment horizontal="center" vertical="top"/>
    </xf>
    <xf numFmtId="0" fontId="0" fillId="0" borderId="7" xfId="0" applyFont="1" applyBorder="1" applyAlignment="1">
      <alignment horizontal="center" vertical="center" wrapText="1"/>
    </xf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24" fillId="0" borderId="0" xfId="0" applyFont="1" applyAlignment="1">
      <alignment horizontal="left"/>
    </xf>
    <xf numFmtId="0" fontId="1" fillId="0" borderId="5" xfId="0" applyFont="1" applyBorder="1" applyAlignment="1">
      <alignment horizontal="center" vertical="center" wrapText="1"/>
    </xf>
    <xf numFmtId="0" fontId="0" fillId="0" borderId="13" xfId="0" applyFont="1" applyBorder="1"/>
    <xf numFmtId="0" fontId="3" fillId="0" borderId="5" xfId="0" applyFont="1" applyBorder="1" applyAlignment="1">
      <alignment horizontal="center" vertical="center" wrapText="1"/>
    </xf>
    <xf numFmtId="0" fontId="0" fillId="0" borderId="12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0" fontId="0" fillId="0" borderId="17" xfId="0" applyFont="1" applyFill="1" applyBorder="1" applyAlignment="1">
      <alignment horizontal="center" vertical="center"/>
    </xf>
    <xf numFmtId="0" fontId="0" fillId="0" borderId="17" xfId="0" applyFont="1" applyFill="1" applyBorder="1"/>
    <xf numFmtId="0" fontId="0" fillId="0" borderId="17" xfId="0" applyFont="1" applyBorder="1" applyAlignment="1">
      <alignment horizontal="center"/>
    </xf>
    <xf numFmtId="0" fontId="0" fillId="0" borderId="7" xfId="0" applyFont="1" applyBorder="1" applyAlignment="1">
      <alignment horizontal="left" vertical="center" wrapText="1"/>
    </xf>
    <xf numFmtId="0" fontId="14" fillId="0" borderId="7" xfId="0" applyFont="1" applyBorder="1" applyAlignment="1">
      <alignment horizontal="center" wrapText="1"/>
    </xf>
    <xf numFmtId="0" fontId="14" fillId="0" borderId="7" xfId="0" applyFont="1" applyFill="1" applyBorder="1" applyAlignment="1">
      <alignment horizontal="center" vertical="center" wrapText="1"/>
    </xf>
    <xf numFmtId="0" fontId="0" fillId="0" borderId="7" xfId="0" applyFont="1" applyFill="1" applyBorder="1"/>
    <xf numFmtId="0" fontId="0" fillId="0" borderId="0" xfId="0" applyFont="1" applyFill="1" applyAlignment="1">
      <alignment horizontal="left" vertical="center"/>
    </xf>
    <xf numFmtId="0" fontId="0" fillId="0" borderId="0" xfId="0" applyFont="1" applyFill="1"/>
    <xf numFmtId="0" fontId="14" fillId="0" borderId="7" xfId="0" applyFont="1" applyFill="1" applyBorder="1" applyAlignment="1">
      <alignment horizontal="center" vertical="center"/>
    </xf>
    <xf numFmtId="0" fontId="14" fillId="0" borderId="9" xfId="0" applyFont="1" applyBorder="1" applyAlignment="1">
      <alignment horizontal="center" vertical="center" wrapText="1"/>
    </xf>
    <xf numFmtId="0" fontId="0" fillId="0" borderId="0" xfId="0" applyFont="1" applyFill="1" applyAlignment="1">
      <alignment horizontal="left" vertical="center" wrapText="1"/>
    </xf>
    <xf numFmtId="0" fontId="0" fillId="0" borderId="0" xfId="0" applyFont="1" applyFill="1" applyAlignment="1">
      <alignment horizontal="center" vertical="center"/>
    </xf>
    <xf numFmtId="0" fontId="0" fillId="0" borderId="0" xfId="0" applyFont="1" applyFill="1" applyAlignment="1">
      <alignment horizontal="center" vertical="center" wrapText="1"/>
    </xf>
    <xf numFmtId="0" fontId="0" fillId="0" borderId="7" xfId="0" applyFont="1" applyFill="1" applyBorder="1" applyAlignment="1">
      <alignment horizontal="center" vertical="center" wrapText="1"/>
    </xf>
    <xf numFmtId="0" fontId="0" fillId="0" borderId="7" xfId="0" applyFont="1" applyFill="1" applyBorder="1" applyAlignment="1">
      <alignment horizontal="right" vertical="center"/>
    </xf>
    <xf numFmtId="0" fontId="0" fillId="6" borderId="0" xfId="0" applyFont="1" applyFill="1" applyAlignment="1">
      <alignment horizontal="left"/>
    </xf>
    <xf numFmtId="0" fontId="0" fillId="6" borderId="0" xfId="0" applyFont="1" applyFill="1"/>
    <xf numFmtId="0" fontId="0" fillId="6" borderId="0" xfId="0" applyFont="1" applyFill="1" applyAlignment="1">
      <alignment horizontal="center" vertical="top"/>
    </xf>
    <xf numFmtId="0" fontId="0" fillId="6" borderId="7" xfId="0" applyFont="1" applyFill="1" applyBorder="1" applyAlignment="1">
      <alignment horizontal="center"/>
    </xf>
    <xf numFmtId="0" fontId="0" fillId="6" borderId="7" xfId="0" applyFont="1" applyFill="1" applyBorder="1"/>
    <xf numFmtId="0" fontId="0" fillId="0" borderId="7" xfId="0" applyFont="1" applyFill="1" applyBorder="1" applyAlignment="1">
      <alignment horizontal="center" vertical="center"/>
    </xf>
    <xf numFmtId="0" fontId="0" fillId="0" borderId="0" xfId="0" applyFont="1" applyFill="1" applyAlignment="1">
      <alignment horizontal="center" vertical="top"/>
    </xf>
    <xf numFmtId="0" fontId="0" fillId="0" borderId="0" xfId="0" applyFont="1" applyFill="1" applyAlignment="1">
      <alignment vertical="center"/>
    </xf>
    <xf numFmtId="0" fontId="0" fillId="0" borderId="7" xfId="0" applyFont="1" applyFill="1" applyBorder="1" applyAlignment="1">
      <alignment horizontal="center" wrapText="1"/>
    </xf>
    <xf numFmtId="0" fontId="0" fillId="0" borderId="0" xfId="0" applyFont="1" applyFill="1" applyBorder="1" applyAlignment="1">
      <alignment horizontal="right"/>
    </xf>
    <xf numFmtId="0" fontId="0" fillId="0" borderId="17" xfId="0" applyFont="1" applyFill="1" applyBorder="1" applyAlignment="1">
      <alignment horizontal="right"/>
    </xf>
    <xf numFmtId="0" fontId="14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center" wrapText="1"/>
    </xf>
    <xf numFmtId="0" fontId="6" fillId="0" borderId="0" xfId="0" applyFont="1" applyFill="1" applyAlignment="1">
      <alignment horizontal="left" vertical="center" wrapText="1"/>
    </xf>
    <xf numFmtId="0" fontId="14" fillId="0" borderId="0" xfId="0" applyFont="1" applyFill="1" applyAlignment="1">
      <alignment horizontal="left" vertical="center"/>
    </xf>
    <xf numFmtId="0" fontId="14" fillId="0" borderId="0" xfId="0" applyFont="1" applyFill="1" applyAlignment="1">
      <alignment horizontal="left" vertical="center" wrapText="1"/>
    </xf>
    <xf numFmtId="0" fontId="1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wrapText="1"/>
    </xf>
    <xf numFmtId="0" fontId="14" fillId="0" borderId="0" xfId="0" applyFont="1" applyAlignment="1">
      <alignment horizontal="left" vertical="center"/>
    </xf>
    <xf numFmtId="0" fontId="0" fillId="0" borderId="0" xfId="0" applyFont="1" applyAlignment="1">
      <alignment horizontal="left" vertical="top" wrapText="1"/>
    </xf>
    <xf numFmtId="0" fontId="27" fillId="0" borderId="0" xfId="0" applyFont="1" applyAlignment="1">
      <alignment horizontal="left" vertical="center" wrapText="1"/>
    </xf>
    <xf numFmtId="0" fontId="21" fillId="0" borderId="0" xfId="0" applyFont="1" applyAlignment="1">
      <alignment horizontal="left" vertical="center" wrapText="1"/>
    </xf>
    <xf numFmtId="0" fontId="21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 wrapText="1"/>
    </xf>
    <xf numFmtId="0" fontId="0" fillId="0" borderId="0" xfId="0" applyFont="1" applyFill="1" applyAlignment="1">
      <alignment horizontal="left"/>
    </xf>
    <xf numFmtId="0" fontId="0" fillId="0" borderId="0" xfId="0" applyFont="1" applyAlignment="1">
      <alignment horizontal="left" wrapText="1"/>
    </xf>
    <xf numFmtId="4" fontId="0" fillId="0" borderId="0" xfId="0" applyNumberFormat="1" applyFont="1" applyAlignment="1">
      <alignment horizontal="center" vertical="center"/>
    </xf>
    <xf numFmtId="4" fontId="0" fillId="0" borderId="0" xfId="0" applyNumberFormat="1" applyFont="1" applyAlignment="1">
      <alignment horizontal="center"/>
    </xf>
    <xf numFmtId="167" fontId="0" fillId="0" borderId="0" xfId="0" applyNumberFormat="1" applyFont="1" applyAlignment="1">
      <alignment horizontal="center"/>
    </xf>
    <xf numFmtId="164" fontId="0" fillId="0" borderId="0" xfId="0" applyNumberFormat="1" applyFont="1" applyBorder="1" applyAlignment="1">
      <alignment horizontal="center" vertical="center"/>
    </xf>
    <xf numFmtId="4" fontId="0" fillId="0" borderId="7" xfId="0" applyNumberFormat="1" applyFont="1" applyBorder="1" applyAlignment="1">
      <alignment horizontal="center"/>
    </xf>
    <xf numFmtId="0" fontId="0" fillId="0" borderId="0" xfId="0" applyFont="1" applyAlignment="1">
      <alignment horizontal="center" wrapText="1"/>
    </xf>
    <xf numFmtId="0" fontId="1" fillId="0" borderId="0" xfId="0" applyFont="1" applyAlignment="1">
      <alignment horizontal="center"/>
    </xf>
    <xf numFmtId="3" fontId="0" fillId="0" borderId="17" xfId="0" applyNumberFormat="1" applyFont="1" applyBorder="1" applyAlignment="1">
      <alignment horizontal="center"/>
    </xf>
    <xf numFmtId="0" fontId="0" fillId="6" borderId="0" xfId="0" applyFont="1" applyFill="1" applyBorder="1" applyAlignment="1">
      <alignment horizontal="left" vertical="center"/>
    </xf>
    <xf numFmtId="0" fontId="0" fillId="6" borderId="0" xfId="0" applyFont="1" applyFill="1" applyBorder="1" applyAlignment="1">
      <alignment horizontal="left" vertical="center" wrapText="1"/>
    </xf>
    <xf numFmtId="0" fontId="0" fillId="6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left" vertical="center" wrapText="1"/>
    </xf>
    <xf numFmtId="3" fontId="0" fillId="6" borderId="0" xfId="0" applyNumberFormat="1" applyFont="1" applyFill="1" applyBorder="1" applyAlignment="1">
      <alignment horizontal="center" vertical="center"/>
    </xf>
    <xf numFmtId="0" fontId="0" fillId="0" borderId="0" xfId="0" applyFont="1" applyBorder="1" applyAlignment="1">
      <alignment horizontal="left"/>
    </xf>
    <xf numFmtId="2" fontId="0" fillId="6" borderId="0" xfId="0" applyNumberFormat="1" applyFont="1" applyFill="1" applyBorder="1" applyAlignment="1">
      <alignment horizontal="center" vertical="center" wrapText="1"/>
    </xf>
    <xf numFmtId="164" fontId="0" fillId="0" borderId="0" xfId="0" applyNumberFormat="1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left" vertical="center"/>
    </xf>
    <xf numFmtId="4" fontId="0" fillId="6" borderId="0" xfId="0" applyNumberFormat="1" applyFont="1" applyFill="1" applyBorder="1" applyAlignment="1">
      <alignment horizontal="left" vertical="center"/>
    </xf>
    <xf numFmtId="164" fontId="0" fillId="6" borderId="0" xfId="0" applyNumberFormat="1" applyFont="1" applyFill="1" applyBorder="1" applyAlignment="1">
      <alignment horizontal="left" vertical="center"/>
    </xf>
    <xf numFmtId="4" fontId="0" fillId="6" borderId="0" xfId="0" applyNumberFormat="1" applyFont="1" applyFill="1" applyBorder="1" applyAlignment="1">
      <alignment horizontal="center" vertical="center"/>
    </xf>
    <xf numFmtId="164" fontId="0" fillId="0" borderId="0" xfId="0" applyNumberFormat="1" applyFont="1" applyBorder="1" applyAlignment="1">
      <alignment horizontal="center"/>
    </xf>
    <xf numFmtId="1" fontId="0" fillId="6" borderId="0" xfId="0" applyNumberFormat="1" applyFont="1" applyFill="1" applyBorder="1" applyAlignment="1">
      <alignment horizontal="center" vertical="center"/>
    </xf>
    <xf numFmtId="164" fontId="0" fillId="6" borderId="0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0" xfId="0" applyBorder="1"/>
    <xf numFmtId="1" fontId="0" fillId="6" borderId="0" xfId="0" applyNumberFormat="1" applyFont="1" applyFill="1" applyBorder="1" applyAlignment="1">
      <alignment horizontal="left" vertical="center"/>
    </xf>
    <xf numFmtId="0" fontId="0" fillId="0" borderId="0" xfId="0" applyFont="1" applyBorder="1" applyAlignment="1">
      <alignment horizontal="left" vertical="center"/>
    </xf>
    <xf numFmtId="167" fontId="0" fillId="6" borderId="0" xfId="0" applyNumberFormat="1" applyFont="1" applyFill="1" applyBorder="1" applyAlignment="1">
      <alignment horizontal="center" vertical="center"/>
    </xf>
    <xf numFmtId="0" fontId="24" fillId="0" borderId="0" xfId="0" applyFont="1" applyAlignment="1">
      <alignment horizontal="left" vertical="center"/>
    </xf>
    <xf numFmtId="0" fontId="0" fillId="0" borderId="0" xfId="0" applyFont="1" applyAlignment="1">
      <alignment horizontal="left" vertical="center" indent="1"/>
    </xf>
    <xf numFmtId="0" fontId="0" fillId="0" borderId="5" xfId="0" applyFont="1" applyBorder="1" applyAlignment="1">
      <alignment horizontal="center"/>
    </xf>
    <xf numFmtId="0" fontId="26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9" fillId="0" borderId="0" xfId="0" applyFont="1" applyAlignment="1">
      <alignment horizontal="left" vertical="center" wrapText="1"/>
    </xf>
    <xf numFmtId="0" fontId="19" fillId="0" borderId="0" xfId="0" applyFont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 wrapText="1"/>
    </xf>
  </cellXfs>
  <cellStyles count="4">
    <cellStyle name="Обычный" xfId="0" builtinId="0"/>
    <cellStyle name="Обычный 2" xfId="1" xr:uid="{00000000-0005-0000-0000-000001000000}"/>
    <cellStyle name="Обычный 3" xfId="3" xr:uid="{00000000-0005-0000-0000-000002000000}"/>
    <cellStyle name="Процентный" xfId="2" builtinId="5"/>
  </cellStyles>
  <dxfs count="25">
    <dxf>
      <font>
        <strike val="0"/>
        <condense val="0"/>
        <extend val="0"/>
        <outline val="0"/>
        <shadow val="0"/>
        <vertAlign val="baseline"/>
        <sz val="10"/>
        <color theme="1"/>
        <name val="Calibri"/>
        <scheme val="minor"/>
      </font>
      <numFmt numFmtId="0" formatCode="General"/>
    </dxf>
    <dxf>
      <font>
        <strike val="0"/>
        <condense val="0"/>
        <extend val="0"/>
        <outline val="0"/>
        <shadow val="0"/>
        <vertAlign val="baseline"/>
        <sz val="10"/>
        <color theme="1"/>
        <name val="Calibri"/>
        <scheme val="minor"/>
      </font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Calibri"/>
        <scheme val="minor"/>
      </font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Calibri"/>
        <scheme val="minor"/>
      </font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Calibri"/>
        <scheme val="minor"/>
      </font>
    </dxf>
    <dxf>
      <border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Calibri"/>
        <scheme val="minor"/>
      </font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Calibri"/>
        <scheme val="minor"/>
      </font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Calibri"/>
        <scheme val="minor"/>
      </font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Calibri"/>
        <scheme val="minor"/>
      </font>
    </dxf>
    <dxf>
      <border>
        <bottom style="thin">
          <color indexed="64"/>
        </bottom>
      </border>
    </dxf>
    <dxf>
      <font>
        <b/>
        <strike val="0"/>
        <condense val="0"/>
        <extend val="0"/>
        <outline val="0"/>
        <shadow val="0"/>
        <vertAlign val="baseline"/>
        <sz val="10"/>
        <color theme="1"/>
        <name val="Calibri"/>
        <scheme val="minor"/>
      </font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sz val="10"/>
        <name val="Calibri"/>
        <scheme val="minor"/>
      </font>
      <fill>
        <patternFill patternType="solid">
          <fgColor indexed="64"/>
          <bgColor rgb="FFFFFFCC"/>
        </patternFill>
      </fill>
      <border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0"/>
        <name val="Calibri"/>
        <scheme val="minor"/>
      </font>
      <fill>
        <patternFill patternType="solid">
          <fgColor indexed="64"/>
          <bgColor rgb="FFFFFFCC"/>
        </patternFill>
      </fill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0"/>
        <name val="Calibri"/>
        <scheme val="minor"/>
      </font>
      <fill>
        <patternFill patternType="solid">
          <fgColor indexed="64"/>
          <bgColor rgb="FFFFFFCC"/>
        </patternFill>
      </fill>
    </dxf>
    <dxf>
      <border outline="0">
        <bottom style="thin">
          <color indexed="64"/>
        </bottom>
      </border>
    </dxf>
    <dxf>
      <font>
        <b/>
        <strike val="0"/>
        <condense val="0"/>
        <extend val="0"/>
        <outline val="0"/>
        <shadow val="0"/>
        <vertAlign val="baseline"/>
        <sz val="10"/>
        <color theme="1"/>
        <name val="Calibri"/>
        <scheme val="minor"/>
      </font>
      <border outline="0">
        <left style="thin">
          <color indexed="64"/>
        </left>
        <right style="thin">
          <color indexed="64"/>
        </right>
        <top/>
        <bottom/>
      </border>
    </dxf>
    <dxf>
      <font>
        <color theme="4"/>
      </font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wmf"/><Relationship Id="rId2" Type="http://schemas.openxmlformats.org/officeDocument/2006/relationships/image" Target="../media/image3.wmf"/><Relationship Id="rId1" Type="http://schemas.openxmlformats.org/officeDocument/2006/relationships/image" Target="../media/image2.w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wmf"/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wmf"/><Relationship Id="rId2" Type="http://schemas.openxmlformats.org/officeDocument/2006/relationships/image" Target="../media/image13.wmf"/><Relationship Id="rId1" Type="http://schemas.openxmlformats.org/officeDocument/2006/relationships/image" Target="../media/image12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54428</xdr:colOff>
      <xdr:row>7</xdr:row>
      <xdr:rowOff>231321</xdr:rowOff>
    </xdr:from>
    <xdr:to>
      <xdr:col>8</xdr:col>
      <xdr:colOff>843643</xdr:colOff>
      <xdr:row>7</xdr:row>
      <xdr:rowOff>1387927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 bwMode="auto">
        <a:xfrm>
          <a:off x="54428" y="408214"/>
          <a:ext cx="6422572" cy="1156606"/>
        </a:xfrm>
        <a:prstGeom prst="rect">
          <a:avLst/>
        </a:prstGeom>
        <a:noFill/>
        <a:ln>
          <a:noFill/>
          <a:prstDash val="solid"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4</xdr:row>
          <xdr:rowOff>409575</xdr:rowOff>
        </xdr:from>
        <xdr:to>
          <xdr:col>16</xdr:col>
          <xdr:colOff>180975</xdr:colOff>
          <xdr:row>6</xdr:row>
          <xdr:rowOff>133350</xdr:rowOff>
        </xdr:to>
        <xdr:sp macro="" textlink="">
          <xdr:nvSpPr>
            <xdr:cNvPr id="36865" name="Object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E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11</xdr:row>
          <xdr:rowOff>19050</xdr:rowOff>
        </xdr:from>
        <xdr:to>
          <xdr:col>2</xdr:col>
          <xdr:colOff>161925</xdr:colOff>
          <xdr:row>11</xdr:row>
          <xdr:rowOff>180975</xdr:rowOff>
        </xdr:to>
        <xdr:sp macro="" textlink="">
          <xdr:nvSpPr>
            <xdr:cNvPr id="36866" name="Object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E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10</xdr:row>
          <xdr:rowOff>19050</xdr:rowOff>
        </xdr:from>
        <xdr:to>
          <xdr:col>2</xdr:col>
          <xdr:colOff>161925</xdr:colOff>
          <xdr:row>10</xdr:row>
          <xdr:rowOff>180975</xdr:rowOff>
        </xdr:to>
        <xdr:sp macro="" textlink="">
          <xdr:nvSpPr>
            <xdr:cNvPr id="36867" name="Object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E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13</xdr:row>
          <xdr:rowOff>47625</xdr:rowOff>
        </xdr:from>
        <xdr:to>
          <xdr:col>2</xdr:col>
          <xdr:colOff>104775</xdr:colOff>
          <xdr:row>13</xdr:row>
          <xdr:rowOff>266700</xdr:rowOff>
        </xdr:to>
        <xdr:sp macro="" textlink="">
          <xdr:nvSpPr>
            <xdr:cNvPr id="36868" name="Object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E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xdr:twoCellAnchor editAs="oneCell">
    <xdr:from>
      <xdr:col>9</xdr:col>
      <xdr:colOff>9525</xdr:colOff>
      <xdr:row>15</xdr:row>
      <xdr:rowOff>180975</xdr:rowOff>
    </xdr:from>
    <xdr:to>
      <xdr:col>15</xdr:col>
      <xdr:colOff>90588</xdr:colOff>
      <xdr:row>17</xdr:row>
      <xdr:rowOff>185267</xdr:rowOff>
    </xdr:to>
    <xdr:grpSp>
      <xdr:nvGrpSpPr>
        <xdr:cNvPr id="6" name="Группа 33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pSpPr>
          <a:grpSpLocks/>
        </xdr:cNvGrpSpPr>
      </xdr:nvGrpSpPr>
      <xdr:grpSpPr bwMode="auto">
        <a:xfrm>
          <a:off x="1809750" y="3543300"/>
          <a:ext cx="1252638" cy="432917"/>
          <a:chOff x="1546989" y="6873038"/>
          <a:chExt cx="473314" cy="195515"/>
        </a:xfrm>
      </xdr:grpSpPr>
      <xdr:cxnSp macro="">
        <xdr:nvCxnSpPr>
          <xdr:cNvPr id="7" name="Прямая соединительная линия 6">
            <a:extLst>
              <a:ext uri="{FF2B5EF4-FFF2-40B4-BE49-F238E27FC236}">
                <a16:creationId xmlns:a16="http://schemas.microsoft.com/office/drawing/2014/main" id="{00000000-0008-0000-0E00-000007000000}"/>
              </a:ext>
            </a:extLst>
          </xdr:cNvPr>
          <xdr:cNvCxnSpPr/>
        </xdr:nvCxnSpPr>
        <xdr:spPr>
          <a:xfrm flipV="1">
            <a:off x="1546989" y="6947372"/>
            <a:ext cx="33849" cy="11612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" name="Прямая соединительная линия 7">
            <a:extLst>
              <a:ext uri="{FF2B5EF4-FFF2-40B4-BE49-F238E27FC236}">
                <a16:creationId xmlns:a16="http://schemas.microsoft.com/office/drawing/2014/main" id="{00000000-0008-0000-0E00-000008000000}"/>
              </a:ext>
            </a:extLst>
          </xdr:cNvPr>
          <xdr:cNvCxnSpPr/>
        </xdr:nvCxnSpPr>
        <xdr:spPr>
          <a:xfrm>
            <a:off x="1580261" y="6948680"/>
            <a:ext cx="16143" cy="113358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Прямая соединительная линия 8">
            <a:extLst>
              <a:ext uri="{FF2B5EF4-FFF2-40B4-BE49-F238E27FC236}">
                <a16:creationId xmlns:a16="http://schemas.microsoft.com/office/drawing/2014/main" id="{00000000-0008-0000-0E00-000009000000}"/>
              </a:ext>
            </a:extLst>
          </xdr:cNvPr>
          <xdr:cNvCxnSpPr/>
        </xdr:nvCxnSpPr>
        <xdr:spPr>
          <a:xfrm rot="5400000" flipH="1" flipV="1">
            <a:off x="1513100" y="6956345"/>
            <a:ext cx="195515" cy="28902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" name="Прямая соединительная линия 9">
            <a:extLst>
              <a:ext uri="{FF2B5EF4-FFF2-40B4-BE49-F238E27FC236}">
                <a16:creationId xmlns:a16="http://schemas.microsoft.com/office/drawing/2014/main" id="{00000000-0008-0000-0E00-00000A000000}"/>
              </a:ext>
            </a:extLst>
          </xdr:cNvPr>
          <xdr:cNvCxnSpPr/>
        </xdr:nvCxnSpPr>
        <xdr:spPr>
          <a:xfrm>
            <a:off x="1625308" y="6873039"/>
            <a:ext cx="394995" cy="0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26</xdr:row>
          <xdr:rowOff>9525</xdr:rowOff>
        </xdr:from>
        <xdr:to>
          <xdr:col>15</xdr:col>
          <xdr:colOff>19050</xdr:colOff>
          <xdr:row>28</xdr:row>
          <xdr:rowOff>180975</xdr:rowOff>
        </xdr:to>
        <xdr:sp macro="" textlink="">
          <xdr:nvSpPr>
            <xdr:cNvPr id="36869" name="Object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E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35</xdr:row>
          <xdr:rowOff>9525</xdr:rowOff>
        </xdr:from>
        <xdr:to>
          <xdr:col>14</xdr:col>
          <xdr:colOff>76200</xdr:colOff>
          <xdr:row>36</xdr:row>
          <xdr:rowOff>57150</xdr:rowOff>
        </xdr:to>
        <xdr:sp macro="" textlink="">
          <xdr:nvSpPr>
            <xdr:cNvPr id="36870" name="Object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E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39</xdr:row>
          <xdr:rowOff>28575</xdr:rowOff>
        </xdr:from>
        <xdr:to>
          <xdr:col>2</xdr:col>
          <xdr:colOff>171450</xdr:colOff>
          <xdr:row>40</xdr:row>
          <xdr:rowOff>0</xdr:rowOff>
        </xdr:to>
        <xdr:sp macro="" textlink="">
          <xdr:nvSpPr>
            <xdr:cNvPr id="36871" name="Object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E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40</xdr:row>
          <xdr:rowOff>28575</xdr:rowOff>
        </xdr:from>
        <xdr:to>
          <xdr:col>2</xdr:col>
          <xdr:colOff>171450</xdr:colOff>
          <xdr:row>41</xdr:row>
          <xdr:rowOff>0</xdr:rowOff>
        </xdr:to>
        <xdr:sp macro="" textlink="">
          <xdr:nvSpPr>
            <xdr:cNvPr id="36872" name="Object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E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523875</xdr:colOff>
          <xdr:row>5</xdr:row>
          <xdr:rowOff>419100</xdr:rowOff>
        </xdr:from>
        <xdr:to>
          <xdr:col>7</xdr:col>
          <xdr:colOff>152400</xdr:colOff>
          <xdr:row>7</xdr:row>
          <xdr:rowOff>38100</xdr:rowOff>
        </xdr:to>
        <xdr:sp macro="" textlink="">
          <xdr:nvSpPr>
            <xdr:cNvPr id="22529" name="Object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11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19</xdr:row>
          <xdr:rowOff>190500</xdr:rowOff>
        </xdr:from>
        <xdr:to>
          <xdr:col>1</xdr:col>
          <xdr:colOff>285750</xdr:colOff>
          <xdr:row>21</xdr:row>
          <xdr:rowOff>200025</xdr:rowOff>
        </xdr:to>
        <xdr:sp macro="" textlink="">
          <xdr:nvSpPr>
            <xdr:cNvPr id="22530" name="Object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11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552450</xdr:colOff>
          <xdr:row>28</xdr:row>
          <xdr:rowOff>85725</xdr:rowOff>
        </xdr:from>
        <xdr:to>
          <xdr:col>5</xdr:col>
          <xdr:colOff>171450</xdr:colOff>
          <xdr:row>30</xdr:row>
          <xdr:rowOff>133350</xdr:rowOff>
        </xdr:to>
        <xdr:sp macro="" textlink="">
          <xdr:nvSpPr>
            <xdr:cNvPr id="22531" name="Object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11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323851</xdr:colOff>
      <xdr:row>3</xdr:row>
      <xdr:rowOff>552450</xdr:rowOff>
    </xdr:from>
    <xdr:to>
      <xdr:col>7</xdr:col>
      <xdr:colOff>170308</xdr:colOff>
      <xdr:row>4</xdr:row>
      <xdr:rowOff>304800</xdr:rowOff>
    </xdr:to>
    <xdr:pic>
      <xdr:nvPicPr>
        <xdr:cNvPr id="8193" name="Picture 1">
          <a:extLst>
            <a:ext uri="{FF2B5EF4-FFF2-40B4-BE49-F238E27FC236}">
              <a16:creationId xmlns:a16="http://schemas.microsoft.com/office/drawing/2014/main" id="{00000000-0008-0000-1200-000001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5026" y="1504950"/>
          <a:ext cx="1075182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323852</xdr:colOff>
      <xdr:row>15</xdr:row>
      <xdr:rowOff>19512</xdr:rowOff>
    </xdr:from>
    <xdr:to>
      <xdr:col>9</xdr:col>
      <xdr:colOff>142875</xdr:colOff>
      <xdr:row>17</xdr:row>
      <xdr:rowOff>31605</xdr:rowOff>
    </xdr:to>
    <xdr:pic>
      <xdr:nvPicPr>
        <xdr:cNvPr id="8194" name="Picture 2">
          <a:extLst>
            <a:ext uri="{FF2B5EF4-FFF2-40B4-BE49-F238E27FC236}">
              <a16:creationId xmlns:a16="http://schemas.microsoft.com/office/drawing/2014/main" id="{00000000-0008-0000-1200-000002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2" y="4639137"/>
          <a:ext cx="2390773" cy="3549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523875</xdr:colOff>
          <xdr:row>6</xdr:row>
          <xdr:rowOff>0</xdr:rowOff>
        </xdr:from>
        <xdr:to>
          <xdr:col>6</xdr:col>
          <xdr:colOff>38100</xdr:colOff>
          <xdr:row>7</xdr:row>
          <xdr:rowOff>19050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1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13</xdr:row>
          <xdr:rowOff>9525</xdr:rowOff>
        </xdr:from>
        <xdr:to>
          <xdr:col>7</xdr:col>
          <xdr:colOff>371475</xdr:colOff>
          <xdr:row>14</xdr:row>
          <xdr:rowOff>9525</xdr:rowOff>
        </xdr:to>
        <xdr:sp macro="" textlink="">
          <xdr:nvSpPr>
            <xdr:cNvPr id="7170" name="Object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1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15</xdr:row>
          <xdr:rowOff>0</xdr:rowOff>
        </xdr:from>
        <xdr:to>
          <xdr:col>7</xdr:col>
          <xdr:colOff>228600</xdr:colOff>
          <xdr:row>16</xdr:row>
          <xdr:rowOff>76200</xdr:rowOff>
        </xdr:to>
        <xdr:sp macro="" textlink="">
          <xdr:nvSpPr>
            <xdr:cNvPr id="7171" name="Object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1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Таблица1" displayName="Таблица1" ref="B2:C5" totalsRowShown="0" headerRowDxfId="22" dataDxfId="20" headerRowBorderDxfId="21" tableBorderDxfId="19" totalsRowBorderDxfId="18">
  <autoFilter ref="B2:C5" xr:uid="{00000000-0009-0000-0100-000001000000}"/>
  <tableColumns count="2">
    <tableColumn id="1" xr3:uid="{00000000-0010-0000-0000-000001000000}" name="Наименование селитры" dataDxfId="17"/>
    <tableColumn id="2" xr3:uid="{00000000-0010-0000-0000-000002000000}" name="Плотность" dataDxfId="16"/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Таблица4" displayName="Таблица4" ref="J2:K16" totalsRowShown="0" headerRowDxfId="15" dataDxfId="13" headerRowBorderDxfId="14" tableBorderDxfId="12" totalsRowBorderDxfId="11">
  <autoFilter ref="J2:K16" xr:uid="{00000000-0009-0000-0100-000002000000}"/>
  <tableColumns count="2">
    <tableColumn id="1" xr3:uid="{00000000-0010-0000-0100-000001000000}" name="Месторождение / участок" dataDxfId="10"/>
    <tableColumn id="2" xr3:uid="{00000000-0010-0000-0100-000002000000}" name="Подразделение" dataDxfId="9"/>
  </tableColumns>
  <tableStyleInfo name="TableStyleMedium2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Таблица2" displayName="Таблица2" ref="M2:P24" totalsRowShown="0" headerRowDxfId="8" dataDxfId="6" headerRowBorderDxfId="7" tableBorderDxfId="5" totalsRowBorderDxfId="4">
  <autoFilter ref="M2:P24" xr:uid="{00000000-0009-0000-0100-000003000000}"/>
  <tableColumns count="4">
    <tableColumn id="3" xr3:uid="{00000000-0010-0000-0200-000003000000}" name="Должность" dataDxfId="3"/>
    <tableColumn id="2" xr3:uid="{00000000-0010-0000-0200-000002000000}" name="Фамилия Имя Отчество" dataDxfId="2"/>
    <tableColumn id="1" xr3:uid="{00000000-0010-0000-0200-000001000000}" name="Примечание" dataDxfId="1"/>
    <tableColumn id="4" xr3:uid="{00000000-0010-0000-0200-000004000000}" name="Столбец1" dataDxfId="0">
      <calculatedColumnFormula>Таблица2[[#This Row],[Должность]]&amp;" "&amp;Таблица2[[#This Row],[Фамилия Имя Отчество]]</calculatedColumnFormula>
    </tableColumn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3.bin"/><Relationship Id="rId13" Type="http://schemas.openxmlformats.org/officeDocument/2006/relationships/oleObject" Target="../embeddings/oleObject6.bin"/><Relationship Id="rId3" Type="http://schemas.openxmlformats.org/officeDocument/2006/relationships/vmlDrawing" Target="../drawings/vmlDrawing3.vml"/><Relationship Id="rId7" Type="http://schemas.openxmlformats.org/officeDocument/2006/relationships/image" Target="../media/image3.wmf"/><Relationship Id="rId12" Type="http://schemas.openxmlformats.org/officeDocument/2006/relationships/image" Target="../media/image5.emf"/><Relationship Id="rId2" Type="http://schemas.openxmlformats.org/officeDocument/2006/relationships/drawing" Target="../drawings/drawing2.xml"/><Relationship Id="rId16" Type="http://schemas.openxmlformats.org/officeDocument/2006/relationships/oleObject" Target="../embeddings/oleObject8.bin"/><Relationship Id="rId1" Type="http://schemas.openxmlformats.org/officeDocument/2006/relationships/printerSettings" Target="../printerSettings/printerSettings11.bin"/><Relationship Id="rId6" Type="http://schemas.openxmlformats.org/officeDocument/2006/relationships/oleObject" Target="../embeddings/oleObject2.bin"/><Relationship Id="rId11" Type="http://schemas.openxmlformats.org/officeDocument/2006/relationships/oleObject" Target="../embeddings/oleObject5.bin"/><Relationship Id="rId5" Type="http://schemas.openxmlformats.org/officeDocument/2006/relationships/image" Target="../media/image2.wmf"/><Relationship Id="rId15" Type="http://schemas.openxmlformats.org/officeDocument/2006/relationships/oleObject" Target="../embeddings/oleObject7.bin"/><Relationship Id="rId10" Type="http://schemas.openxmlformats.org/officeDocument/2006/relationships/image" Target="../media/image4.wmf"/><Relationship Id="rId4" Type="http://schemas.openxmlformats.org/officeDocument/2006/relationships/oleObject" Target="../embeddings/oleObject1.bin"/><Relationship Id="rId9" Type="http://schemas.openxmlformats.org/officeDocument/2006/relationships/oleObject" Target="../embeddings/oleObject4.bin"/><Relationship Id="rId14" Type="http://schemas.openxmlformats.org/officeDocument/2006/relationships/image" Target="../media/image6.emf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11.bin"/><Relationship Id="rId3" Type="http://schemas.openxmlformats.org/officeDocument/2006/relationships/vmlDrawing" Target="../drawings/vmlDrawing4.vml"/><Relationship Id="rId7" Type="http://schemas.openxmlformats.org/officeDocument/2006/relationships/image" Target="../media/image8.w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4.bin"/><Relationship Id="rId6" Type="http://schemas.openxmlformats.org/officeDocument/2006/relationships/oleObject" Target="../embeddings/oleObject10.bin"/><Relationship Id="rId5" Type="http://schemas.openxmlformats.org/officeDocument/2006/relationships/image" Target="../media/image7.emf"/><Relationship Id="rId4" Type="http://schemas.openxmlformats.org/officeDocument/2006/relationships/oleObject" Target="../embeddings/oleObject9.bin"/><Relationship Id="rId9" Type="http://schemas.openxmlformats.org/officeDocument/2006/relationships/image" Target="../media/image9.emf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14.bin"/><Relationship Id="rId3" Type="http://schemas.openxmlformats.org/officeDocument/2006/relationships/vmlDrawing" Target="../drawings/vmlDrawing5.vml"/><Relationship Id="rId7" Type="http://schemas.openxmlformats.org/officeDocument/2006/relationships/image" Target="../media/image13.w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6.bin"/><Relationship Id="rId6" Type="http://schemas.openxmlformats.org/officeDocument/2006/relationships/oleObject" Target="../embeddings/oleObject13.bin"/><Relationship Id="rId5" Type="http://schemas.openxmlformats.org/officeDocument/2006/relationships/image" Target="../media/image12.wmf"/><Relationship Id="rId4" Type="http://schemas.openxmlformats.org/officeDocument/2006/relationships/oleObject" Target="../embeddings/oleObject12.bin"/><Relationship Id="rId9" Type="http://schemas.openxmlformats.org/officeDocument/2006/relationships/image" Target="../media/image14.wmf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7.bin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>
    <outlinePr summaryRight="0"/>
    <pageSetUpPr fitToPage="1"/>
  </sheetPr>
  <dimension ref="A1:BN57"/>
  <sheetViews>
    <sheetView showGridLines="0" showZeros="0" zoomScale="70" zoomScaleNormal="70" zoomScaleSheetLayoutView="40" workbookViewId="0">
      <pane xSplit="2" ySplit="4" topLeftCell="C5" activePane="bottomRight" state="frozen"/>
      <selection activeCell="B4" sqref="B4"/>
      <selection pane="topRight" activeCell="B4" sqref="B4"/>
      <selection pane="bottomLeft" activeCell="B4" sqref="B4"/>
      <selection pane="bottomRight" activeCell="C5" sqref="C5:S36"/>
    </sheetView>
  </sheetViews>
  <sheetFormatPr defaultRowHeight="15" outlineLevelCol="1" x14ac:dyDescent="0.25"/>
  <cols>
    <col min="1" max="1" width="0.7109375" style="77" customWidth="1"/>
    <col min="2" max="2" width="9.5703125" style="77" customWidth="1"/>
    <col min="3" max="62" width="4.28515625" style="77" customWidth="1" outlineLevel="1"/>
    <col min="63" max="63" width="0.85546875" style="77" customWidth="1"/>
    <col min="64" max="64" width="12.140625" style="77" hidden="1" customWidth="1"/>
  </cols>
  <sheetData>
    <row r="1" spans="2:66" ht="8.25" customHeight="1" x14ac:dyDescent="0.25"/>
    <row r="2" spans="2:66" ht="15.75" customHeight="1" x14ac:dyDescent="0.25">
      <c r="B2" s="1" t="str">
        <f>"Проектная глубина скважин"&amp;IF(Параметры!C7&lt;&gt;""," блок № ","")&amp;Параметры!C7&amp;" (п.м.)"</f>
        <v>Проектная глубина скважин блок №  П-10; С1-13б (п.м.)</v>
      </c>
    </row>
    <row r="3" spans="2:66" ht="6.75" customHeight="1" thickBot="1" x14ac:dyDescent="0.3"/>
    <row r="4" spans="2:66" ht="30" customHeight="1" x14ac:dyDescent="0.25">
      <c r="B4" s="2" t="s">
        <v>0</v>
      </c>
      <c r="C4" s="3">
        <v>1</v>
      </c>
      <c r="D4" s="3">
        <v>2</v>
      </c>
      <c r="E4" s="3">
        <v>3</v>
      </c>
      <c r="F4" s="3">
        <v>4</v>
      </c>
      <c r="G4" s="3">
        <v>5</v>
      </c>
      <c r="H4" s="3">
        <v>6</v>
      </c>
      <c r="I4" s="3">
        <v>7</v>
      </c>
      <c r="J4" s="3">
        <v>8</v>
      </c>
      <c r="K4" s="3">
        <v>9</v>
      </c>
      <c r="L4" s="3">
        <v>10</v>
      </c>
      <c r="M4" s="3">
        <v>11</v>
      </c>
      <c r="N4" s="3">
        <v>12</v>
      </c>
      <c r="O4" s="3">
        <v>13</v>
      </c>
      <c r="P4" s="3">
        <v>14</v>
      </c>
      <c r="Q4" s="3">
        <v>15</v>
      </c>
      <c r="R4" s="3">
        <v>16</v>
      </c>
      <c r="S4" s="3">
        <v>17</v>
      </c>
      <c r="T4" s="3">
        <v>18</v>
      </c>
      <c r="U4" s="3">
        <v>19</v>
      </c>
      <c r="V4" s="3">
        <v>20</v>
      </c>
      <c r="W4" s="3">
        <v>21</v>
      </c>
      <c r="X4" s="3">
        <v>22</v>
      </c>
      <c r="Y4" s="3">
        <v>23</v>
      </c>
      <c r="Z4" s="3">
        <v>24</v>
      </c>
      <c r="AA4" s="3">
        <v>25</v>
      </c>
      <c r="AB4" s="3">
        <v>26</v>
      </c>
      <c r="AC4" s="3">
        <v>27</v>
      </c>
      <c r="AD4" s="3">
        <v>28</v>
      </c>
      <c r="AE4" s="3">
        <v>29</v>
      </c>
      <c r="AF4" s="3">
        <v>30</v>
      </c>
      <c r="AG4" s="3">
        <v>31</v>
      </c>
      <c r="AH4" s="3">
        <v>32</v>
      </c>
      <c r="AI4" s="3">
        <v>33</v>
      </c>
      <c r="AJ4" s="3">
        <v>34</v>
      </c>
      <c r="AK4" s="3">
        <v>35</v>
      </c>
      <c r="AL4" s="3">
        <v>36</v>
      </c>
      <c r="AM4" s="3">
        <v>37</v>
      </c>
      <c r="AN4" s="3">
        <v>38</v>
      </c>
      <c r="AO4" s="3">
        <v>39</v>
      </c>
      <c r="AP4" s="3">
        <v>40</v>
      </c>
      <c r="AQ4" s="3">
        <v>41</v>
      </c>
      <c r="AR4" s="3">
        <v>42</v>
      </c>
      <c r="AS4" s="3">
        <v>43</v>
      </c>
      <c r="AT4" s="3">
        <v>44</v>
      </c>
      <c r="AU4" s="3">
        <v>45</v>
      </c>
      <c r="AV4" s="3">
        <v>46</v>
      </c>
      <c r="AW4" s="3">
        <v>47</v>
      </c>
      <c r="AX4" s="3">
        <v>48</v>
      </c>
      <c r="AY4" s="3">
        <v>49</v>
      </c>
      <c r="AZ4" s="3">
        <v>50</v>
      </c>
      <c r="BA4" s="3">
        <v>51</v>
      </c>
      <c r="BB4" s="3">
        <v>52</v>
      </c>
      <c r="BC4" s="3">
        <v>53</v>
      </c>
      <c r="BD4" s="3">
        <v>54</v>
      </c>
      <c r="BE4" s="3">
        <v>55</v>
      </c>
      <c r="BF4" s="3">
        <v>56</v>
      </c>
      <c r="BG4" s="3">
        <v>57</v>
      </c>
      <c r="BH4" s="3">
        <v>58</v>
      </c>
      <c r="BI4" s="3">
        <v>59</v>
      </c>
      <c r="BJ4" s="4">
        <v>60</v>
      </c>
      <c r="BN4" s="104"/>
    </row>
    <row r="5" spans="2:66" ht="15.75" customHeight="1" x14ac:dyDescent="0.25">
      <c r="B5" s="5">
        <v>1</v>
      </c>
      <c r="C5" s="325"/>
      <c r="D5" s="326"/>
      <c r="E5" s="326"/>
      <c r="F5" s="326"/>
      <c r="G5" s="326"/>
      <c r="H5" s="326"/>
      <c r="I5" s="326"/>
      <c r="J5" s="326"/>
      <c r="K5" s="326"/>
      <c r="L5" s="326"/>
      <c r="M5" s="326"/>
      <c r="N5" s="300"/>
      <c r="O5" s="257"/>
      <c r="P5" s="257"/>
      <c r="Q5" s="257"/>
      <c r="R5" s="257"/>
      <c r="S5" s="257"/>
      <c r="T5" s="257"/>
      <c r="U5" s="258"/>
      <c r="V5" s="79"/>
      <c r="W5" s="79"/>
      <c r="X5" s="80"/>
      <c r="Y5" s="79"/>
      <c r="Z5" s="79"/>
      <c r="AA5" s="80"/>
      <c r="AB5" s="79"/>
      <c r="AC5" s="79"/>
      <c r="AD5" s="80"/>
      <c r="AE5" s="79"/>
      <c r="AF5" s="79"/>
      <c r="AG5" s="80"/>
      <c r="AH5" s="79"/>
      <c r="AI5" s="79"/>
      <c r="AJ5" s="80"/>
      <c r="AK5" s="79"/>
      <c r="AL5" s="79"/>
      <c r="AM5" s="80"/>
      <c r="AN5" s="79"/>
      <c r="AO5" s="79"/>
      <c r="AP5" s="80"/>
      <c r="AQ5" s="79"/>
      <c r="AR5" s="79"/>
      <c r="AS5" s="80"/>
      <c r="AT5" s="79"/>
      <c r="AU5" s="79"/>
      <c r="AV5" s="80"/>
      <c r="AW5" s="79"/>
      <c r="AX5" s="79"/>
      <c r="AY5" s="80"/>
      <c r="AZ5" s="79"/>
      <c r="BA5" s="79"/>
      <c r="BB5" s="80"/>
      <c r="BC5" s="79"/>
      <c r="BD5" s="79"/>
      <c r="BE5" s="80"/>
      <c r="BF5" s="79"/>
      <c r="BG5" s="79"/>
      <c r="BH5" s="80"/>
      <c r="BI5" s="79"/>
      <c r="BJ5" s="79"/>
      <c r="BK5" s="80"/>
      <c r="BL5" s="90">
        <f>IF(SUM('Зарядная карта'!C5:BJ5)=0,0,1)</f>
        <v>0</v>
      </c>
    </row>
    <row r="6" spans="2:66" ht="15.75" customHeight="1" x14ac:dyDescent="0.25">
      <c r="B6" s="5">
        <v>2</v>
      </c>
      <c r="C6" s="321"/>
      <c r="D6" s="322"/>
      <c r="E6" s="322"/>
      <c r="F6" s="322"/>
      <c r="G6" s="322"/>
      <c r="H6" s="322"/>
      <c r="I6" s="322"/>
      <c r="J6" s="322"/>
      <c r="K6" s="322"/>
      <c r="L6" s="322"/>
      <c r="M6" s="322"/>
      <c r="N6" s="86"/>
      <c r="O6" s="260"/>
      <c r="P6" s="260"/>
      <c r="Q6" s="260"/>
      <c r="R6" s="260"/>
      <c r="S6" s="260"/>
      <c r="T6" s="260"/>
      <c r="U6" s="261"/>
      <c r="V6" s="78"/>
      <c r="W6" s="78"/>
      <c r="X6" s="81"/>
      <c r="Y6" s="78"/>
      <c r="Z6" s="78"/>
      <c r="AA6" s="81"/>
      <c r="AB6" s="78"/>
      <c r="AC6" s="78"/>
      <c r="AD6" s="81"/>
      <c r="AE6" s="78"/>
      <c r="AF6" s="78"/>
      <c r="AG6" s="81"/>
      <c r="AH6" s="78"/>
      <c r="AI6" s="78"/>
      <c r="AJ6" s="81"/>
      <c r="AK6" s="78"/>
      <c r="AL6" s="78"/>
      <c r="AM6" s="81"/>
      <c r="AN6" s="78"/>
      <c r="AO6" s="78"/>
      <c r="AP6" s="81"/>
      <c r="AQ6" s="78"/>
      <c r="AR6" s="78"/>
      <c r="AS6" s="81"/>
      <c r="AT6" s="78"/>
      <c r="AU6" s="78"/>
      <c r="AV6" s="81"/>
      <c r="AW6" s="78"/>
      <c r="AX6" s="78"/>
      <c r="AY6" s="81"/>
      <c r="AZ6" s="78"/>
      <c r="BA6" s="78"/>
      <c r="BB6" s="81"/>
      <c r="BC6" s="78"/>
      <c r="BD6" s="78"/>
      <c r="BE6" s="81"/>
      <c r="BF6" s="78"/>
      <c r="BG6" s="78"/>
      <c r="BH6" s="81"/>
      <c r="BI6" s="78"/>
      <c r="BJ6" s="78"/>
      <c r="BK6" s="81"/>
      <c r="BL6" s="90">
        <f>IF(SUM('Зарядная карта'!C6:BJ6)=0,0,1)</f>
        <v>0</v>
      </c>
    </row>
    <row r="7" spans="2:66" ht="15.75" customHeight="1" x14ac:dyDescent="0.25">
      <c r="B7" s="5">
        <v>3</v>
      </c>
      <c r="C7" s="321"/>
      <c r="D7" s="322"/>
      <c r="E7" s="322"/>
      <c r="F7" s="322"/>
      <c r="G7" s="322"/>
      <c r="H7" s="322"/>
      <c r="I7" s="322"/>
      <c r="J7" s="322"/>
      <c r="K7" s="322"/>
      <c r="L7" s="322"/>
      <c r="M7" s="322"/>
      <c r="N7" s="86"/>
      <c r="O7" s="260"/>
      <c r="P7" s="260"/>
      <c r="Q7" s="260"/>
      <c r="R7" s="260"/>
      <c r="S7" s="260"/>
      <c r="T7" s="260"/>
      <c r="U7" s="261"/>
      <c r="V7" s="78"/>
      <c r="W7" s="78"/>
      <c r="X7" s="81"/>
      <c r="Y7" s="78"/>
      <c r="Z7" s="78"/>
      <c r="AA7" s="81"/>
      <c r="AB7" s="78"/>
      <c r="AC7" s="78"/>
      <c r="AD7" s="81"/>
      <c r="AE7" s="78"/>
      <c r="AF7" s="78"/>
      <c r="AG7" s="81"/>
      <c r="AH7" s="78"/>
      <c r="AI7" s="78"/>
      <c r="AJ7" s="81"/>
      <c r="AK7" s="78"/>
      <c r="AL7" s="78"/>
      <c r="AM7" s="81"/>
      <c r="AN7" s="78"/>
      <c r="AO7" s="78"/>
      <c r="AP7" s="81"/>
      <c r="AQ7" s="78"/>
      <c r="AR7" s="78"/>
      <c r="AS7" s="81"/>
      <c r="AT7" s="78"/>
      <c r="AU7" s="78"/>
      <c r="AV7" s="81"/>
      <c r="AW7" s="78"/>
      <c r="AX7" s="78"/>
      <c r="AY7" s="81"/>
      <c r="AZ7" s="78"/>
      <c r="BA7" s="78"/>
      <c r="BB7" s="81"/>
      <c r="BC7" s="78"/>
      <c r="BD7" s="78"/>
      <c r="BE7" s="81"/>
      <c r="BF7" s="78"/>
      <c r="BG7" s="78"/>
      <c r="BH7" s="81"/>
      <c r="BI7" s="78"/>
      <c r="BJ7" s="78"/>
      <c r="BK7" s="81"/>
      <c r="BL7" s="90">
        <f>IF(SUM('Зарядная карта'!C7:BJ7)=0,0,1)</f>
        <v>0</v>
      </c>
    </row>
    <row r="8" spans="2:66" ht="15.75" customHeight="1" x14ac:dyDescent="0.25">
      <c r="B8" s="5">
        <v>4</v>
      </c>
      <c r="C8" s="321"/>
      <c r="D8" s="322"/>
      <c r="E8" s="322"/>
      <c r="F8" s="322"/>
      <c r="G8" s="322"/>
      <c r="H8" s="322"/>
      <c r="I8" s="322"/>
      <c r="J8" s="322"/>
      <c r="K8" s="322"/>
      <c r="L8" s="322"/>
      <c r="M8" s="322"/>
      <c r="N8" s="86"/>
      <c r="O8" s="259"/>
      <c r="P8" s="259"/>
      <c r="Q8" s="259"/>
      <c r="R8" s="259"/>
      <c r="S8" s="260"/>
      <c r="T8" s="260"/>
      <c r="U8" s="261"/>
      <c r="V8" s="79"/>
      <c r="W8" s="79"/>
      <c r="X8" s="80"/>
      <c r="Y8" s="79"/>
      <c r="Z8" s="79"/>
      <c r="AA8" s="80"/>
      <c r="AB8" s="79"/>
      <c r="AC8" s="79"/>
      <c r="AD8" s="80"/>
      <c r="AE8" s="79"/>
      <c r="AF8" s="79"/>
      <c r="AG8" s="80"/>
      <c r="AH8" s="79"/>
      <c r="AI8" s="79"/>
      <c r="AJ8" s="80"/>
      <c r="AK8" s="79"/>
      <c r="AL8" s="79"/>
      <c r="AM8" s="80"/>
      <c r="AN8" s="79"/>
      <c r="AO8" s="79"/>
      <c r="AP8" s="80"/>
      <c r="AQ8" s="79"/>
      <c r="AR8" s="79"/>
      <c r="AS8" s="80"/>
      <c r="AT8" s="79"/>
      <c r="AU8" s="79"/>
      <c r="AV8" s="80"/>
      <c r="AW8" s="79"/>
      <c r="AX8" s="79"/>
      <c r="AY8" s="80"/>
      <c r="AZ8" s="79"/>
      <c r="BA8" s="79"/>
      <c r="BB8" s="80"/>
      <c r="BC8" s="79"/>
      <c r="BD8" s="79"/>
      <c r="BE8" s="80"/>
      <c r="BF8" s="79"/>
      <c r="BG8" s="79"/>
      <c r="BH8" s="80"/>
      <c r="BI8" s="79"/>
      <c r="BJ8" s="79"/>
      <c r="BK8" s="80"/>
      <c r="BL8" s="90">
        <f>IF(SUM('Зарядная карта'!C8:BJ8)=0,0,1)</f>
        <v>0</v>
      </c>
    </row>
    <row r="9" spans="2:66" ht="15.75" customHeight="1" x14ac:dyDescent="0.25">
      <c r="B9" s="5">
        <v>5</v>
      </c>
      <c r="C9" s="321"/>
      <c r="D9" s="322"/>
      <c r="E9" s="322"/>
      <c r="F9" s="322"/>
      <c r="G9" s="322"/>
      <c r="H9" s="322"/>
      <c r="I9" s="322"/>
      <c r="J9" s="322"/>
      <c r="K9" s="322">
        <v>8</v>
      </c>
      <c r="L9" s="322">
        <v>8</v>
      </c>
      <c r="M9" s="322"/>
      <c r="N9" s="86"/>
      <c r="O9" s="259"/>
      <c r="P9" s="259"/>
      <c r="Q9" s="259"/>
      <c r="R9" s="259"/>
      <c r="S9" s="259"/>
      <c r="T9" s="259"/>
      <c r="U9" s="262"/>
      <c r="V9" s="78"/>
      <c r="W9" s="78"/>
      <c r="X9" s="81"/>
      <c r="Y9" s="78"/>
      <c r="Z9" s="78"/>
      <c r="AA9" s="81"/>
      <c r="AB9" s="78"/>
      <c r="AC9" s="78"/>
      <c r="AD9" s="81"/>
      <c r="AE9" s="78"/>
      <c r="AF9" s="78"/>
      <c r="AG9" s="81"/>
      <c r="AH9" s="78"/>
      <c r="AI9" s="78"/>
      <c r="AJ9" s="81"/>
      <c r="AK9" s="78"/>
      <c r="AL9" s="78"/>
      <c r="AM9" s="81"/>
      <c r="AN9" s="78"/>
      <c r="AO9" s="78"/>
      <c r="AP9" s="81"/>
      <c r="AQ9" s="78"/>
      <c r="AR9" s="78"/>
      <c r="AS9" s="81"/>
      <c r="AT9" s="78"/>
      <c r="AU9" s="78"/>
      <c r="AV9" s="81"/>
      <c r="AW9" s="78"/>
      <c r="AX9" s="78"/>
      <c r="AY9" s="81"/>
      <c r="AZ9" s="78"/>
      <c r="BA9" s="78"/>
      <c r="BB9" s="81"/>
      <c r="BC9" s="78"/>
      <c r="BD9" s="78"/>
      <c r="BE9" s="81"/>
      <c r="BF9" s="78"/>
      <c r="BG9" s="78"/>
      <c r="BH9" s="81"/>
      <c r="BI9" s="78"/>
      <c r="BJ9" s="78"/>
      <c r="BK9" s="81"/>
      <c r="BL9" s="90"/>
    </row>
    <row r="10" spans="2:66" ht="15.75" customHeight="1" x14ac:dyDescent="0.25">
      <c r="B10" s="5">
        <v>6</v>
      </c>
      <c r="C10" s="321">
        <v>4</v>
      </c>
      <c r="D10" s="322">
        <v>8</v>
      </c>
      <c r="E10" s="322">
        <v>8</v>
      </c>
      <c r="F10" s="322">
        <v>8</v>
      </c>
      <c r="G10" s="322">
        <v>8</v>
      </c>
      <c r="H10" s="322">
        <v>8</v>
      </c>
      <c r="I10" s="322">
        <v>8</v>
      </c>
      <c r="J10" s="322">
        <v>8</v>
      </c>
      <c r="K10" s="322">
        <v>8</v>
      </c>
      <c r="L10" s="322">
        <v>8</v>
      </c>
      <c r="M10" s="322"/>
      <c r="N10" s="86"/>
      <c r="O10" s="256"/>
      <c r="P10" s="256"/>
      <c r="Q10" s="256"/>
      <c r="R10" s="256"/>
      <c r="S10" s="256"/>
      <c r="T10" s="256"/>
      <c r="U10" s="256"/>
      <c r="V10" s="256"/>
      <c r="W10" s="256"/>
      <c r="X10" s="256"/>
      <c r="Y10" s="256"/>
      <c r="Z10" s="256"/>
      <c r="AA10" s="256"/>
      <c r="AB10" s="256"/>
      <c r="AC10" s="256"/>
      <c r="AD10" s="256"/>
      <c r="AE10" s="256"/>
      <c r="AF10" s="78"/>
      <c r="AG10" s="81"/>
      <c r="AH10" s="78"/>
      <c r="AI10" s="78"/>
      <c r="AJ10" s="81"/>
      <c r="AK10" s="78"/>
      <c r="AL10" s="78"/>
      <c r="AM10" s="81"/>
      <c r="AN10" s="78"/>
      <c r="AO10" s="78"/>
      <c r="AP10" s="81"/>
      <c r="AQ10" s="78"/>
      <c r="AR10" s="78"/>
      <c r="AS10" s="81"/>
      <c r="AT10" s="78"/>
      <c r="AU10" s="78"/>
      <c r="AV10" s="81"/>
      <c r="AW10" s="78"/>
      <c r="AX10" s="78"/>
      <c r="AY10" s="81"/>
      <c r="AZ10" s="78"/>
      <c r="BA10" s="78"/>
      <c r="BB10" s="81"/>
      <c r="BC10" s="78"/>
      <c r="BD10" s="78"/>
      <c r="BE10" s="81"/>
      <c r="BF10" s="78"/>
      <c r="BG10" s="78"/>
      <c r="BH10" s="81"/>
      <c r="BI10" s="78"/>
      <c r="BJ10" s="78"/>
      <c r="BK10" s="81"/>
      <c r="BL10" s="90"/>
    </row>
    <row r="11" spans="2:66" ht="15.75" customHeight="1" x14ac:dyDescent="0.25">
      <c r="B11" s="5">
        <v>7</v>
      </c>
      <c r="C11" s="321">
        <v>4</v>
      </c>
      <c r="D11" s="322">
        <v>8</v>
      </c>
      <c r="E11" s="322">
        <v>8</v>
      </c>
      <c r="F11" s="322">
        <v>8</v>
      </c>
      <c r="G11" s="322">
        <v>8</v>
      </c>
      <c r="H11" s="322">
        <v>8</v>
      </c>
      <c r="I11" s="322">
        <v>8</v>
      </c>
      <c r="J11" s="322">
        <v>8</v>
      </c>
      <c r="K11" s="322">
        <v>8</v>
      </c>
      <c r="L11" s="322">
        <v>8</v>
      </c>
      <c r="M11" s="322"/>
      <c r="N11" s="86"/>
      <c r="O11" s="256"/>
      <c r="P11" s="256"/>
      <c r="Q11" s="256"/>
      <c r="R11" s="256"/>
      <c r="S11" s="256"/>
      <c r="T11" s="256"/>
      <c r="U11" s="256"/>
      <c r="V11" s="256"/>
      <c r="W11" s="256"/>
      <c r="X11" s="256"/>
      <c r="Y11" s="256"/>
      <c r="Z11" s="256"/>
      <c r="AA11" s="256"/>
      <c r="AB11" s="256"/>
      <c r="AC11" s="256"/>
      <c r="AD11" s="256"/>
      <c r="AE11" s="256"/>
      <c r="AF11" s="79"/>
      <c r="AG11" s="80"/>
      <c r="AH11" s="79"/>
      <c r="AI11" s="79"/>
      <c r="AJ11" s="80"/>
      <c r="AK11" s="79"/>
      <c r="AL11" s="79"/>
      <c r="AM11" s="80"/>
      <c r="AN11" s="79"/>
      <c r="AO11" s="79"/>
      <c r="AP11" s="80"/>
      <c r="AQ11" s="79"/>
      <c r="AR11" s="79"/>
      <c r="AS11" s="80"/>
      <c r="AT11" s="79"/>
      <c r="AU11" s="79"/>
      <c r="AV11" s="80"/>
      <c r="AW11" s="79"/>
      <c r="AX11" s="79"/>
      <c r="AY11" s="80"/>
      <c r="AZ11" s="79"/>
      <c r="BA11" s="79"/>
      <c r="BB11" s="80"/>
      <c r="BC11" s="79"/>
      <c r="BD11" s="79"/>
      <c r="BE11" s="80"/>
      <c r="BF11" s="79"/>
      <c r="BG11" s="79"/>
      <c r="BH11" s="80"/>
      <c r="BI11" s="79"/>
      <c r="BJ11" s="79"/>
      <c r="BK11" s="80"/>
      <c r="BL11" s="90"/>
    </row>
    <row r="12" spans="2:66" ht="15.75" customHeight="1" x14ac:dyDescent="0.25">
      <c r="B12" s="5">
        <v>8</v>
      </c>
      <c r="C12" s="321">
        <v>4</v>
      </c>
      <c r="D12" s="322">
        <v>8</v>
      </c>
      <c r="E12" s="322">
        <v>8</v>
      </c>
      <c r="F12" s="322">
        <v>8</v>
      </c>
      <c r="G12" s="322">
        <v>8</v>
      </c>
      <c r="H12" s="322">
        <v>8</v>
      </c>
      <c r="I12" s="322">
        <v>8</v>
      </c>
      <c r="J12" s="322">
        <v>8</v>
      </c>
      <c r="K12" s="322">
        <v>8</v>
      </c>
      <c r="L12" s="322">
        <v>8</v>
      </c>
      <c r="M12" s="322"/>
      <c r="N12" s="86"/>
      <c r="O12" s="256"/>
      <c r="P12" s="256"/>
      <c r="Q12" s="256"/>
      <c r="R12" s="256"/>
      <c r="S12" s="256"/>
      <c r="T12" s="256"/>
      <c r="U12" s="256"/>
      <c r="V12" s="256"/>
      <c r="W12" s="256"/>
      <c r="X12" s="256"/>
      <c r="Y12" s="256"/>
      <c r="Z12" s="256"/>
      <c r="AA12" s="256"/>
      <c r="AB12" s="256"/>
      <c r="AC12" s="256"/>
      <c r="AD12" s="256"/>
      <c r="AE12" s="256"/>
      <c r="AF12" s="78"/>
      <c r="AG12" s="81"/>
      <c r="AH12" s="78"/>
      <c r="AI12" s="78"/>
      <c r="AJ12" s="81"/>
      <c r="AK12" s="78"/>
      <c r="AL12" s="78"/>
      <c r="AM12" s="81"/>
      <c r="AN12" s="78"/>
      <c r="AO12" s="78"/>
      <c r="AP12" s="81"/>
      <c r="AQ12" s="78"/>
      <c r="AR12" s="78"/>
      <c r="AS12" s="81"/>
      <c r="AT12" s="78"/>
      <c r="AU12" s="78"/>
      <c r="AV12" s="81"/>
      <c r="AW12" s="78"/>
      <c r="AX12" s="78"/>
      <c r="AY12" s="81"/>
      <c r="AZ12" s="78"/>
      <c r="BA12" s="78"/>
      <c r="BB12" s="81"/>
      <c r="BC12" s="78"/>
      <c r="BD12" s="78"/>
      <c r="BE12" s="81"/>
      <c r="BF12" s="78"/>
      <c r="BG12" s="78"/>
      <c r="BH12" s="81"/>
      <c r="BI12" s="78"/>
      <c r="BJ12" s="78"/>
      <c r="BK12" s="81"/>
      <c r="BL12" s="90"/>
    </row>
    <row r="13" spans="2:66" ht="15.75" customHeight="1" x14ac:dyDescent="0.25">
      <c r="B13" s="5">
        <v>9</v>
      </c>
      <c r="C13" s="321">
        <v>4</v>
      </c>
      <c r="D13" s="322">
        <v>8</v>
      </c>
      <c r="E13" s="322">
        <v>8</v>
      </c>
      <c r="F13" s="322">
        <v>8</v>
      </c>
      <c r="G13" s="322">
        <v>8</v>
      </c>
      <c r="H13" s="322">
        <v>8</v>
      </c>
      <c r="I13" s="322">
        <v>8</v>
      </c>
      <c r="J13" s="322">
        <v>8</v>
      </c>
      <c r="K13" s="322">
        <v>8</v>
      </c>
      <c r="L13" s="322">
        <v>8</v>
      </c>
      <c r="M13" s="322"/>
      <c r="N13" s="86"/>
      <c r="O13" s="256"/>
      <c r="P13" s="256"/>
      <c r="Q13" s="256"/>
      <c r="R13" s="256"/>
      <c r="S13" s="256"/>
      <c r="T13" s="256"/>
      <c r="U13" s="256"/>
      <c r="V13" s="256"/>
      <c r="W13" s="256"/>
      <c r="X13" s="256"/>
      <c r="Y13" s="256"/>
      <c r="Z13" s="256"/>
      <c r="AA13" s="256"/>
      <c r="AB13" s="256"/>
      <c r="AC13" s="256"/>
      <c r="AD13" s="256"/>
      <c r="AE13" s="256"/>
      <c r="AF13" s="78"/>
      <c r="AG13" s="81"/>
      <c r="AH13" s="78"/>
      <c r="AI13" s="78"/>
      <c r="AJ13" s="81"/>
      <c r="AK13" s="78"/>
      <c r="AL13" s="78"/>
      <c r="AM13" s="81"/>
      <c r="AN13" s="78"/>
      <c r="AO13" s="78"/>
      <c r="AP13" s="81"/>
      <c r="AQ13" s="78"/>
      <c r="AR13" s="78"/>
      <c r="AS13" s="81"/>
      <c r="AT13" s="78"/>
      <c r="AU13" s="78"/>
      <c r="AV13" s="81"/>
      <c r="AW13" s="78"/>
      <c r="AX13" s="78"/>
      <c r="AY13" s="81"/>
      <c r="AZ13" s="78"/>
      <c r="BA13" s="78"/>
      <c r="BB13" s="81"/>
      <c r="BC13" s="78"/>
      <c r="BD13" s="78"/>
      <c r="BE13" s="81"/>
      <c r="BF13" s="78"/>
      <c r="BG13" s="78"/>
      <c r="BH13" s="81"/>
      <c r="BI13" s="78"/>
      <c r="BJ13" s="78"/>
      <c r="BK13" s="81"/>
      <c r="BL13" s="90"/>
    </row>
    <row r="14" spans="2:66" ht="15.75" customHeight="1" x14ac:dyDescent="0.25">
      <c r="B14" s="5">
        <v>10</v>
      </c>
      <c r="C14" s="321">
        <v>4</v>
      </c>
      <c r="D14" s="322">
        <v>8</v>
      </c>
      <c r="E14" s="322">
        <v>8</v>
      </c>
      <c r="F14" s="322">
        <v>8</v>
      </c>
      <c r="G14" s="322">
        <v>8</v>
      </c>
      <c r="H14" s="322">
        <v>8</v>
      </c>
      <c r="I14" s="322">
        <v>8</v>
      </c>
      <c r="J14" s="322">
        <v>8</v>
      </c>
      <c r="K14" s="322">
        <v>8</v>
      </c>
      <c r="L14" s="322">
        <v>8</v>
      </c>
      <c r="M14" s="322">
        <v>8</v>
      </c>
      <c r="N14" s="86"/>
      <c r="O14" s="256"/>
      <c r="P14" s="256"/>
      <c r="Q14" s="256"/>
      <c r="R14" s="256"/>
      <c r="S14" s="256"/>
      <c r="T14" s="256"/>
      <c r="U14" s="256"/>
      <c r="V14" s="256"/>
      <c r="W14" s="256"/>
      <c r="X14" s="256"/>
      <c r="Y14" s="256"/>
      <c r="Z14" s="256"/>
      <c r="AA14" s="256"/>
      <c r="AB14" s="256"/>
      <c r="AC14" s="256"/>
      <c r="AD14" s="256"/>
      <c r="AE14" s="256"/>
      <c r="AF14" s="79"/>
      <c r="AG14" s="80"/>
      <c r="AH14" s="79"/>
      <c r="AI14" s="79"/>
      <c r="AJ14" s="80"/>
      <c r="AK14" s="79"/>
      <c r="AL14" s="79"/>
      <c r="AM14" s="80"/>
      <c r="AN14" s="79"/>
      <c r="AO14" s="79"/>
      <c r="AP14" s="80"/>
      <c r="AQ14" s="79"/>
      <c r="AR14" s="79"/>
      <c r="AS14" s="80"/>
      <c r="AT14" s="79"/>
      <c r="AU14" s="79"/>
      <c r="AV14" s="80"/>
      <c r="AW14" s="79"/>
      <c r="AX14" s="79"/>
      <c r="AY14" s="80"/>
      <c r="AZ14" s="79"/>
      <c r="BA14" s="79"/>
      <c r="BB14" s="80"/>
      <c r="BC14" s="79"/>
      <c r="BD14" s="79"/>
      <c r="BE14" s="80"/>
      <c r="BF14" s="79"/>
      <c r="BG14" s="79"/>
      <c r="BH14" s="80"/>
      <c r="BI14" s="79"/>
      <c r="BJ14" s="79"/>
      <c r="BK14" s="80"/>
      <c r="BL14" s="90"/>
    </row>
    <row r="15" spans="2:66" ht="15.75" customHeight="1" x14ac:dyDescent="0.25">
      <c r="B15" s="5">
        <v>11</v>
      </c>
      <c r="C15" s="321">
        <v>4</v>
      </c>
      <c r="D15" s="322">
        <v>8</v>
      </c>
      <c r="E15" s="322">
        <v>8</v>
      </c>
      <c r="F15" s="322">
        <v>8</v>
      </c>
      <c r="G15" s="322">
        <v>8</v>
      </c>
      <c r="H15" s="322">
        <v>8</v>
      </c>
      <c r="I15" s="322">
        <v>8</v>
      </c>
      <c r="J15" s="322">
        <v>8</v>
      </c>
      <c r="K15" s="322">
        <v>8</v>
      </c>
      <c r="L15" s="322">
        <v>8</v>
      </c>
      <c r="M15" s="322">
        <v>8</v>
      </c>
      <c r="N15" s="86"/>
      <c r="O15" s="256"/>
      <c r="P15" s="256"/>
      <c r="Q15" s="256"/>
      <c r="R15" s="256"/>
      <c r="S15" s="256"/>
      <c r="T15" s="256"/>
      <c r="U15" s="256"/>
      <c r="V15" s="256"/>
      <c r="W15" s="256"/>
      <c r="X15" s="256"/>
      <c r="Y15" s="256"/>
      <c r="Z15" s="256"/>
      <c r="AA15" s="256"/>
      <c r="AB15" s="256"/>
      <c r="AC15" s="256"/>
      <c r="AD15" s="256"/>
      <c r="AE15" s="256"/>
      <c r="AF15" s="78"/>
      <c r="AG15" s="81"/>
      <c r="AH15" s="78"/>
      <c r="AI15" s="78"/>
      <c r="AJ15" s="81"/>
      <c r="AK15" s="78"/>
      <c r="AL15" s="78"/>
      <c r="AM15" s="81"/>
      <c r="AN15" s="78"/>
      <c r="AO15" s="78"/>
      <c r="AP15" s="81"/>
      <c r="AQ15" s="78"/>
      <c r="AR15" s="78"/>
      <c r="AS15" s="81"/>
      <c r="AT15" s="78"/>
      <c r="AU15" s="78"/>
      <c r="AV15" s="81"/>
      <c r="AW15" s="78"/>
      <c r="AX15" s="78"/>
      <c r="AY15" s="81"/>
      <c r="AZ15" s="78"/>
      <c r="BA15" s="78"/>
      <c r="BB15" s="81"/>
      <c r="BC15" s="78"/>
      <c r="BD15" s="78"/>
      <c r="BE15" s="81"/>
      <c r="BF15" s="78"/>
      <c r="BG15" s="78"/>
      <c r="BH15" s="81"/>
      <c r="BI15" s="78"/>
      <c r="BJ15" s="78"/>
      <c r="BK15" s="81"/>
      <c r="BL15" s="90"/>
    </row>
    <row r="16" spans="2:66" ht="15.75" customHeight="1" x14ac:dyDescent="0.25">
      <c r="B16" s="5">
        <v>12</v>
      </c>
      <c r="C16" s="321">
        <v>4</v>
      </c>
      <c r="D16" s="322">
        <v>8</v>
      </c>
      <c r="E16" s="322">
        <v>8</v>
      </c>
      <c r="F16" s="322">
        <v>8</v>
      </c>
      <c r="G16" s="322">
        <v>8</v>
      </c>
      <c r="H16" s="322">
        <v>8</v>
      </c>
      <c r="I16" s="322">
        <v>8</v>
      </c>
      <c r="J16" s="322">
        <v>8</v>
      </c>
      <c r="K16" s="322">
        <v>8</v>
      </c>
      <c r="L16" s="322">
        <v>8</v>
      </c>
      <c r="M16" s="322">
        <v>8</v>
      </c>
      <c r="N16" s="323">
        <v>4</v>
      </c>
      <c r="O16" s="256"/>
      <c r="P16" s="256"/>
      <c r="Q16" s="256"/>
      <c r="R16" s="256"/>
      <c r="S16" s="256"/>
      <c r="T16" s="256"/>
      <c r="U16" s="256"/>
      <c r="V16" s="256"/>
      <c r="W16" s="256"/>
      <c r="X16" s="256"/>
      <c r="Y16" s="256"/>
      <c r="Z16" s="256"/>
      <c r="AA16" s="256"/>
      <c r="AB16" s="256"/>
      <c r="AC16" s="256"/>
      <c r="AD16" s="256"/>
      <c r="AE16" s="256"/>
      <c r="AF16" s="78"/>
      <c r="AG16" s="81"/>
      <c r="AH16" s="78"/>
      <c r="AI16" s="78"/>
      <c r="AJ16" s="81"/>
      <c r="AK16" s="78"/>
      <c r="AL16" s="78"/>
      <c r="AM16" s="81"/>
      <c r="AN16" s="78"/>
      <c r="AO16" s="78"/>
      <c r="AP16" s="81"/>
      <c r="AQ16" s="78"/>
      <c r="AR16" s="78"/>
      <c r="AS16" s="81"/>
      <c r="AT16" s="78"/>
      <c r="AU16" s="78"/>
      <c r="AV16" s="81"/>
      <c r="AW16" s="78"/>
      <c r="AX16" s="78"/>
      <c r="AY16" s="81"/>
      <c r="AZ16" s="78"/>
      <c r="BA16" s="78"/>
      <c r="BB16" s="81"/>
      <c r="BC16" s="78"/>
      <c r="BD16" s="78"/>
      <c r="BE16" s="81"/>
      <c r="BF16" s="78"/>
      <c r="BG16" s="78"/>
      <c r="BH16" s="81"/>
      <c r="BI16" s="78"/>
      <c r="BJ16" s="78"/>
      <c r="BK16" s="81"/>
      <c r="BL16" s="90"/>
    </row>
    <row r="17" spans="2:64" ht="15.75" customHeight="1" x14ac:dyDescent="0.25">
      <c r="B17" s="5">
        <v>13</v>
      </c>
      <c r="C17" s="321">
        <v>4</v>
      </c>
      <c r="D17" s="322">
        <v>8</v>
      </c>
      <c r="E17" s="322">
        <v>8</v>
      </c>
      <c r="F17" s="322">
        <v>8</v>
      </c>
      <c r="G17" s="322">
        <v>8</v>
      </c>
      <c r="H17" s="322">
        <v>8</v>
      </c>
      <c r="I17" s="322">
        <v>8</v>
      </c>
      <c r="J17" s="322">
        <v>8</v>
      </c>
      <c r="K17" s="322">
        <v>8</v>
      </c>
      <c r="L17" s="322">
        <v>8</v>
      </c>
      <c r="M17" s="322">
        <v>8</v>
      </c>
      <c r="N17" s="323">
        <v>4</v>
      </c>
      <c r="O17" s="256"/>
      <c r="P17" s="256"/>
      <c r="Q17" s="256"/>
      <c r="R17" s="256"/>
      <c r="S17" s="256"/>
      <c r="T17" s="256"/>
      <c r="U17" s="256"/>
      <c r="V17" s="256"/>
      <c r="W17" s="256"/>
      <c r="X17" s="256"/>
      <c r="Y17" s="256"/>
      <c r="Z17" s="256"/>
      <c r="AA17" s="256"/>
      <c r="AB17" s="256"/>
      <c r="AC17" s="256"/>
      <c r="AD17" s="256"/>
      <c r="AF17" s="79"/>
      <c r="AG17" s="80"/>
      <c r="AH17" s="79"/>
      <c r="AI17" s="79"/>
      <c r="AJ17" s="80"/>
      <c r="AK17" s="79"/>
      <c r="AL17" s="79"/>
      <c r="AM17" s="80"/>
      <c r="AN17" s="79"/>
      <c r="AO17" s="79"/>
      <c r="AP17" s="80"/>
      <c r="AQ17" s="79"/>
      <c r="AR17" s="79"/>
      <c r="AS17" s="80"/>
      <c r="AT17" s="79"/>
      <c r="AU17" s="79"/>
      <c r="AV17" s="80"/>
      <c r="AW17" s="79"/>
      <c r="AX17" s="79"/>
      <c r="AY17" s="80"/>
      <c r="AZ17" s="79"/>
      <c r="BA17" s="79"/>
      <c r="BB17" s="80"/>
      <c r="BC17" s="79"/>
      <c r="BD17" s="79"/>
      <c r="BE17" s="80"/>
      <c r="BF17" s="79"/>
      <c r="BG17" s="79"/>
      <c r="BH17" s="80"/>
      <c r="BI17" s="79"/>
      <c r="BJ17" s="79"/>
      <c r="BK17" s="80"/>
      <c r="BL17" s="90"/>
    </row>
    <row r="18" spans="2:64" ht="15.75" customHeight="1" x14ac:dyDescent="0.25">
      <c r="B18" s="5">
        <v>14</v>
      </c>
      <c r="C18" s="321">
        <v>4</v>
      </c>
      <c r="D18" s="322">
        <v>8</v>
      </c>
      <c r="E18" s="322">
        <v>8</v>
      </c>
      <c r="F18" s="322">
        <v>8</v>
      </c>
      <c r="G18" s="322">
        <v>8</v>
      </c>
      <c r="H18" s="322">
        <v>8</v>
      </c>
      <c r="I18" s="322">
        <v>8</v>
      </c>
      <c r="J18" s="322">
        <v>8</v>
      </c>
      <c r="K18" s="322">
        <v>8</v>
      </c>
      <c r="L18" s="322">
        <v>8</v>
      </c>
      <c r="M18" s="322">
        <v>8</v>
      </c>
      <c r="N18" s="323">
        <v>4</v>
      </c>
      <c r="O18" s="256"/>
      <c r="P18" s="256"/>
      <c r="Q18" s="256"/>
      <c r="R18" s="256"/>
      <c r="S18" s="256"/>
      <c r="T18" s="256"/>
      <c r="U18" s="256"/>
      <c r="V18" s="256"/>
      <c r="W18" s="256"/>
      <c r="X18" s="256"/>
      <c r="Y18" s="256"/>
      <c r="Z18" s="256"/>
      <c r="AA18" s="256"/>
      <c r="AB18" s="256"/>
      <c r="AC18" s="256"/>
      <c r="AD18" s="256"/>
      <c r="AF18" s="78"/>
      <c r="AG18" s="81"/>
      <c r="AH18" s="78"/>
      <c r="AI18" s="78"/>
      <c r="AJ18" s="81"/>
      <c r="AK18" s="78"/>
      <c r="AL18" s="78"/>
      <c r="AM18" s="81"/>
      <c r="AN18" s="78"/>
      <c r="AO18" s="78"/>
      <c r="AP18" s="81"/>
      <c r="AQ18" s="78"/>
      <c r="AR18" s="78"/>
      <c r="AS18" s="81"/>
      <c r="AT18" s="78"/>
      <c r="AU18" s="78"/>
      <c r="AV18" s="81"/>
      <c r="AW18" s="78"/>
      <c r="AX18" s="78"/>
      <c r="AY18" s="81"/>
      <c r="AZ18" s="78"/>
      <c r="BA18" s="78"/>
      <c r="BB18" s="81"/>
      <c r="BC18" s="78"/>
      <c r="BD18" s="78"/>
      <c r="BE18" s="81"/>
      <c r="BF18" s="78"/>
      <c r="BG18" s="78"/>
      <c r="BH18" s="81"/>
      <c r="BI18" s="78"/>
      <c r="BJ18" s="78"/>
      <c r="BK18" s="81"/>
      <c r="BL18" s="90"/>
    </row>
    <row r="19" spans="2:64" ht="15.75" customHeight="1" x14ac:dyDescent="0.25">
      <c r="B19" s="5">
        <v>15</v>
      </c>
      <c r="C19" s="321">
        <v>4</v>
      </c>
      <c r="D19" s="322">
        <v>8</v>
      </c>
      <c r="E19" s="322">
        <v>8</v>
      </c>
      <c r="F19" s="322">
        <v>8</v>
      </c>
      <c r="G19" s="322">
        <v>8</v>
      </c>
      <c r="H19" s="322">
        <v>8</v>
      </c>
      <c r="I19" s="322">
        <v>8</v>
      </c>
      <c r="J19" s="322">
        <v>8</v>
      </c>
      <c r="K19" s="322">
        <v>8</v>
      </c>
      <c r="L19" s="322">
        <v>8</v>
      </c>
      <c r="M19" s="322">
        <v>8</v>
      </c>
      <c r="N19" s="323">
        <v>4</v>
      </c>
      <c r="O19" s="256"/>
      <c r="P19" s="256"/>
      <c r="Q19" s="256"/>
      <c r="R19" s="256"/>
      <c r="S19" s="256"/>
      <c r="T19" s="256"/>
      <c r="U19" s="256"/>
      <c r="V19" s="256"/>
      <c r="W19" s="256"/>
      <c r="X19" s="256"/>
      <c r="Y19" s="256"/>
      <c r="Z19" s="256"/>
      <c r="AA19" s="256"/>
      <c r="AB19" s="256"/>
      <c r="AC19" s="256"/>
      <c r="AD19" s="256"/>
      <c r="AF19" s="78"/>
      <c r="AG19" s="81"/>
      <c r="AH19" s="78"/>
      <c r="AI19" s="78"/>
      <c r="AJ19" s="81"/>
      <c r="AK19" s="78"/>
      <c r="AL19" s="78"/>
      <c r="AM19" s="81"/>
      <c r="AN19" s="78"/>
      <c r="AO19" s="78"/>
      <c r="AP19" s="81"/>
      <c r="AQ19" s="78"/>
      <c r="AR19" s="78"/>
      <c r="AS19" s="81"/>
      <c r="AT19" s="78"/>
      <c r="AU19" s="78"/>
      <c r="AV19" s="81"/>
      <c r="AW19" s="78"/>
      <c r="AX19" s="78"/>
      <c r="AY19" s="81"/>
      <c r="AZ19" s="78"/>
      <c r="BA19" s="78"/>
      <c r="BB19" s="81"/>
      <c r="BC19" s="78"/>
      <c r="BD19" s="78"/>
      <c r="BE19" s="81"/>
      <c r="BF19" s="78"/>
      <c r="BG19" s="78"/>
      <c r="BH19" s="81"/>
      <c r="BI19" s="78"/>
      <c r="BJ19" s="78"/>
      <c r="BK19" s="81"/>
      <c r="BL19" s="90"/>
    </row>
    <row r="20" spans="2:64" ht="15.75" customHeight="1" x14ac:dyDescent="0.25">
      <c r="B20" s="5">
        <v>16</v>
      </c>
      <c r="C20" s="321">
        <v>4</v>
      </c>
      <c r="D20" s="322">
        <v>8</v>
      </c>
      <c r="E20" s="322">
        <v>8</v>
      </c>
      <c r="F20" s="322">
        <v>8</v>
      </c>
      <c r="G20" s="322">
        <v>8</v>
      </c>
      <c r="H20" s="322">
        <v>8</v>
      </c>
      <c r="I20" s="322">
        <v>8</v>
      </c>
      <c r="J20" s="322">
        <v>8</v>
      </c>
      <c r="K20" s="322">
        <v>8</v>
      </c>
      <c r="L20" s="322">
        <v>8</v>
      </c>
      <c r="M20" s="322">
        <v>8</v>
      </c>
      <c r="N20" s="323">
        <v>4</v>
      </c>
      <c r="O20" s="256"/>
      <c r="P20" s="256"/>
      <c r="Q20" s="256"/>
      <c r="R20" s="256"/>
      <c r="S20" s="256"/>
      <c r="T20" s="256"/>
      <c r="U20" s="256"/>
      <c r="V20" s="256"/>
      <c r="W20" s="256"/>
      <c r="X20" s="256"/>
      <c r="Y20" s="256"/>
      <c r="Z20" s="256"/>
      <c r="AA20" s="256"/>
      <c r="AB20" s="256"/>
      <c r="AC20" s="256"/>
      <c r="AD20" s="256"/>
      <c r="AF20" s="79"/>
      <c r="AG20" s="80"/>
      <c r="AH20" s="79"/>
      <c r="AI20" s="79"/>
      <c r="AJ20" s="80"/>
      <c r="AK20" s="79"/>
      <c r="AL20" s="79"/>
      <c r="AM20" s="80"/>
      <c r="AN20" s="79"/>
      <c r="AO20" s="79"/>
      <c r="AP20" s="80"/>
      <c r="AQ20" s="79"/>
      <c r="AR20" s="79"/>
      <c r="AS20" s="80"/>
      <c r="AT20" s="79"/>
      <c r="AU20" s="79"/>
      <c r="AV20" s="80"/>
      <c r="AW20" s="79"/>
      <c r="AX20" s="79"/>
      <c r="AY20" s="80"/>
      <c r="AZ20" s="79"/>
      <c r="BA20" s="79"/>
      <c r="BB20" s="80"/>
      <c r="BC20" s="79"/>
      <c r="BD20" s="79"/>
      <c r="BE20" s="80"/>
      <c r="BF20" s="79"/>
      <c r="BG20" s="79"/>
      <c r="BH20" s="80"/>
      <c r="BI20" s="79"/>
      <c r="BJ20" s="79"/>
      <c r="BK20" s="80"/>
      <c r="BL20" s="90">
        <f>IF(SUM('Зарядная карта'!C20:BJ20)=0,0,1)</f>
        <v>1</v>
      </c>
    </row>
    <row r="21" spans="2:64" ht="15.75" customHeight="1" x14ac:dyDescent="0.25">
      <c r="B21" s="5">
        <v>17</v>
      </c>
      <c r="C21" s="321">
        <v>4</v>
      </c>
      <c r="D21" s="322">
        <v>8</v>
      </c>
      <c r="E21" s="322">
        <v>8</v>
      </c>
      <c r="F21" s="322">
        <v>8</v>
      </c>
      <c r="G21" s="322">
        <v>8</v>
      </c>
      <c r="H21" s="322">
        <v>8</v>
      </c>
      <c r="I21" s="322">
        <v>8</v>
      </c>
      <c r="J21" s="322">
        <v>8</v>
      </c>
      <c r="K21" s="322">
        <v>8</v>
      </c>
      <c r="L21" s="322">
        <v>8</v>
      </c>
      <c r="M21" s="322">
        <v>8</v>
      </c>
      <c r="N21" s="323">
        <v>4</v>
      </c>
      <c r="O21" s="256"/>
      <c r="P21" s="256"/>
      <c r="Q21" s="256"/>
      <c r="R21" s="256"/>
      <c r="S21" s="256"/>
      <c r="T21" s="256"/>
      <c r="U21" s="256"/>
      <c r="V21" s="256"/>
      <c r="W21" s="256"/>
      <c r="X21" s="256"/>
      <c r="Y21" s="256"/>
      <c r="Z21" s="256"/>
      <c r="AA21" s="256"/>
      <c r="AB21" s="256"/>
      <c r="AC21" s="256"/>
      <c r="AD21" s="256"/>
      <c r="AF21" s="78"/>
      <c r="AG21" s="81"/>
      <c r="AH21" s="78"/>
      <c r="AI21" s="78"/>
      <c r="AJ21" s="81"/>
      <c r="AK21" s="78"/>
      <c r="AL21" s="78"/>
      <c r="AM21" s="81"/>
      <c r="AN21" s="78"/>
      <c r="AO21" s="78"/>
      <c r="AP21" s="81"/>
      <c r="AQ21" s="78"/>
      <c r="AR21" s="78"/>
      <c r="AS21" s="81"/>
      <c r="AT21" s="78"/>
      <c r="AU21" s="78"/>
      <c r="AV21" s="81"/>
      <c r="AW21" s="78"/>
      <c r="AX21" s="78"/>
      <c r="AY21" s="81"/>
      <c r="AZ21" s="78"/>
      <c r="BA21" s="78"/>
      <c r="BB21" s="81"/>
      <c r="BC21" s="78"/>
      <c r="BD21" s="78"/>
      <c r="BE21" s="81"/>
      <c r="BF21" s="78"/>
      <c r="BG21" s="78"/>
      <c r="BH21" s="81"/>
      <c r="BI21" s="78"/>
      <c r="BJ21" s="78"/>
      <c r="BK21" s="81"/>
      <c r="BL21" s="90">
        <f>IF(SUM('Зарядная карта'!C21:BJ21)=0,0,1)</f>
        <v>1</v>
      </c>
    </row>
    <row r="22" spans="2:64" ht="15.75" customHeight="1" x14ac:dyDescent="0.25">
      <c r="B22" s="5">
        <v>18</v>
      </c>
      <c r="C22" s="321">
        <v>4</v>
      </c>
      <c r="D22" s="322">
        <v>8</v>
      </c>
      <c r="E22" s="322">
        <v>8</v>
      </c>
      <c r="F22" s="322">
        <v>8</v>
      </c>
      <c r="G22" s="322">
        <v>8</v>
      </c>
      <c r="H22" s="322">
        <v>8</v>
      </c>
      <c r="I22" s="322">
        <v>8</v>
      </c>
      <c r="J22" s="322">
        <v>8</v>
      </c>
      <c r="K22" s="322">
        <v>8</v>
      </c>
      <c r="L22" s="322">
        <v>8</v>
      </c>
      <c r="M22" s="322">
        <v>8</v>
      </c>
      <c r="N22" s="323">
        <v>4</v>
      </c>
      <c r="O22" s="81"/>
      <c r="P22" s="78"/>
      <c r="Q22" s="78"/>
      <c r="R22" s="81"/>
      <c r="S22" s="78"/>
      <c r="T22" s="78"/>
      <c r="U22" s="81"/>
      <c r="V22" s="78"/>
      <c r="W22" s="78"/>
      <c r="X22" s="81"/>
      <c r="Y22" s="78"/>
      <c r="Z22" s="78"/>
      <c r="AA22" s="81"/>
      <c r="AB22" s="78"/>
      <c r="AC22" s="78"/>
      <c r="AD22" s="81"/>
      <c r="AE22" s="78"/>
      <c r="AF22" s="78"/>
      <c r="AG22" s="81"/>
      <c r="AH22" s="78"/>
      <c r="AI22" s="78"/>
      <c r="AJ22" s="81"/>
      <c r="AK22" s="78"/>
      <c r="AL22" s="78"/>
      <c r="AM22" s="81"/>
      <c r="AN22" s="78"/>
      <c r="AO22" s="78"/>
      <c r="AP22" s="81"/>
      <c r="AQ22" s="78"/>
      <c r="AR22" s="78"/>
      <c r="AS22" s="81"/>
      <c r="AT22" s="78"/>
      <c r="AU22" s="78"/>
      <c r="AV22" s="81"/>
      <c r="AW22" s="78"/>
      <c r="AX22" s="78"/>
      <c r="AY22" s="81"/>
      <c r="AZ22" s="78"/>
      <c r="BA22" s="78"/>
      <c r="BB22" s="81"/>
      <c r="BC22" s="78"/>
      <c r="BD22" s="78"/>
      <c r="BE22" s="81"/>
      <c r="BF22" s="78"/>
      <c r="BG22" s="78"/>
      <c r="BH22" s="81"/>
      <c r="BI22" s="78"/>
      <c r="BJ22" s="78"/>
      <c r="BK22" s="81"/>
      <c r="BL22" s="90">
        <f>IF(SUM('Зарядная карта'!C22:BJ22)=0,0,1)</f>
        <v>1</v>
      </c>
    </row>
    <row r="23" spans="2:64" ht="15.75" customHeight="1" x14ac:dyDescent="0.25">
      <c r="B23" s="5">
        <v>19</v>
      </c>
      <c r="C23" s="321">
        <v>4</v>
      </c>
      <c r="D23" s="322">
        <v>8</v>
      </c>
      <c r="E23" s="322">
        <v>8</v>
      </c>
      <c r="F23" s="322">
        <v>8</v>
      </c>
      <c r="G23" s="322">
        <v>8</v>
      </c>
      <c r="H23" s="322">
        <v>8</v>
      </c>
      <c r="I23" s="322">
        <v>8</v>
      </c>
      <c r="J23" s="322">
        <v>8</v>
      </c>
      <c r="K23" s="322">
        <v>8</v>
      </c>
      <c r="L23" s="322">
        <v>8</v>
      </c>
      <c r="M23" s="322">
        <v>8</v>
      </c>
      <c r="N23" s="323">
        <v>4</v>
      </c>
      <c r="O23" s="80"/>
      <c r="P23" s="79"/>
      <c r="Q23" s="79"/>
      <c r="R23" s="80"/>
      <c r="S23" s="79"/>
      <c r="T23" s="79"/>
      <c r="U23" s="80"/>
      <c r="V23" s="79"/>
      <c r="W23" s="79"/>
      <c r="X23" s="80"/>
      <c r="Y23" s="79"/>
      <c r="Z23" s="79"/>
      <c r="AA23" s="80"/>
      <c r="AB23" s="79"/>
      <c r="AC23" s="79"/>
      <c r="AD23" s="80"/>
      <c r="AE23" s="79"/>
      <c r="AF23" s="79"/>
      <c r="AG23" s="80"/>
      <c r="AH23" s="79"/>
      <c r="AI23" s="79"/>
      <c r="AJ23" s="80"/>
      <c r="AK23" s="79"/>
      <c r="AL23" s="79"/>
      <c r="AM23" s="80"/>
      <c r="AN23" s="79"/>
      <c r="AO23" s="79"/>
      <c r="AP23" s="80"/>
      <c r="AQ23" s="79"/>
      <c r="AR23" s="79"/>
      <c r="AS23" s="80"/>
      <c r="AT23" s="79"/>
      <c r="AU23" s="79"/>
      <c r="AV23" s="80"/>
      <c r="AW23" s="79"/>
      <c r="AX23" s="79"/>
      <c r="AY23" s="80"/>
      <c r="AZ23" s="79"/>
      <c r="BA23" s="79"/>
      <c r="BB23" s="80"/>
      <c r="BC23" s="79"/>
      <c r="BD23" s="79"/>
      <c r="BE23" s="80"/>
      <c r="BF23" s="79"/>
      <c r="BG23" s="79"/>
      <c r="BH23" s="80"/>
      <c r="BI23" s="79"/>
      <c r="BJ23" s="79"/>
      <c r="BK23" s="80"/>
      <c r="BL23" s="90">
        <f>IF(SUM('Зарядная карта'!C23:BJ23)=0,0,1)</f>
        <v>1</v>
      </c>
    </row>
    <row r="24" spans="2:64" ht="15.75" customHeight="1" x14ac:dyDescent="0.25">
      <c r="B24" s="5">
        <v>20</v>
      </c>
      <c r="C24" s="321">
        <v>4</v>
      </c>
      <c r="D24" s="322">
        <v>8</v>
      </c>
      <c r="E24" s="322">
        <v>8</v>
      </c>
      <c r="F24" s="322">
        <v>8</v>
      </c>
      <c r="G24" s="322">
        <v>8</v>
      </c>
      <c r="H24" s="322">
        <v>8</v>
      </c>
      <c r="I24" s="322">
        <v>8</v>
      </c>
      <c r="J24" s="322">
        <v>8</v>
      </c>
      <c r="K24" s="322">
        <v>8</v>
      </c>
      <c r="L24" s="322">
        <v>8</v>
      </c>
      <c r="M24" s="322">
        <v>4</v>
      </c>
      <c r="N24" s="86"/>
      <c r="O24" s="81"/>
      <c r="P24" s="78"/>
      <c r="Q24" s="78"/>
      <c r="R24" s="81"/>
      <c r="S24" s="78"/>
      <c r="T24" s="78"/>
      <c r="U24" s="81"/>
      <c r="V24" s="78"/>
      <c r="W24" s="78"/>
      <c r="X24" s="81"/>
      <c r="Y24" s="78"/>
      <c r="Z24" s="78"/>
      <c r="AA24" s="81"/>
      <c r="AB24" s="78"/>
      <c r="AC24" s="78"/>
      <c r="AD24" s="81"/>
      <c r="AE24" s="78"/>
      <c r="AF24" s="78"/>
      <c r="AG24" s="81"/>
      <c r="AH24" s="78"/>
      <c r="AI24" s="78"/>
      <c r="AJ24" s="81"/>
      <c r="AK24" s="78"/>
      <c r="AL24" s="78"/>
      <c r="AM24" s="81"/>
      <c r="AN24" s="78"/>
      <c r="AO24" s="78"/>
      <c r="AP24" s="81"/>
      <c r="AQ24" s="78"/>
      <c r="AR24" s="78"/>
      <c r="AS24" s="81"/>
      <c r="AT24" s="78"/>
      <c r="AU24" s="78"/>
      <c r="AV24" s="81"/>
      <c r="AW24" s="78"/>
      <c r="AX24" s="78"/>
      <c r="AY24" s="81"/>
      <c r="AZ24" s="78"/>
      <c r="BA24" s="78"/>
      <c r="BB24" s="81"/>
      <c r="BC24" s="78"/>
      <c r="BD24" s="78"/>
      <c r="BE24" s="81"/>
      <c r="BF24" s="78"/>
      <c r="BG24" s="78"/>
      <c r="BH24" s="81"/>
      <c r="BI24" s="78"/>
      <c r="BJ24" s="78"/>
      <c r="BK24" s="81"/>
      <c r="BL24" s="90">
        <f>IF(SUM('Зарядная карта'!C24:BJ24)=0,0,1)</f>
        <v>1</v>
      </c>
    </row>
    <row r="25" spans="2:64" ht="15.75" customHeight="1" x14ac:dyDescent="0.25">
      <c r="B25" s="5">
        <v>21</v>
      </c>
      <c r="C25" s="321">
        <v>4</v>
      </c>
      <c r="D25" s="322">
        <v>4</v>
      </c>
      <c r="E25" s="322">
        <v>8</v>
      </c>
      <c r="F25" s="322">
        <v>8</v>
      </c>
      <c r="G25" s="322">
        <v>8</v>
      </c>
      <c r="H25" s="322">
        <v>8</v>
      </c>
      <c r="I25" s="322">
        <v>8</v>
      </c>
      <c r="J25" s="322">
        <v>8</v>
      </c>
      <c r="K25" s="322">
        <v>8</v>
      </c>
      <c r="L25" s="322">
        <v>4</v>
      </c>
      <c r="M25" s="322"/>
      <c r="N25" s="86"/>
      <c r="O25" s="81"/>
      <c r="P25" s="78"/>
      <c r="Q25" s="78"/>
      <c r="R25" s="81"/>
      <c r="S25" s="78"/>
      <c r="T25" s="78"/>
      <c r="U25" s="81"/>
      <c r="V25" s="78"/>
      <c r="W25" s="78"/>
      <c r="X25" s="81"/>
      <c r="Y25" s="78"/>
      <c r="Z25" s="78"/>
      <c r="AA25" s="81"/>
      <c r="AB25" s="78"/>
      <c r="AC25" s="78"/>
      <c r="AD25" s="81"/>
      <c r="AE25" s="78"/>
      <c r="AF25" s="78"/>
      <c r="AG25" s="81"/>
      <c r="AH25" s="78"/>
      <c r="AI25" s="78"/>
      <c r="AJ25" s="81"/>
      <c r="AK25" s="78"/>
      <c r="AL25" s="78"/>
      <c r="AM25" s="81"/>
      <c r="AN25" s="78"/>
      <c r="AO25" s="78"/>
      <c r="AP25" s="81"/>
      <c r="AQ25" s="78"/>
      <c r="AR25" s="78"/>
      <c r="AS25" s="81"/>
      <c r="AT25" s="78"/>
      <c r="AU25" s="78"/>
      <c r="AV25" s="81"/>
      <c r="AW25" s="78"/>
      <c r="AX25" s="78"/>
      <c r="AY25" s="81"/>
      <c r="AZ25" s="78"/>
      <c r="BA25" s="78"/>
      <c r="BB25" s="81"/>
      <c r="BC25" s="78"/>
      <c r="BD25" s="78"/>
      <c r="BE25" s="81"/>
      <c r="BF25" s="78"/>
      <c r="BG25" s="78"/>
      <c r="BH25" s="81"/>
      <c r="BI25" s="78"/>
      <c r="BJ25" s="78"/>
      <c r="BK25" s="81"/>
      <c r="BL25" s="90">
        <f>IF(SUM('Зарядная карта'!C25:BJ25)=0,0,1)</f>
        <v>1</v>
      </c>
    </row>
    <row r="26" spans="2:64" ht="15.75" customHeight="1" x14ac:dyDescent="0.25">
      <c r="B26" s="5">
        <v>22</v>
      </c>
      <c r="C26" s="321">
        <v>4</v>
      </c>
      <c r="D26" s="322">
        <v>4</v>
      </c>
      <c r="E26" s="322">
        <v>4</v>
      </c>
      <c r="F26" s="322">
        <v>4</v>
      </c>
      <c r="G26" s="322">
        <v>8</v>
      </c>
      <c r="H26" s="322">
        <v>8</v>
      </c>
      <c r="I26" s="322">
        <v>8</v>
      </c>
      <c r="J26" s="322">
        <v>8</v>
      </c>
      <c r="K26" s="322">
        <v>4</v>
      </c>
      <c r="L26" s="322"/>
      <c r="M26" s="322"/>
      <c r="N26" s="86"/>
      <c r="O26" s="80"/>
      <c r="P26" s="79"/>
      <c r="Q26" s="79"/>
      <c r="R26" s="80"/>
      <c r="S26" s="79"/>
      <c r="T26" s="79"/>
      <c r="U26" s="80"/>
      <c r="V26" s="79"/>
      <c r="W26" s="79"/>
      <c r="X26" s="80"/>
      <c r="Y26" s="79"/>
      <c r="Z26" s="79"/>
      <c r="AA26" s="80"/>
      <c r="AB26" s="79"/>
      <c r="AC26" s="79"/>
      <c r="AD26" s="80"/>
      <c r="AE26" s="79"/>
      <c r="AF26" s="79"/>
      <c r="AG26" s="80"/>
      <c r="AH26" s="79"/>
      <c r="AI26" s="79"/>
      <c r="AJ26" s="80"/>
      <c r="AK26" s="79"/>
      <c r="AL26" s="79"/>
      <c r="AM26" s="80"/>
      <c r="AN26" s="79"/>
      <c r="AO26" s="79"/>
      <c r="AP26" s="80"/>
      <c r="AQ26" s="79"/>
      <c r="AR26" s="79"/>
      <c r="AS26" s="80"/>
      <c r="AT26" s="79"/>
      <c r="AU26" s="79"/>
      <c r="AV26" s="80"/>
      <c r="AW26" s="79"/>
      <c r="AX26" s="79"/>
      <c r="AY26" s="80"/>
      <c r="AZ26" s="79"/>
      <c r="BA26" s="79"/>
      <c r="BB26" s="80"/>
      <c r="BC26" s="79"/>
      <c r="BD26" s="79"/>
      <c r="BE26" s="80"/>
      <c r="BF26" s="79"/>
      <c r="BG26" s="79"/>
      <c r="BH26" s="80"/>
      <c r="BI26" s="79"/>
      <c r="BJ26" s="79"/>
      <c r="BK26" s="80"/>
      <c r="BL26" s="90">
        <f>IF(SUM('Зарядная карта'!C26:BJ26)=0,0,1)</f>
        <v>1</v>
      </c>
    </row>
    <row r="27" spans="2:64" ht="15.75" customHeight="1" x14ac:dyDescent="0.25">
      <c r="B27" s="5">
        <v>23</v>
      </c>
      <c r="C27" s="321">
        <v>4</v>
      </c>
      <c r="D27" s="322">
        <v>8</v>
      </c>
      <c r="E27" s="322">
        <v>8</v>
      </c>
      <c r="F27" s="322">
        <v>4</v>
      </c>
      <c r="G27" s="322"/>
      <c r="H27" s="322"/>
      <c r="I27" s="322"/>
      <c r="J27" s="322"/>
      <c r="K27" s="322"/>
      <c r="L27" s="322"/>
      <c r="M27" s="322"/>
      <c r="N27" s="86"/>
      <c r="O27" s="81"/>
      <c r="P27" s="78"/>
      <c r="Q27" s="78"/>
      <c r="R27" s="81"/>
      <c r="S27" s="78"/>
      <c r="T27" s="78"/>
      <c r="U27" s="81"/>
      <c r="V27" s="78"/>
      <c r="W27" s="78"/>
      <c r="X27" s="81"/>
      <c r="Y27" s="78"/>
      <c r="Z27" s="78"/>
      <c r="AA27" s="81"/>
      <c r="AB27" s="78"/>
      <c r="AC27" s="78"/>
      <c r="AD27" s="81"/>
      <c r="AE27" s="78"/>
      <c r="AF27" s="78"/>
      <c r="AG27" s="81"/>
      <c r="AH27" s="78"/>
      <c r="AI27" s="78"/>
      <c r="AJ27" s="81"/>
      <c r="AK27" s="78"/>
      <c r="AL27" s="78"/>
      <c r="AM27" s="81"/>
      <c r="AN27" s="78"/>
      <c r="AO27" s="78"/>
      <c r="AP27" s="81"/>
      <c r="AQ27" s="78"/>
      <c r="AR27" s="78"/>
      <c r="AS27" s="81"/>
      <c r="AT27" s="78"/>
      <c r="AU27" s="78"/>
      <c r="AV27" s="81"/>
      <c r="AW27" s="78"/>
      <c r="AX27" s="78"/>
      <c r="AY27" s="81"/>
      <c r="AZ27" s="78"/>
      <c r="BA27" s="78"/>
      <c r="BB27" s="81"/>
      <c r="BC27" s="78"/>
      <c r="BD27" s="78"/>
      <c r="BE27" s="81"/>
      <c r="BF27" s="78"/>
      <c r="BG27" s="78"/>
      <c r="BH27" s="81"/>
      <c r="BI27" s="78"/>
      <c r="BJ27" s="78"/>
      <c r="BK27" s="81"/>
      <c r="BL27" s="90">
        <f>IF(SUM('Зарядная карта'!C27:BJ27)=0,0,1)</f>
        <v>1</v>
      </c>
    </row>
    <row r="28" spans="2:64" ht="15.75" customHeight="1" x14ac:dyDescent="0.25">
      <c r="B28" s="5">
        <v>24</v>
      </c>
      <c r="C28" s="324">
        <v>4</v>
      </c>
      <c r="D28" s="323">
        <v>4</v>
      </c>
      <c r="E28" s="323">
        <v>4</v>
      </c>
      <c r="F28" s="86"/>
      <c r="G28" s="86"/>
      <c r="H28" s="86"/>
      <c r="I28" s="86"/>
      <c r="J28" s="86"/>
      <c r="K28" s="86"/>
      <c r="L28" s="86"/>
      <c r="M28" s="86"/>
      <c r="N28" s="86"/>
      <c r="O28" s="81"/>
      <c r="P28" s="78"/>
      <c r="Q28" s="78"/>
      <c r="R28" s="81"/>
      <c r="S28" s="78"/>
      <c r="T28" s="78"/>
      <c r="U28" s="81"/>
      <c r="V28" s="78"/>
      <c r="W28" s="78"/>
      <c r="X28" s="81"/>
      <c r="Y28" s="78"/>
      <c r="Z28" s="78"/>
      <c r="AA28" s="81"/>
      <c r="AB28" s="78"/>
      <c r="AC28" s="78"/>
      <c r="AD28" s="81"/>
      <c r="AE28" s="78"/>
      <c r="AF28" s="78"/>
      <c r="AG28" s="81"/>
      <c r="AH28" s="78"/>
      <c r="AI28" s="78"/>
      <c r="AJ28" s="81"/>
      <c r="AK28" s="78"/>
      <c r="AL28" s="78"/>
      <c r="AM28" s="81"/>
      <c r="AN28" s="78"/>
      <c r="AO28" s="78"/>
      <c r="AP28" s="81"/>
      <c r="AQ28" s="78"/>
      <c r="AR28" s="78"/>
      <c r="AS28" s="81"/>
      <c r="AT28" s="78"/>
      <c r="AU28" s="78"/>
      <c r="AV28" s="81"/>
      <c r="AW28" s="78"/>
      <c r="AX28" s="78"/>
      <c r="AY28" s="81"/>
      <c r="AZ28" s="78"/>
      <c r="BA28" s="78"/>
      <c r="BB28" s="81"/>
      <c r="BC28" s="78"/>
      <c r="BD28" s="78"/>
      <c r="BE28" s="81"/>
      <c r="BF28" s="78"/>
      <c r="BG28" s="78"/>
      <c r="BH28" s="81"/>
      <c r="BI28" s="78"/>
      <c r="BJ28" s="78"/>
      <c r="BK28" s="81"/>
      <c r="BL28" s="90">
        <f>IF(SUM('Зарядная карта'!C28:BJ28)=0,0,1)</f>
        <v>1</v>
      </c>
    </row>
    <row r="29" spans="2:64" ht="15.75" customHeight="1" x14ac:dyDescent="0.25">
      <c r="B29" s="5">
        <v>25</v>
      </c>
      <c r="C29" s="80"/>
      <c r="D29" s="79"/>
      <c r="E29" s="79"/>
      <c r="F29" s="80"/>
      <c r="G29" s="79"/>
      <c r="H29" s="79"/>
      <c r="I29" s="80"/>
      <c r="J29" s="79"/>
      <c r="K29" s="79"/>
      <c r="L29" s="80"/>
      <c r="M29" s="79"/>
      <c r="N29" s="79"/>
      <c r="O29" s="80"/>
      <c r="P29" s="79"/>
      <c r="Q29" s="79"/>
      <c r="R29" s="80"/>
      <c r="S29" s="79"/>
      <c r="T29" s="79"/>
      <c r="U29" s="80"/>
      <c r="V29" s="79"/>
      <c r="W29" s="79"/>
      <c r="X29" s="80"/>
      <c r="Y29" s="79"/>
      <c r="Z29" s="79"/>
      <c r="AA29" s="80"/>
      <c r="AB29" s="79"/>
      <c r="AC29" s="79"/>
      <c r="AD29" s="80"/>
      <c r="AE29" s="79"/>
      <c r="AF29" s="79"/>
      <c r="AG29" s="80"/>
      <c r="AH29" s="79"/>
      <c r="AI29" s="79"/>
      <c r="AJ29" s="80"/>
      <c r="AK29" s="79"/>
      <c r="AL29" s="79"/>
      <c r="AM29" s="80"/>
      <c r="AN29" s="79"/>
      <c r="AO29" s="79"/>
      <c r="AP29" s="80"/>
      <c r="AQ29" s="79"/>
      <c r="AR29" s="79"/>
      <c r="AS29" s="80"/>
      <c r="AT29" s="79"/>
      <c r="AU29" s="79"/>
      <c r="AV29" s="80"/>
      <c r="AW29" s="79"/>
      <c r="AX29" s="79"/>
      <c r="AY29" s="80"/>
      <c r="AZ29" s="79"/>
      <c r="BA29" s="79"/>
      <c r="BB29" s="80"/>
      <c r="BC29" s="79"/>
      <c r="BD29" s="79"/>
      <c r="BE29" s="80"/>
      <c r="BF29" s="79"/>
      <c r="BG29" s="79"/>
      <c r="BH29" s="80"/>
      <c r="BI29" s="79"/>
      <c r="BJ29" s="79"/>
      <c r="BK29" s="80"/>
      <c r="BL29" s="90">
        <f>IF(SUM('Зарядная карта'!C29:BJ29)=0,0,1)</f>
        <v>0</v>
      </c>
    </row>
    <row r="30" spans="2:64" ht="16.5" customHeight="1" x14ac:dyDescent="0.25">
      <c r="B30" s="5">
        <v>26</v>
      </c>
      <c r="C30" s="81"/>
      <c r="D30" s="78"/>
      <c r="E30" s="78"/>
      <c r="F30" s="81"/>
      <c r="G30" s="78"/>
      <c r="H30" s="78"/>
      <c r="I30" s="81"/>
      <c r="J30" s="78"/>
      <c r="K30" s="78"/>
      <c r="L30" s="81"/>
      <c r="M30" s="78"/>
      <c r="N30" s="78"/>
      <c r="O30" s="81"/>
      <c r="P30" s="78"/>
      <c r="Q30" s="78"/>
      <c r="R30" s="81"/>
      <c r="S30" s="78"/>
      <c r="T30" s="78"/>
      <c r="U30" s="81"/>
      <c r="V30" s="78"/>
      <c r="W30" s="78"/>
      <c r="X30" s="81"/>
      <c r="Y30" s="78"/>
      <c r="Z30" s="78"/>
      <c r="AA30" s="81"/>
      <c r="AB30" s="78"/>
      <c r="AC30" s="78"/>
      <c r="AD30" s="81"/>
      <c r="AE30" s="78"/>
      <c r="AF30" s="78"/>
      <c r="AG30" s="81"/>
      <c r="AH30" s="78"/>
      <c r="AI30" s="78"/>
      <c r="AJ30" s="81"/>
      <c r="AK30" s="78"/>
      <c r="AL30" s="78"/>
      <c r="AM30" s="81"/>
      <c r="AN30" s="78"/>
      <c r="AO30" s="78"/>
      <c r="AP30" s="81"/>
      <c r="AQ30" s="78"/>
      <c r="AR30" s="78"/>
      <c r="AS30" s="81"/>
      <c r="AT30" s="78"/>
      <c r="AU30" s="78"/>
      <c r="AV30" s="81"/>
      <c r="AW30" s="78"/>
      <c r="AX30" s="78"/>
      <c r="AY30" s="81"/>
      <c r="AZ30" s="78"/>
      <c r="BA30" s="78"/>
      <c r="BB30" s="81"/>
      <c r="BC30" s="78"/>
      <c r="BD30" s="78"/>
      <c r="BE30" s="81"/>
      <c r="BF30" s="78"/>
      <c r="BG30" s="78"/>
      <c r="BH30" s="81"/>
      <c r="BI30" s="78"/>
      <c r="BJ30" s="78"/>
      <c r="BK30" s="81"/>
      <c r="BL30" s="90">
        <f>IF(SUM('Зарядная карта'!C30:BJ30)=0,0,1)</f>
        <v>0</v>
      </c>
    </row>
    <row r="31" spans="2:64" ht="15.75" customHeight="1" x14ac:dyDescent="0.25">
      <c r="B31" s="5">
        <v>27</v>
      </c>
      <c r="C31" s="81"/>
      <c r="D31" s="78"/>
      <c r="E31" s="78"/>
      <c r="F31" s="81"/>
      <c r="G31" s="78"/>
      <c r="H31" s="78"/>
      <c r="I31" s="81"/>
      <c r="J31" s="78"/>
      <c r="K31" s="78"/>
      <c r="L31" s="81"/>
      <c r="M31" s="78"/>
      <c r="N31" s="78"/>
      <c r="O31" s="81"/>
      <c r="P31" s="78"/>
      <c r="Q31" s="78"/>
      <c r="R31" s="81"/>
      <c r="S31" s="78"/>
      <c r="T31" s="78"/>
      <c r="U31" s="81"/>
      <c r="V31" s="78"/>
      <c r="W31" s="78"/>
      <c r="X31" s="81"/>
      <c r="Y31" s="78"/>
      <c r="Z31" s="78"/>
      <c r="AA31" s="81"/>
      <c r="AB31" s="78"/>
      <c r="AC31" s="78"/>
      <c r="AD31" s="81"/>
      <c r="AE31" s="78"/>
      <c r="AF31" s="78"/>
      <c r="AG31" s="81"/>
      <c r="AH31" s="78"/>
      <c r="AI31" s="78"/>
      <c r="AJ31" s="81"/>
      <c r="AK31" s="78"/>
      <c r="AL31" s="78"/>
      <c r="AM31" s="81"/>
      <c r="AN31" s="78"/>
      <c r="AO31" s="78"/>
      <c r="AP31" s="81"/>
      <c r="AQ31" s="78"/>
      <c r="AR31" s="78"/>
      <c r="AS31" s="81"/>
      <c r="AT31" s="78"/>
      <c r="AU31" s="78"/>
      <c r="AV31" s="81"/>
      <c r="AW31" s="78"/>
      <c r="AX31" s="78"/>
      <c r="AY31" s="81"/>
      <c r="AZ31" s="78"/>
      <c r="BA31" s="78"/>
      <c r="BB31" s="81"/>
      <c r="BC31" s="78"/>
      <c r="BD31" s="78"/>
      <c r="BE31" s="81"/>
      <c r="BF31" s="78"/>
      <c r="BG31" s="78"/>
      <c r="BH31" s="81"/>
      <c r="BI31" s="78"/>
      <c r="BJ31" s="78"/>
      <c r="BK31" s="81"/>
      <c r="BL31" s="90">
        <f>IF(SUM('Зарядная карта'!C31:BJ31)=0,0,1)</f>
        <v>0</v>
      </c>
    </row>
    <row r="32" spans="2:64" ht="15.75" customHeight="1" x14ac:dyDescent="0.25">
      <c r="B32" s="5">
        <v>28</v>
      </c>
      <c r="C32" s="80"/>
      <c r="D32" s="79"/>
      <c r="E32" s="79"/>
      <c r="F32" s="80"/>
      <c r="G32" s="79"/>
      <c r="H32" s="79"/>
      <c r="I32" s="80"/>
      <c r="J32" s="79"/>
      <c r="K32" s="79"/>
      <c r="L32" s="80"/>
      <c r="M32" s="79"/>
      <c r="N32" s="79"/>
      <c r="O32" s="80"/>
      <c r="P32" s="79"/>
      <c r="Q32" s="79"/>
      <c r="R32" s="80"/>
      <c r="S32" s="79"/>
      <c r="T32" s="79"/>
      <c r="U32" s="80"/>
      <c r="V32" s="79"/>
      <c r="W32" s="79"/>
      <c r="X32" s="80"/>
      <c r="Y32" s="79"/>
      <c r="Z32" s="79"/>
      <c r="AA32" s="80"/>
      <c r="AB32" s="79"/>
      <c r="AC32" s="79"/>
      <c r="AD32" s="80"/>
      <c r="AE32" s="79"/>
      <c r="AF32" s="79"/>
      <c r="AG32" s="80"/>
      <c r="AH32" s="79"/>
      <c r="AI32" s="79"/>
      <c r="AJ32" s="80"/>
      <c r="AK32" s="79"/>
      <c r="AL32" s="79"/>
      <c r="AM32" s="80"/>
      <c r="AN32" s="79"/>
      <c r="AO32" s="79"/>
      <c r="AP32" s="80"/>
      <c r="AQ32" s="79"/>
      <c r="AR32" s="79"/>
      <c r="AS32" s="80"/>
      <c r="AT32" s="79"/>
      <c r="AU32" s="79"/>
      <c r="AV32" s="80"/>
      <c r="AW32" s="79"/>
      <c r="AX32" s="79"/>
      <c r="AY32" s="80"/>
      <c r="AZ32" s="79"/>
      <c r="BA32" s="79"/>
      <c r="BB32" s="80"/>
      <c r="BC32" s="79"/>
      <c r="BD32" s="79"/>
      <c r="BE32" s="80"/>
      <c r="BF32" s="79"/>
      <c r="BG32" s="79"/>
      <c r="BH32" s="80"/>
      <c r="BI32" s="79"/>
      <c r="BJ32" s="79"/>
      <c r="BK32" s="80"/>
      <c r="BL32" s="90">
        <f>IF(SUM('Зарядная карта'!C32:BJ32)=0,0,1)</f>
        <v>0</v>
      </c>
    </row>
    <row r="33" spans="2:64" ht="15.75" customHeight="1" x14ac:dyDescent="0.25">
      <c r="B33" s="5">
        <v>29</v>
      </c>
      <c r="C33" s="81"/>
      <c r="D33" s="78"/>
      <c r="E33" s="78"/>
      <c r="F33" s="81"/>
      <c r="G33" s="78"/>
      <c r="H33" s="78"/>
      <c r="I33" s="81"/>
      <c r="J33" s="78"/>
      <c r="K33" s="78"/>
      <c r="L33" s="81"/>
      <c r="M33" s="78"/>
      <c r="N33" s="78"/>
      <c r="O33" s="81"/>
      <c r="P33" s="78"/>
      <c r="Q33" s="78"/>
      <c r="R33" s="81"/>
      <c r="S33" s="78"/>
      <c r="T33" s="78"/>
      <c r="U33" s="81"/>
      <c r="V33" s="78"/>
      <c r="W33" s="78"/>
      <c r="X33" s="81"/>
      <c r="Y33" s="78"/>
      <c r="Z33" s="78"/>
      <c r="AA33" s="81"/>
      <c r="AB33" s="78"/>
      <c r="AC33" s="78"/>
      <c r="AD33" s="81"/>
      <c r="AE33" s="78"/>
      <c r="AF33" s="78"/>
      <c r="AG33" s="81"/>
      <c r="AH33" s="78"/>
      <c r="AI33" s="78"/>
      <c r="AJ33" s="81"/>
      <c r="AK33" s="78"/>
      <c r="AL33" s="78"/>
      <c r="AM33" s="81"/>
      <c r="AN33" s="78"/>
      <c r="AO33" s="78"/>
      <c r="AP33" s="81"/>
      <c r="AQ33" s="78"/>
      <c r="AR33" s="78"/>
      <c r="AS33" s="81"/>
      <c r="AT33" s="78"/>
      <c r="AU33" s="78"/>
      <c r="AV33" s="81"/>
      <c r="AW33" s="78"/>
      <c r="AX33" s="78"/>
      <c r="AY33" s="81"/>
      <c r="AZ33" s="78"/>
      <c r="BA33" s="78"/>
      <c r="BB33" s="81"/>
      <c r="BC33" s="78"/>
      <c r="BD33" s="78"/>
      <c r="BE33" s="81"/>
      <c r="BF33" s="78"/>
      <c r="BG33" s="78"/>
      <c r="BH33" s="81"/>
      <c r="BI33" s="78"/>
      <c r="BJ33" s="78"/>
      <c r="BK33" s="81"/>
      <c r="BL33" s="90">
        <f>IF(SUM('Зарядная карта'!C33:BJ33)=0,0,1)</f>
        <v>0</v>
      </c>
    </row>
    <row r="34" spans="2:64" ht="15.75" customHeight="1" x14ac:dyDescent="0.25">
      <c r="B34" s="5">
        <v>30</v>
      </c>
      <c r="C34" s="81"/>
      <c r="D34" s="78"/>
      <c r="E34" s="78"/>
      <c r="F34" s="81"/>
      <c r="G34" s="78"/>
      <c r="H34" s="78"/>
      <c r="I34" s="81"/>
      <c r="J34" s="78"/>
      <c r="K34" s="78"/>
      <c r="L34" s="81"/>
      <c r="M34" s="78"/>
      <c r="N34" s="78"/>
      <c r="O34" s="81"/>
      <c r="P34" s="78"/>
      <c r="Q34" s="78"/>
      <c r="R34" s="81"/>
      <c r="S34" s="78"/>
      <c r="T34" s="78"/>
      <c r="U34" s="81"/>
      <c r="V34" s="78"/>
      <c r="W34" s="78"/>
      <c r="X34" s="81"/>
      <c r="Y34" s="78"/>
      <c r="Z34" s="78"/>
      <c r="AA34" s="81"/>
      <c r="AB34" s="78"/>
      <c r="AC34" s="78"/>
      <c r="AD34" s="81"/>
      <c r="AE34" s="78"/>
      <c r="AF34" s="78"/>
      <c r="AG34" s="81"/>
      <c r="AH34" s="78"/>
      <c r="AI34" s="78"/>
      <c r="AJ34" s="81"/>
      <c r="AK34" s="78"/>
      <c r="AL34" s="78"/>
      <c r="AM34" s="81"/>
      <c r="AN34" s="78"/>
      <c r="AO34" s="78"/>
      <c r="AP34" s="81"/>
      <c r="AQ34" s="78"/>
      <c r="AR34" s="78"/>
      <c r="AS34" s="81"/>
      <c r="AT34" s="78"/>
      <c r="AU34" s="78"/>
      <c r="AV34" s="81"/>
      <c r="AW34" s="78"/>
      <c r="AX34" s="78"/>
      <c r="AY34" s="81"/>
      <c r="AZ34" s="78"/>
      <c r="BA34" s="78"/>
      <c r="BB34" s="81"/>
      <c r="BC34" s="78"/>
      <c r="BD34" s="78"/>
      <c r="BE34" s="81"/>
      <c r="BF34" s="78"/>
      <c r="BG34" s="78"/>
      <c r="BH34" s="81"/>
      <c r="BI34" s="78"/>
      <c r="BJ34" s="78"/>
      <c r="BK34" s="81"/>
      <c r="BL34" s="90">
        <f>IF(SUM('Зарядная карта'!C34:BJ34)=0,0,1)</f>
        <v>0</v>
      </c>
    </row>
    <row r="35" spans="2:64" ht="15.75" customHeight="1" x14ac:dyDescent="0.25">
      <c r="B35" s="5">
        <v>31</v>
      </c>
      <c r="C35" s="80"/>
      <c r="D35" s="79"/>
      <c r="E35" s="79"/>
      <c r="F35" s="80"/>
      <c r="G35" s="79"/>
      <c r="H35" s="79"/>
      <c r="I35" s="80"/>
      <c r="J35" s="79"/>
      <c r="K35" s="79"/>
      <c r="L35" s="80"/>
      <c r="M35" s="79"/>
      <c r="N35" s="79"/>
      <c r="O35" s="80"/>
      <c r="P35" s="79"/>
      <c r="Q35" s="79"/>
      <c r="R35" s="80"/>
      <c r="S35" s="79"/>
      <c r="T35" s="79"/>
      <c r="U35" s="80"/>
      <c r="V35" s="79"/>
      <c r="W35" s="79"/>
      <c r="X35" s="80"/>
      <c r="Y35" s="79"/>
      <c r="Z35" s="79"/>
      <c r="AA35" s="80"/>
      <c r="AB35" s="79"/>
      <c r="AC35" s="79"/>
      <c r="AD35" s="80"/>
      <c r="AE35" s="79"/>
      <c r="AF35" s="79"/>
      <c r="AG35" s="80"/>
      <c r="AH35" s="79"/>
      <c r="AI35" s="79"/>
      <c r="AJ35" s="80"/>
      <c r="AK35" s="79"/>
      <c r="AL35" s="79"/>
      <c r="AM35" s="80"/>
      <c r="AN35" s="79"/>
      <c r="AO35" s="79"/>
      <c r="AP35" s="80"/>
      <c r="AQ35" s="79"/>
      <c r="AR35" s="79"/>
      <c r="AS35" s="80"/>
      <c r="AT35" s="79"/>
      <c r="AU35" s="79"/>
      <c r="AV35" s="80"/>
      <c r="AW35" s="79"/>
      <c r="AX35" s="79"/>
      <c r="AY35" s="80"/>
      <c r="AZ35" s="79"/>
      <c r="BA35" s="79"/>
      <c r="BB35" s="80"/>
      <c r="BC35" s="79"/>
      <c r="BD35" s="79"/>
      <c r="BE35" s="80"/>
      <c r="BF35" s="79"/>
      <c r="BG35" s="79"/>
      <c r="BH35" s="80"/>
      <c r="BI35" s="79"/>
      <c r="BJ35" s="79"/>
      <c r="BK35" s="80"/>
      <c r="BL35" s="90">
        <f>IF(SUM('Зарядная карта'!C35:BJ35)=0,0,1)</f>
        <v>0</v>
      </c>
    </row>
    <row r="36" spans="2:64" ht="15.75" customHeight="1" x14ac:dyDescent="0.25">
      <c r="B36" s="5">
        <v>32</v>
      </c>
      <c r="C36" s="81"/>
      <c r="D36" s="78"/>
      <c r="E36" s="78"/>
      <c r="F36" s="81"/>
      <c r="G36" s="78"/>
      <c r="H36" s="78"/>
      <c r="I36" s="81"/>
      <c r="J36" s="78"/>
      <c r="K36" s="78"/>
      <c r="L36" s="81"/>
      <c r="M36" s="78"/>
      <c r="N36" s="78"/>
      <c r="O36" s="81"/>
      <c r="P36" s="78"/>
      <c r="Q36" s="78"/>
      <c r="R36" s="81"/>
      <c r="S36" s="78"/>
      <c r="T36" s="78"/>
      <c r="U36" s="81"/>
      <c r="V36" s="78"/>
      <c r="W36" s="78"/>
      <c r="X36" s="81"/>
      <c r="Y36" s="78"/>
      <c r="Z36" s="78"/>
      <c r="AA36" s="81"/>
      <c r="AB36" s="78"/>
      <c r="AC36" s="78"/>
      <c r="AD36" s="81"/>
      <c r="AE36" s="78"/>
      <c r="AF36" s="78"/>
      <c r="AG36" s="81"/>
      <c r="AH36" s="78"/>
      <c r="AI36" s="78"/>
      <c r="AJ36" s="81"/>
      <c r="AK36" s="78"/>
      <c r="AL36" s="78"/>
      <c r="AM36" s="81"/>
      <c r="AN36" s="78"/>
      <c r="AO36" s="78"/>
      <c r="AP36" s="81"/>
      <c r="AQ36" s="78"/>
      <c r="AR36" s="78"/>
      <c r="AS36" s="81"/>
      <c r="AT36" s="78"/>
      <c r="AU36" s="78"/>
      <c r="AV36" s="81"/>
      <c r="AW36" s="78"/>
      <c r="AX36" s="78"/>
      <c r="AY36" s="81"/>
      <c r="AZ36" s="78"/>
      <c r="BA36" s="78"/>
      <c r="BB36" s="81"/>
      <c r="BC36" s="78"/>
      <c r="BD36" s="78"/>
      <c r="BE36" s="81"/>
      <c r="BF36" s="78"/>
      <c r="BG36" s="78"/>
      <c r="BH36" s="81"/>
      <c r="BI36" s="78"/>
      <c r="BJ36" s="78"/>
      <c r="BK36" s="81"/>
      <c r="BL36" s="90">
        <f>IF(SUM('Зарядная карта'!C36:BJ36)=0,0,1)</f>
        <v>0</v>
      </c>
    </row>
    <row r="37" spans="2:64" ht="15.75" customHeight="1" x14ac:dyDescent="0.25">
      <c r="B37" s="5">
        <v>33</v>
      </c>
      <c r="C37" s="81"/>
      <c r="D37" s="78"/>
      <c r="E37" s="78"/>
      <c r="F37" s="81"/>
      <c r="G37" s="78"/>
      <c r="H37" s="78"/>
      <c r="I37" s="81"/>
      <c r="J37" s="78"/>
      <c r="K37" s="78"/>
      <c r="L37" s="81"/>
      <c r="M37" s="78"/>
      <c r="N37" s="78"/>
      <c r="O37" s="81"/>
      <c r="P37" s="78"/>
      <c r="Q37" s="78"/>
      <c r="R37" s="81"/>
      <c r="S37" s="78"/>
      <c r="T37" s="78"/>
      <c r="U37" s="81"/>
      <c r="V37" s="78"/>
      <c r="W37" s="78"/>
      <c r="X37" s="81"/>
      <c r="Y37" s="78"/>
      <c r="Z37" s="78"/>
      <c r="AA37" s="81"/>
      <c r="AB37" s="78"/>
      <c r="AC37" s="78"/>
      <c r="AD37" s="81"/>
      <c r="AE37" s="78"/>
      <c r="AF37" s="78"/>
      <c r="AG37" s="81"/>
      <c r="AH37" s="78"/>
      <c r="AI37" s="78"/>
      <c r="AJ37" s="81"/>
      <c r="AK37" s="78"/>
      <c r="AL37" s="78"/>
      <c r="AM37" s="81"/>
      <c r="AN37" s="78"/>
      <c r="AO37" s="78"/>
      <c r="AP37" s="81"/>
      <c r="AQ37" s="78"/>
      <c r="AR37" s="78"/>
      <c r="AS37" s="81"/>
      <c r="AT37" s="78"/>
      <c r="AU37" s="78"/>
      <c r="AV37" s="81"/>
      <c r="AW37" s="78"/>
      <c r="AX37" s="78"/>
      <c r="AY37" s="81"/>
      <c r="AZ37" s="78"/>
      <c r="BA37" s="78"/>
      <c r="BB37" s="81"/>
      <c r="BC37" s="78"/>
      <c r="BD37" s="78"/>
      <c r="BE37" s="81"/>
      <c r="BF37" s="78"/>
      <c r="BG37" s="78"/>
      <c r="BH37" s="81"/>
      <c r="BI37" s="78"/>
      <c r="BJ37" s="78"/>
      <c r="BK37" s="81"/>
      <c r="BL37" s="90">
        <f>IF(SUM('Зарядная карта'!C37:BJ37)=0,0,1)</f>
        <v>0</v>
      </c>
    </row>
    <row r="38" spans="2:64" ht="15.75" customHeight="1" x14ac:dyDescent="0.25">
      <c r="B38" s="5">
        <v>34</v>
      </c>
      <c r="C38" s="80"/>
      <c r="D38" s="79"/>
      <c r="E38" s="79"/>
      <c r="F38" s="80"/>
      <c r="G38" s="79"/>
      <c r="H38" s="79"/>
      <c r="I38" s="80"/>
      <c r="J38" s="79"/>
      <c r="K38" s="79"/>
      <c r="L38" s="80"/>
      <c r="M38" s="79"/>
      <c r="N38" s="79"/>
      <c r="O38" s="80"/>
      <c r="P38" s="79"/>
      <c r="Q38" s="79"/>
      <c r="R38" s="80"/>
      <c r="S38" s="79"/>
      <c r="T38" s="79"/>
      <c r="U38" s="80"/>
      <c r="V38" s="79"/>
      <c r="W38" s="79"/>
      <c r="X38" s="80"/>
      <c r="Y38" s="79"/>
      <c r="Z38" s="79"/>
      <c r="AA38" s="80"/>
      <c r="AB38" s="79"/>
      <c r="AC38" s="79"/>
      <c r="AD38" s="80"/>
      <c r="AE38" s="79"/>
      <c r="AF38" s="79"/>
      <c r="AG38" s="80"/>
      <c r="AH38" s="79"/>
      <c r="AI38" s="79"/>
      <c r="AJ38" s="80"/>
      <c r="AK38" s="79"/>
      <c r="AL38" s="79"/>
      <c r="AM38" s="80"/>
      <c r="AN38" s="79"/>
      <c r="AO38" s="79"/>
      <c r="AP38" s="80"/>
      <c r="AQ38" s="79"/>
      <c r="AR38" s="79"/>
      <c r="AS38" s="80"/>
      <c r="AT38" s="79"/>
      <c r="AU38" s="79"/>
      <c r="AV38" s="80"/>
      <c r="AW38" s="79"/>
      <c r="AX38" s="79"/>
      <c r="AY38" s="80"/>
      <c r="AZ38" s="79"/>
      <c r="BA38" s="79"/>
      <c r="BB38" s="80"/>
      <c r="BC38" s="79"/>
      <c r="BD38" s="79"/>
      <c r="BE38" s="80"/>
      <c r="BF38" s="79"/>
      <c r="BG38" s="79"/>
      <c r="BH38" s="80"/>
      <c r="BI38" s="79"/>
      <c r="BJ38" s="79"/>
      <c r="BK38" s="80"/>
      <c r="BL38" s="90">
        <f>IF(SUM('Зарядная карта'!C38:BJ38)=0,0,1)</f>
        <v>0</v>
      </c>
    </row>
    <row r="39" spans="2:64" ht="15.75" customHeight="1" x14ac:dyDescent="0.25">
      <c r="B39" s="5">
        <v>35</v>
      </c>
      <c r="C39" s="81"/>
      <c r="D39" s="78"/>
      <c r="E39" s="78"/>
      <c r="F39" s="81"/>
      <c r="G39" s="78"/>
      <c r="H39" s="78"/>
      <c r="I39" s="81"/>
      <c r="J39" s="78"/>
      <c r="K39" s="78"/>
      <c r="L39" s="81"/>
      <c r="M39" s="78"/>
      <c r="N39" s="78"/>
      <c r="O39" s="81"/>
      <c r="P39" s="78"/>
      <c r="Q39" s="78"/>
      <c r="R39" s="81"/>
      <c r="S39" s="78"/>
      <c r="T39" s="78"/>
      <c r="U39" s="81"/>
      <c r="V39" s="78"/>
      <c r="W39" s="78"/>
      <c r="X39" s="81"/>
      <c r="Y39" s="78"/>
      <c r="Z39" s="78"/>
      <c r="AA39" s="81"/>
      <c r="AB39" s="78"/>
      <c r="AC39" s="78"/>
      <c r="AD39" s="81"/>
      <c r="AE39" s="78"/>
      <c r="AF39" s="78"/>
      <c r="AG39" s="81"/>
      <c r="AH39" s="78"/>
      <c r="AI39" s="78"/>
      <c r="AJ39" s="81"/>
      <c r="AK39" s="78"/>
      <c r="AL39" s="78"/>
      <c r="AM39" s="81"/>
      <c r="AN39" s="78"/>
      <c r="AO39" s="78"/>
      <c r="AP39" s="81"/>
      <c r="AQ39" s="78"/>
      <c r="AR39" s="78"/>
      <c r="AS39" s="81"/>
      <c r="AT39" s="78"/>
      <c r="AU39" s="78"/>
      <c r="AV39" s="81"/>
      <c r="AW39" s="78"/>
      <c r="AX39" s="78"/>
      <c r="AY39" s="81"/>
      <c r="AZ39" s="78"/>
      <c r="BA39" s="78"/>
      <c r="BB39" s="81"/>
      <c r="BC39" s="78"/>
      <c r="BD39" s="78"/>
      <c r="BE39" s="81"/>
      <c r="BF39" s="78"/>
      <c r="BG39" s="78"/>
      <c r="BH39" s="81"/>
      <c r="BI39" s="78"/>
      <c r="BJ39" s="78"/>
      <c r="BK39" s="81"/>
      <c r="BL39" s="90">
        <f>IF(SUM('Зарядная карта'!C39:BJ39)=0,0,1)</f>
        <v>0</v>
      </c>
    </row>
    <row r="40" spans="2:64" ht="15.75" customHeight="1" x14ac:dyDescent="0.25">
      <c r="B40" s="5">
        <v>36</v>
      </c>
      <c r="C40" s="81"/>
      <c r="D40" s="78"/>
      <c r="E40" s="78"/>
      <c r="F40" s="81"/>
      <c r="G40" s="78"/>
      <c r="H40" s="78"/>
      <c r="I40" s="81"/>
      <c r="J40" s="78"/>
      <c r="K40" s="78"/>
      <c r="L40" s="81"/>
      <c r="M40" s="78"/>
      <c r="N40" s="78"/>
      <c r="O40" s="81"/>
      <c r="P40" s="78"/>
      <c r="Q40" s="78"/>
      <c r="R40" s="81"/>
      <c r="S40" s="78"/>
      <c r="T40" s="78"/>
      <c r="U40" s="81"/>
      <c r="V40" s="78"/>
      <c r="W40" s="78"/>
      <c r="X40" s="81"/>
      <c r="Y40" s="78"/>
      <c r="Z40" s="78"/>
      <c r="AA40" s="81"/>
      <c r="AB40" s="78"/>
      <c r="AC40" s="78"/>
      <c r="AD40" s="81"/>
      <c r="AE40" s="78"/>
      <c r="AF40" s="78"/>
      <c r="AG40" s="81"/>
      <c r="AH40" s="78"/>
      <c r="AI40" s="78"/>
      <c r="AJ40" s="81"/>
      <c r="AK40" s="78"/>
      <c r="AL40" s="78"/>
      <c r="AM40" s="81"/>
      <c r="AN40" s="78"/>
      <c r="AO40" s="78"/>
      <c r="AP40" s="81"/>
      <c r="AQ40" s="78"/>
      <c r="AR40" s="78"/>
      <c r="AS40" s="81"/>
      <c r="AT40" s="78"/>
      <c r="AU40" s="78"/>
      <c r="AV40" s="81"/>
      <c r="AW40" s="78"/>
      <c r="AX40" s="78"/>
      <c r="AY40" s="81"/>
      <c r="AZ40" s="78"/>
      <c r="BA40" s="78"/>
      <c r="BB40" s="81"/>
      <c r="BC40" s="78"/>
      <c r="BD40" s="78"/>
      <c r="BE40" s="81"/>
      <c r="BF40" s="78"/>
      <c r="BG40" s="78"/>
      <c r="BH40" s="81"/>
      <c r="BI40" s="78"/>
      <c r="BJ40" s="78"/>
      <c r="BK40" s="81"/>
      <c r="BL40" s="90">
        <f>IF(SUM('Зарядная карта'!C40:BJ40)=0,0,1)</f>
        <v>0</v>
      </c>
    </row>
    <row r="41" spans="2:64" ht="15.75" customHeight="1" x14ac:dyDescent="0.25">
      <c r="B41" s="5">
        <v>37</v>
      </c>
      <c r="C41" s="80"/>
      <c r="D41" s="79"/>
      <c r="E41" s="79"/>
      <c r="F41" s="80"/>
      <c r="G41" s="79"/>
      <c r="H41" s="79"/>
      <c r="I41" s="80"/>
      <c r="J41" s="79"/>
      <c r="K41" s="79"/>
      <c r="L41" s="80"/>
      <c r="M41" s="79"/>
      <c r="N41" s="79"/>
      <c r="O41" s="80"/>
      <c r="P41" s="79"/>
      <c r="Q41" s="79"/>
      <c r="R41" s="80"/>
      <c r="S41" s="79"/>
      <c r="T41" s="79"/>
      <c r="U41" s="80"/>
      <c r="V41" s="79"/>
      <c r="W41" s="79"/>
      <c r="X41" s="80"/>
      <c r="Y41" s="79"/>
      <c r="Z41" s="79"/>
      <c r="AA41" s="80"/>
      <c r="AB41" s="79"/>
      <c r="AC41" s="79"/>
      <c r="AD41" s="80"/>
      <c r="AE41" s="79"/>
      <c r="AF41" s="79"/>
      <c r="AG41" s="80"/>
      <c r="AH41" s="79"/>
      <c r="AI41" s="79"/>
      <c r="AJ41" s="80"/>
      <c r="AK41" s="79"/>
      <c r="AL41" s="79"/>
      <c r="AM41" s="80"/>
      <c r="AN41" s="79"/>
      <c r="AO41" s="79"/>
      <c r="AP41" s="80"/>
      <c r="AQ41" s="79"/>
      <c r="AR41" s="79"/>
      <c r="AS41" s="80"/>
      <c r="AT41" s="79"/>
      <c r="AU41" s="79"/>
      <c r="AV41" s="80"/>
      <c r="AW41" s="79"/>
      <c r="AX41" s="79"/>
      <c r="AY41" s="80"/>
      <c r="AZ41" s="79"/>
      <c r="BA41" s="79"/>
      <c r="BB41" s="80"/>
      <c r="BC41" s="79"/>
      <c r="BD41" s="79"/>
      <c r="BE41" s="80"/>
      <c r="BF41" s="79"/>
      <c r="BG41" s="79"/>
      <c r="BH41" s="80"/>
      <c r="BI41" s="79"/>
      <c r="BJ41" s="79"/>
      <c r="BK41" s="80"/>
      <c r="BL41" s="90">
        <f>IF(SUM('Зарядная карта'!C41:BJ41)=0,0,1)</f>
        <v>0</v>
      </c>
    </row>
    <row r="42" spans="2:64" ht="15.75" customHeight="1" x14ac:dyDescent="0.25">
      <c r="B42" s="5">
        <v>38</v>
      </c>
      <c r="C42" s="81"/>
      <c r="D42" s="78"/>
      <c r="E42" s="78"/>
      <c r="F42" s="81"/>
      <c r="G42" s="78"/>
      <c r="H42" s="78"/>
      <c r="I42" s="81"/>
      <c r="J42" s="78"/>
      <c r="K42" s="78"/>
      <c r="L42" s="81"/>
      <c r="M42" s="78"/>
      <c r="N42" s="78"/>
      <c r="O42" s="81"/>
      <c r="P42" s="78"/>
      <c r="Q42" s="78"/>
      <c r="R42" s="81"/>
      <c r="S42" s="78"/>
      <c r="T42" s="78"/>
      <c r="U42" s="81"/>
      <c r="V42" s="78"/>
      <c r="W42" s="78"/>
      <c r="X42" s="81"/>
      <c r="Y42" s="78"/>
      <c r="Z42" s="78"/>
      <c r="AA42" s="81"/>
      <c r="AB42" s="78"/>
      <c r="AC42" s="78"/>
      <c r="AD42" s="81"/>
      <c r="AE42" s="78"/>
      <c r="AF42" s="78"/>
      <c r="AG42" s="81"/>
      <c r="AH42" s="78"/>
      <c r="AI42" s="78"/>
      <c r="AJ42" s="81"/>
      <c r="AK42" s="78"/>
      <c r="AL42" s="78"/>
      <c r="AM42" s="81"/>
      <c r="AN42" s="78"/>
      <c r="AO42" s="78"/>
      <c r="AP42" s="81"/>
      <c r="AQ42" s="78"/>
      <c r="AR42" s="78"/>
      <c r="AS42" s="81"/>
      <c r="AT42" s="78"/>
      <c r="AU42" s="78"/>
      <c r="AV42" s="81"/>
      <c r="AW42" s="78"/>
      <c r="AX42" s="78"/>
      <c r="AY42" s="81"/>
      <c r="AZ42" s="78"/>
      <c r="BA42" s="78"/>
      <c r="BB42" s="81"/>
      <c r="BC42" s="78"/>
      <c r="BD42" s="78"/>
      <c r="BE42" s="81"/>
      <c r="BF42" s="78"/>
      <c r="BG42" s="78"/>
      <c r="BH42" s="81"/>
      <c r="BI42" s="78"/>
      <c r="BJ42" s="78"/>
      <c r="BK42" s="81"/>
      <c r="BL42" s="90">
        <f>IF(SUM('Зарядная карта'!C42:BJ42)=0,0,1)</f>
        <v>0</v>
      </c>
    </row>
    <row r="43" spans="2:64" ht="15.75" customHeight="1" x14ac:dyDescent="0.25">
      <c r="B43" s="5">
        <v>39</v>
      </c>
      <c r="C43" s="81"/>
      <c r="D43" s="78"/>
      <c r="E43" s="78"/>
      <c r="F43" s="81"/>
      <c r="G43" s="78"/>
      <c r="H43" s="78"/>
      <c r="I43" s="81"/>
      <c r="J43" s="78"/>
      <c r="K43" s="78"/>
      <c r="L43" s="81"/>
      <c r="M43" s="78"/>
      <c r="N43" s="78"/>
      <c r="O43" s="81"/>
      <c r="P43" s="78"/>
      <c r="Q43" s="78"/>
      <c r="R43" s="81"/>
      <c r="S43" s="78"/>
      <c r="T43" s="78"/>
      <c r="U43" s="81"/>
      <c r="V43" s="78"/>
      <c r="W43" s="78"/>
      <c r="X43" s="81"/>
      <c r="Y43" s="78"/>
      <c r="Z43" s="78"/>
      <c r="AA43" s="81"/>
      <c r="AB43" s="78"/>
      <c r="AC43" s="78"/>
      <c r="AD43" s="81"/>
      <c r="AE43" s="78"/>
      <c r="AF43" s="78"/>
      <c r="AG43" s="81"/>
      <c r="AH43" s="78"/>
      <c r="AI43" s="78"/>
      <c r="AJ43" s="81"/>
      <c r="AK43" s="78"/>
      <c r="AL43" s="78"/>
      <c r="AM43" s="81"/>
      <c r="AN43" s="78"/>
      <c r="AO43" s="78"/>
      <c r="AP43" s="81"/>
      <c r="AQ43" s="78"/>
      <c r="AR43" s="78"/>
      <c r="AS43" s="81"/>
      <c r="AT43" s="78"/>
      <c r="AU43" s="78"/>
      <c r="AV43" s="81"/>
      <c r="AW43" s="78"/>
      <c r="AX43" s="78"/>
      <c r="AY43" s="81"/>
      <c r="AZ43" s="78"/>
      <c r="BA43" s="78"/>
      <c r="BB43" s="81"/>
      <c r="BC43" s="78"/>
      <c r="BD43" s="78"/>
      <c r="BE43" s="81"/>
      <c r="BF43" s="78"/>
      <c r="BG43" s="78"/>
      <c r="BH43" s="81"/>
      <c r="BI43" s="78"/>
      <c r="BJ43" s="78"/>
      <c r="BK43" s="81"/>
      <c r="BL43" s="90">
        <f>IF(SUM('Зарядная карта'!C43:BJ43)=0,0,1)</f>
        <v>0</v>
      </c>
    </row>
    <row r="44" spans="2:64" ht="16.5" customHeight="1" thickBot="1" x14ac:dyDescent="0.3">
      <c r="B44" s="6">
        <v>40</v>
      </c>
      <c r="C44" s="80"/>
      <c r="D44" s="79"/>
      <c r="E44" s="79"/>
      <c r="F44" s="80"/>
      <c r="G44" s="79"/>
      <c r="H44" s="79"/>
      <c r="I44" s="80"/>
      <c r="J44" s="79"/>
      <c r="K44" s="79"/>
      <c r="L44" s="80"/>
      <c r="M44" s="79"/>
      <c r="N44" s="79"/>
      <c r="O44" s="80"/>
      <c r="P44" s="79"/>
      <c r="Q44" s="79"/>
      <c r="R44" s="80"/>
      <c r="S44" s="79"/>
      <c r="T44" s="79"/>
      <c r="U44" s="80"/>
      <c r="V44" s="79"/>
      <c r="W44" s="79"/>
      <c r="X44" s="80"/>
      <c r="Y44" s="79"/>
      <c r="Z44" s="79"/>
      <c r="AA44" s="80"/>
      <c r="AB44" s="79"/>
      <c r="AC44" s="79"/>
      <c r="AD44" s="80"/>
      <c r="AE44" s="79"/>
      <c r="AF44" s="79"/>
      <c r="AG44" s="80"/>
      <c r="AH44" s="79"/>
      <c r="AI44" s="79"/>
      <c r="AJ44" s="80"/>
      <c r="AK44" s="79"/>
      <c r="AL44" s="79"/>
      <c r="AM44" s="80"/>
      <c r="AN44" s="79"/>
      <c r="AO44" s="79"/>
      <c r="AP44" s="80"/>
      <c r="AQ44" s="79"/>
      <c r="AR44" s="79"/>
      <c r="AS44" s="80"/>
      <c r="AT44" s="79"/>
      <c r="AU44" s="79"/>
      <c r="AV44" s="80"/>
      <c r="AW44" s="79"/>
      <c r="AX44" s="79"/>
      <c r="AY44" s="80"/>
      <c r="AZ44" s="79"/>
      <c r="BA44" s="79"/>
      <c r="BB44" s="80"/>
      <c r="BC44" s="79"/>
      <c r="BD44" s="79"/>
      <c r="BE44" s="80"/>
      <c r="BF44" s="79"/>
      <c r="BG44" s="79"/>
      <c r="BH44" s="80"/>
      <c r="BI44" s="79"/>
      <c r="BJ44" s="79"/>
      <c r="BK44" s="80"/>
      <c r="BL44" s="90">
        <f>IF(SUM('Зарядная карта'!C44:BJ44)=0,0,1)</f>
        <v>0</v>
      </c>
    </row>
    <row r="45" spans="2:64" ht="15.75" customHeight="1" x14ac:dyDescent="0.25">
      <c r="C45" s="74"/>
      <c r="D45" s="74"/>
      <c r="E45" s="74"/>
      <c r="F45" s="74"/>
      <c r="G45" s="74"/>
      <c r="H45" s="74"/>
      <c r="I45" s="74"/>
      <c r="J45" s="74"/>
      <c r="K45" s="74"/>
      <c r="L45" s="74"/>
      <c r="M45" s="74"/>
      <c r="N45" s="74"/>
      <c r="O45" s="74"/>
      <c r="P45" s="74"/>
      <c r="Q45" s="74"/>
      <c r="R45" s="76"/>
      <c r="S45" s="76"/>
      <c r="T45" s="76"/>
      <c r="U45" s="76"/>
      <c r="V45" s="76"/>
      <c r="W45" s="76"/>
      <c r="X45" s="76"/>
      <c r="Y45" s="76"/>
      <c r="Z45" s="76"/>
      <c r="AA45" s="76"/>
      <c r="AB45" s="76"/>
      <c r="AC45" s="76"/>
      <c r="AD45" s="76"/>
      <c r="AE45" s="76"/>
      <c r="AF45" s="76"/>
      <c r="AG45" s="76"/>
      <c r="AH45" s="76"/>
      <c r="AI45" s="76"/>
      <c r="AJ45" s="76"/>
      <c r="AK45" s="76"/>
      <c r="AL45" s="76"/>
      <c r="AM45" s="76"/>
      <c r="AN45" s="76"/>
      <c r="AO45" s="76"/>
      <c r="AP45" s="76"/>
      <c r="AQ45" s="76"/>
      <c r="AR45" s="76"/>
    </row>
    <row r="46" spans="2:64" ht="15.75" customHeight="1" x14ac:dyDescent="0.25">
      <c r="C46" s="74"/>
      <c r="D46" s="74"/>
      <c r="E46" s="74"/>
      <c r="F46" s="74"/>
      <c r="G46" s="74"/>
      <c r="H46" s="74"/>
      <c r="I46" s="74"/>
      <c r="J46" s="74"/>
      <c r="K46" s="74"/>
      <c r="L46" s="74"/>
      <c r="M46" s="74"/>
      <c r="N46" s="74"/>
      <c r="O46" s="74"/>
      <c r="P46" s="74"/>
      <c r="Q46" s="74"/>
      <c r="R46" s="76"/>
      <c r="S46" s="76"/>
      <c r="T46" s="76"/>
      <c r="U46" s="76"/>
      <c r="V46" s="76"/>
      <c r="W46" s="76"/>
      <c r="X46" s="76"/>
      <c r="Y46" s="76"/>
      <c r="Z46" s="76"/>
      <c r="AA46" s="76"/>
      <c r="AB46" s="76"/>
      <c r="AC46" s="76"/>
      <c r="AD46" s="76"/>
      <c r="AE46" s="76"/>
      <c r="AF46" s="76"/>
      <c r="AG46" s="76"/>
      <c r="AH46" s="76"/>
      <c r="AI46" s="76"/>
      <c r="AJ46" s="76"/>
      <c r="AK46" s="76"/>
      <c r="AL46" s="76"/>
      <c r="AM46" s="76"/>
      <c r="AN46" s="76"/>
      <c r="AO46" s="76"/>
      <c r="AP46" s="76"/>
      <c r="AQ46" s="76"/>
      <c r="AR46" s="76"/>
    </row>
    <row r="47" spans="2:64" ht="15.75" customHeight="1" x14ac:dyDescent="0.25">
      <c r="C47" s="74"/>
      <c r="D47" s="74"/>
      <c r="E47" s="74"/>
      <c r="F47" s="74"/>
      <c r="G47" s="74"/>
      <c r="H47" s="74"/>
      <c r="I47" s="74"/>
      <c r="J47" s="74"/>
      <c r="K47" s="74"/>
      <c r="L47" s="74"/>
      <c r="M47" s="74"/>
      <c r="N47" s="74"/>
      <c r="O47" s="74"/>
      <c r="P47" s="74"/>
      <c r="Q47" s="74"/>
      <c r="R47" s="76"/>
      <c r="S47" s="76"/>
      <c r="T47" s="76"/>
      <c r="U47" s="76"/>
      <c r="V47" s="76"/>
      <c r="W47" s="76"/>
      <c r="X47" s="76"/>
      <c r="Y47" s="76"/>
      <c r="Z47" s="76"/>
      <c r="AA47" s="76"/>
      <c r="AB47" s="76"/>
      <c r="AC47" s="76"/>
      <c r="AD47" s="76"/>
      <c r="AE47" s="76"/>
      <c r="AF47" s="76"/>
      <c r="AG47" s="76"/>
      <c r="AH47" s="76"/>
      <c r="AI47" s="76"/>
      <c r="AJ47" s="76"/>
      <c r="AK47" s="76"/>
      <c r="AL47" s="76"/>
      <c r="AM47" s="76"/>
      <c r="AN47" s="76"/>
      <c r="AO47" s="76"/>
      <c r="AP47" s="76"/>
      <c r="AQ47" s="76"/>
      <c r="AR47" s="76"/>
    </row>
    <row r="48" spans="2:64" ht="15.75" customHeight="1" x14ac:dyDescent="0.25">
      <c r="C48" s="74"/>
      <c r="D48" s="74"/>
      <c r="E48" s="74"/>
      <c r="F48" s="74"/>
      <c r="G48" s="74"/>
      <c r="H48" s="74"/>
      <c r="I48" s="74"/>
      <c r="J48" s="74"/>
      <c r="K48" s="74"/>
      <c r="L48" s="74"/>
      <c r="M48" s="74"/>
      <c r="N48" s="74"/>
      <c r="O48" s="74"/>
      <c r="P48" s="74"/>
      <c r="Q48" s="74"/>
      <c r="R48" s="76"/>
      <c r="S48" s="76"/>
      <c r="T48" s="76"/>
      <c r="U48" s="76"/>
      <c r="V48" s="76"/>
      <c r="W48" s="76"/>
      <c r="X48" s="76"/>
      <c r="Y48" s="76"/>
      <c r="Z48" s="76"/>
      <c r="AA48" s="76"/>
      <c r="AB48" s="76"/>
      <c r="AC48" s="76"/>
      <c r="AD48" s="76"/>
      <c r="AE48" s="76"/>
      <c r="AF48" s="76"/>
      <c r="AG48" s="76"/>
      <c r="AH48" s="76"/>
      <c r="AI48" s="76"/>
      <c r="AJ48" s="76"/>
      <c r="AK48" s="76"/>
      <c r="AL48" s="76"/>
      <c r="AM48" s="76"/>
      <c r="AN48" s="76"/>
      <c r="AO48" s="76"/>
      <c r="AP48" s="76"/>
      <c r="AQ48" s="76"/>
      <c r="AR48" s="76"/>
    </row>
    <row r="49" spans="3:44" ht="15.75" customHeight="1" x14ac:dyDescent="0.25">
      <c r="C49" s="76"/>
      <c r="D49" s="76"/>
      <c r="E49" s="76"/>
      <c r="F49" s="76"/>
      <c r="G49" s="76"/>
      <c r="H49" s="74"/>
      <c r="I49" s="74"/>
      <c r="J49" s="74"/>
      <c r="K49" s="74"/>
      <c r="L49" s="74"/>
      <c r="M49" s="74"/>
      <c r="N49" s="74"/>
      <c r="O49" s="74"/>
      <c r="P49" s="74"/>
      <c r="Q49" s="74"/>
      <c r="R49" s="76"/>
      <c r="S49" s="76"/>
      <c r="T49" s="76"/>
      <c r="U49" s="76"/>
      <c r="V49" s="76"/>
      <c r="W49" s="76"/>
      <c r="X49" s="76"/>
      <c r="Y49" s="76"/>
      <c r="Z49" s="76"/>
      <c r="AA49" s="76"/>
      <c r="AB49" s="76"/>
      <c r="AC49" s="76"/>
      <c r="AD49" s="76"/>
      <c r="AE49" s="76"/>
      <c r="AF49" s="76"/>
      <c r="AG49" s="76"/>
      <c r="AH49" s="76"/>
      <c r="AI49" s="76"/>
      <c r="AJ49" s="76"/>
      <c r="AK49" s="76"/>
      <c r="AL49" s="76"/>
      <c r="AM49" s="76"/>
      <c r="AN49" s="76"/>
      <c r="AO49" s="76"/>
      <c r="AP49" s="76"/>
      <c r="AQ49" s="76"/>
      <c r="AR49" s="76"/>
    </row>
    <row r="50" spans="3:44" ht="15.75" customHeight="1" x14ac:dyDescent="0.25">
      <c r="C50" s="76"/>
      <c r="D50" s="76"/>
      <c r="E50" s="76"/>
      <c r="F50" s="76"/>
      <c r="G50" s="76"/>
      <c r="H50" s="74"/>
      <c r="I50" s="74"/>
      <c r="J50" s="74"/>
      <c r="K50" s="74"/>
      <c r="L50" s="75"/>
      <c r="M50" s="75"/>
      <c r="N50" s="74"/>
      <c r="O50" s="74"/>
      <c r="P50" s="74"/>
      <c r="Q50" s="74"/>
      <c r="R50" s="76"/>
      <c r="S50" s="76"/>
      <c r="T50" s="76"/>
      <c r="U50" s="76"/>
      <c r="V50" s="76"/>
      <c r="W50" s="76"/>
      <c r="X50" s="76"/>
      <c r="Y50" s="76"/>
      <c r="Z50" s="76"/>
      <c r="AA50" s="76"/>
      <c r="AB50" s="76"/>
      <c r="AC50" s="76"/>
      <c r="AD50" s="76"/>
      <c r="AE50" s="76"/>
      <c r="AF50" s="76"/>
      <c r="AG50" s="76"/>
      <c r="AH50" s="76"/>
      <c r="AI50" s="76"/>
      <c r="AJ50" s="76"/>
      <c r="AK50" s="76"/>
      <c r="AL50" s="76"/>
      <c r="AM50" s="76"/>
      <c r="AN50" s="76"/>
      <c r="AO50" s="76"/>
      <c r="AP50" s="76"/>
      <c r="AQ50" s="76"/>
      <c r="AR50" s="76"/>
    </row>
    <row r="51" spans="3:44" ht="15.75" customHeight="1" x14ac:dyDescent="0.25">
      <c r="C51" s="76"/>
      <c r="D51" s="76"/>
      <c r="E51" s="76"/>
      <c r="F51" s="76"/>
      <c r="G51" s="76"/>
      <c r="H51" s="76"/>
      <c r="I51" s="76"/>
      <c r="J51" s="76"/>
      <c r="K51" s="76"/>
      <c r="L51" s="76"/>
      <c r="M51" s="76"/>
      <c r="N51" s="76"/>
      <c r="O51" s="76"/>
      <c r="P51" s="76"/>
      <c r="Q51" s="76"/>
      <c r="R51" s="76"/>
      <c r="S51" s="76"/>
      <c r="T51" s="76"/>
      <c r="U51" s="76"/>
      <c r="V51" s="76"/>
      <c r="W51" s="76"/>
      <c r="X51" s="76"/>
      <c r="Y51" s="76"/>
      <c r="Z51" s="76"/>
      <c r="AA51" s="76"/>
      <c r="AB51" s="76"/>
      <c r="AC51" s="76"/>
      <c r="AD51" s="76"/>
      <c r="AE51" s="76"/>
      <c r="AF51" s="76"/>
      <c r="AG51" s="76"/>
      <c r="AH51" s="76"/>
      <c r="AI51" s="76"/>
      <c r="AJ51" s="76"/>
      <c r="AK51" s="76"/>
      <c r="AL51" s="76"/>
      <c r="AM51" s="76"/>
      <c r="AN51" s="76"/>
      <c r="AO51" s="76"/>
      <c r="AP51" s="76"/>
      <c r="AQ51" s="76"/>
      <c r="AR51" s="76"/>
    </row>
    <row r="52" spans="3:44" ht="15.75" customHeight="1" x14ac:dyDescent="0.25">
      <c r="C52" s="76"/>
      <c r="D52" s="76"/>
      <c r="E52" s="76"/>
      <c r="F52" s="76"/>
      <c r="G52" s="76"/>
      <c r="H52" s="76"/>
      <c r="I52" s="76"/>
      <c r="J52" s="76"/>
      <c r="K52" s="76"/>
      <c r="L52" s="76"/>
      <c r="M52" s="76"/>
      <c r="N52" s="76"/>
      <c r="O52" s="76"/>
      <c r="P52" s="76"/>
      <c r="Q52" s="76"/>
      <c r="R52" s="76"/>
      <c r="S52" s="76"/>
      <c r="T52" s="76"/>
      <c r="U52" s="76"/>
      <c r="V52" s="76"/>
      <c r="W52" s="76"/>
      <c r="X52" s="76"/>
      <c r="Y52" s="76"/>
      <c r="Z52" s="76"/>
      <c r="AA52" s="76"/>
      <c r="AB52" s="76"/>
      <c r="AC52" s="76"/>
      <c r="AD52" s="76"/>
      <c r="AE52" s="76"/>
      <c r="AF52" s="76"/>
      <c r="AG52" s="76"/>
      <c r="AH52" s="76"/>
      <c r="AI52" s="76"/>
      <c r="AJ52" s="76"/>
      <c r="AK52" s="76"/>
      <c r="AL52" s="76"/>
      <c r="AM52" s="76"/>
      <c r="AN52" s="76"/>
      <c r="AO52" s="76"/>
      <c r="AP52" s="76"/>
      <c r="AQ52" s="76"/>
      <c r="AR52" s="76"/>
    </row>
    <row r="53" spans="3:44" ht="15.75" customHeight="1" x14ac:dyDescent="0.25">
      <c r="C53" s="76"/>
      <c r="D53" s="76"/>
      <c r="E53" s="76"/>
      <c r="F53" s="76"/>
      <c r="G53" s="76"/>
      <c r="H53" s="76"/>
      <c r="I53" s="76"/>
      <c r="J53" s="76"/>
      <c r="K53" s="76"/>
      <c r="L53" s="76"/>
      <c r="M53" s="76"/>
      <c r="N53" s="76"/>
      <c r="O53" s="76"/>
      <c r="P53" s="76"/>
      <c r="Q53" s="76"/>
      <c r="R53" s="76"/>
      <c r="S53" s="76"/>
      <c r="T53" s="76"/>
      <c r="U53" s="76"/>
      <c r="V53" s="76"/>
      <c r="W53" s="76"/>
      <c r="X53" s="76"/>
      <c r="Y53" s="76"/>
      <c r="Z53" s="76"/>
      <c r="AA53" s="76"/>
      <c r="AB53" s="76"/>
      <c r="AC53" s="76"/>
      <c r="AD53" s="76"/>
      <c r="AE53" s="76"/>
      <c r="AF53" s="76"/>
      <c r="AG53" s="76"/>
      <c r="AH53" s="76"/>
      <c r="AI53" s="76"/>
      <c r="AJ53" s="76"/>
      <c r="AK53" s="76"/>
      <c r="AL53" s="76"/>
      <c r="AM53" s="76"/>
      <c r="AN53" s="76"/>
      <c r="AO53" s="76"/>
      <c r="AP53" s="76"/>
      <c r="AQ53" s="76"/>
      <c r="AR53" s="76"/>
    </row>
    <row r="54" spans="3:44" ht="15.75" customHeight="1" x14ac:dyDescent="0.25">
      <c r="C54" s="76"/>
      <c r="D54" s="76"/>
      <c r="E54" s="76"/>
      <c r="F54" s="76"/>
      <c r="G54" s="76"/>
      <c r="H54" s="76"/>
      <c r="I54" s="76"/>
      <c r="J54" s="76"/>
      <c r="K54" s="76"/>
      <c r="L54" s="76"/>
      <c r="M54" s="76"/>
      <c r="N54" s="76"/>
      <c r="O54" s="76"/>
      <c r="P54" s="76"/>
      <c r="Q54" s="76"/>
      <c r="R54" s="76"/>
      <c r="S54" s="76"/>
      <c r="T54" s="76"/>
      <c r="U54" s="76"/>
      <c r="V54" s="76"/>
      <c r="W54" s="76"/>
      <c r="X54" s="76"/>
      <c r="Y54" s="76"/>
      <c r="Z54" s="76"/>
      <c r="AA54" s="76"/>
      <c r="AB54" s="76"/>
      <c r="AC54" s="76"/>
      <c r="AD54" s="76"/>
      <c r="AE54" s="76"/>
      <c r="AF54" s="76"/>
      <c r="AG54" s="76"/>
      <c r="AH54" s="76"/>
      <c r="AI54" s="76"/>
      <c r="AJ54" s="76"/>
      <c r="AK54" s="76"/>
      <c r="AL54" s="76"/>
      <c r="AM54" s="76"/>
      <c r="AN54" s="76"/>
      <c r="AO54" s="76"/>
      <c r="AP54" s="76"/>
      <c r="AQ54" s="76"/>
      <c r="AR54" s="76"/>
    </row>
    <row r="55" spans="3:44" ht="15.75" customHeight="1" x14ac:dyDescent="0.25">
      <c r="C55" s="76"/>
      <c r="D55" s="76"/>
      <c r="E55" s="76"/>
      <c r="F55" s="76"/>
      <c r="G55" s="76"/>
      <c r="H55" s="76"/>
      <c r="I55" s="76"/>
      <c r="J55" s="76"/>
      <c r="K55" s="76"/>
      <c r="L55" s="76"/>
      <c r="M55" s="76"/>
      <c r="N55" s="76"/>
      <c r="O55" s="76"/>
      <c r="P55" s="76"/>
      <c r="Q55" s="76"/>
      <c r="R55" s="76"/>
      <c r="S55" s="76"/>
      <c r="T55" s="76"/>
      <c r="U55" s="76"/>
      <c r="V55" s="76"/>
      <c r="W55" s="76"/>
      <c r="X55" s="76"/>
      <c r="Y55" s="76"/>
      <c r="Z55" s="76"/>
      <c r="AA55" s="76"/>
      <c r="AB55" s="76"/>
      <c r="AC55" s="76"/>
      <c r="AD55" s="76"/>
      <c r="AE55" s="76"/>
      <c r="AF55" s="76"/>
      <c r="AG55" s="76"/>
      <c r="AH55" s="76"/>
      <c r="AI55" s="76"/>
      <c r="AJ55" s="76"/>
      <c r="AK55" s="76"/>
      <c r="AL55" s="76"/>
      <c r="AM55" s="76"/>
      <c r="AN55" s="76"/>
      <c r="AO55" s="76"/>
      <c r="AP55" s="76"/>
      <c r="AQ55" s="76"/>
      <c r="AR55" s="76"/>
    </row>
    <row r="56" spans="3:44" ht="15.75" customHeight="1" x14ac:dyDescent="0.25">
      <c r="C56" s="76"/>
      <c r="D56" s="76"/>
      <c r="E56" s="76"/>
      <c r="F56" s="76"/>
      <c r="G56" s="76"/>
      <c r="H56" s="76"/>
      <c r="I56" s="76"/>
      <c r="J56" s="76"/>
      <c r="K56" s="76"/>
      <c r="L56" s="76"/>
      <c r="M56" s="76"/>
      <c r="N56" s="76"/>
      <c r="O56" s="76"/>
      <c r="P56" s="76"/>
      <c r="Q56" s="76"/>
      <c r="R56" s="76"/>
      <c r="S56" s="76"/>
      <c r="T56" s="76"/>
      <c r="U56" s="76"/>
      <c r="V56" s="76"/>
      <c r="W56" s="76"/>
      <c r="X56" s="76"/>
      <c r="Y56" s="76"/>
      <c r="Z56" s="76"/>
      <c r="AA56" s="76"/>
      <c r="AB56" s="76"/>
      <c r="AC56" s="76"/>
      <c r="AD56" s="76"/>
      <c r="AE56" s="76"/>
      <c r="AF56" s="76"/>
      <c r="AG56" s="76"/>
      <c r="AH56" s="76"/>
      <c r="AI56" s="76"/>
      <c r="AJ56" s="76"/>
      <c r="AK56" s="76"/>
      <c r="AL56" s="76"/>
      <c r="AM56" s="76"/>
      <c r="AN56" s="76"/>
      <c r="AO56" s="76"/>
      <c r="AP56" s="76"/>
      <c r="AQ56" s="76"/>
      <c r="AR56" s="76"/>
    </row>
    <row r="57" spans="3:44" ht="15.75" customHeight="1" x14ac:dyDescent="0.25">
      <c r="C57" s="76"/>
      <c r="D57" s="76"/>
      <c r="E57" s="76"/>
      <c r="F57" s="76"/>
      <c r="G57" s="76"/>
      <c r="H57" s="76"/>
      <c r="I57" s="76"/>
      <c r="J57" s="76"/>
      <c r="K57" s="76"/>
      <c r="L57" s="76"/>
      <c r="M57" s="76"/>
      <c r="N57" s="76"/>
      <c r="O57" s="76"/>
      <c r="P57" s="76"/>
      <c r="Q57" s="76"/>
      <c r="R57" s="76"/>
      <c r="S57" s="76"/>
      <c r="T57" s="76"/>
      <c r="U57" s="76"/>
      <c r="V57" s="76"/>
      <c r="W57" s="76"/>
      <c r="X57" s="76"/>
      <c r="Y57" s="76"/>
      <c r="Z57" s="76"/>
      <c r="AA57" s="76"/>
      <c r="AB57" s="76"/>
      <c r="AC57" s="76"/>
      <c r="AD57" s="76"/>
      <c r="AE57" s="76"/>
      <c r="AF57" s="76"/>
      <c r="AG57" s="76"/>
      <c r="AH57" s="76"/>
      <c r="AI57" s="76"/>
      <c r="AJ57" s="76"/>
      <c r="AK57" s="76"/>
      <c r="AL57" s="76"/>
      <c r="AM57" s="76"/>
      <c r="AN57" s="76"/>
      <c r="AO57" s="76"/>
      <c r="AP57" s="76"/>
      <c r="AQ57" s="76"/>
      <c r="AR57" s="76"/>
    </row>
  </sheetData>
  <pageMargins left="0.25" right="0.25" top="0.75" bottom="0.75" header="0.3" footer="0.3"/>
  <pageSetup paperSize="9" scale="63" fitToWidth="0"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3">
    <outlinePr summaryRight="0"/>
  </sheetPr>
  <dimension ref="A1:N2408"/>
  <sheetViews>
    <sheetView showGridLines="0" showZeros="0" zoomScale="85" zoomScaleNormal="85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K8" sqref="K8"/>
    </sheetView>
  </sheetViews>
  <sheetFormatPr defaultColWidth="9.140625" defaultRowHeight="15" zeroHeight="1" outlineLevelCol="1" x14ac:dyDescent="0.25"/>
  <cols>
    <col min="1" max="1" width="3.85546875" style="77" customWidth="1"/>
    <col min="2" max="2" width="6.28515625" style="90" customWidth="1"/>
    <col min="3" max="3" width="6.5703125" style="90" customWidth="1"/>
    <col min="4" max="4" width="9" style="77" customWidth="1"/>
    <col min="5" max="5" width="13.5703125" style="77" customWidth="1"/>
    <col min="6" max="6" width="10.140625" style="77" customWidth="1"/>
    <col min="7" max="7" width="14.85546875" style="77" customWidth="1"/>
    <col min="8" max="8" width="13" style="77" customWidth="1" outlineLevel="1"/>
    <col min="9" max="9" width="10.140625" style="77" customWidth="1" outlineLevel="1"/>
    <col min="10" max="10" width="15.140625" style="77" customWidth="1" outlineLevel="1"/>
    <col min="11" max="11" width="9.7109375" style="77" customWidth="1" outlineLevel="1"/>
    <col min="12" max="12" width="11.140625" style="77" customWidth="1" outlineLevel="1"/>
    <col min="13" max="13" width="15.7109375" style="77" customWidth="1" outlineLevel="1"/>
    <col min="14" max="14" width="18.7109375" style="77" customWidth="1" outlineLevel="1"/>
  </cols>
  <sheetData>
    <row r="1" spans="2:14" ht="15" customHeight="1" x14ac:dyDescent="0.25">
      <c r="B1" s="340" t="str">
        <f>"Каталог скважин проекта массового взрыва на месторождении ''"&amp;Параметры!$C$5&amp;"''"&amp;CHAR(10)&amp;" Блок "&amp;Параметры!$C$7</f>
        <v>Каталог скважин проекта массового взрыва на месторождении ''Хаптагай-Хая''
 Блок  П-10; С1-13б</v>
      </c>
      <c r="C1" s="341"/>
      <c r="D1" s="342"/>
      <c r="E1" s="342"/>
      <c r="F1" s="342"/>
      <c r="G1" s="7"/>
    </row>
    <row r="2" spans="2:14" ht="15" customHeight="1" x14ac:dyDescent="0.25">
      <c r="B2" s="341"/>
      <c r="C2" s="341"/>
      <c r="D2" s="342"/>
      <c r="E2" s="342"/>
      <c r="F2" s="342"/>
      <c r="G2" s="7"/>
    </row>
    <row r="3" spans="2:14" ht="15" customHeight="1" x14ac:dyDescent="0.25">
      <c r="B3" s="341"/>
      <c r="C3" s="341"/>
      <c r="D3" s="342"/>
      <c r="E3" s="342"/>
      <c r="F3" s="342"/>
      <c r="G3" s="7"/>
    </row>
    <row r="4" spans="2:14" ht="12" customHeight="1" x14ac:dyDescent="0.25">
      <c r="D4" s="90"/>
      <c r="E4" s="90"/>
      <c r="F4" s="90"/>
    </row>
    <row r="5" spans="2:14" ht="12.75" customHeight="1" x14ac:dyDescent="0.25">
      <c r="B5" s="343" t="s">
        <v>1</v>
      </c>
      <c r="C5" s="343" t="s">
        <v>2</v>
      </c>
      <c r="D5" s="338" t="s">
        <v>3</v>
      </c>
      <c r="E5" s="339"/>
      <c r="F5" s="89"/>
      <c r="G5" s="89"/>
      <c r="H5" s="336" t="s">
        <v>4</v>
      </c>
      <c r="I5" s="337"/>
      <c r="J5" s="337"/>
      <c r="K5" s="337"/>
      <c r="L5" s="337"/>
      <c r="M5" s="337"/>
      <c r="N5" s="337"/>
    </row>
    <row r="6" spans="2:14" ht="46.5" customHeight="1" x14ac:dyDescent="0.25">
      <c r="B6" s="344"/>
      <c r="C6" s="344"/>
      <c r="D6" s="88" t="s">
        <v>5</v>
      </c>
      <c r="E6" s="32" t="s">
        <v>6</v>
      </c>
      <c r="F6" s="32" t="s">
        <v>7</v>
      </c>
      <c r="G6" s="8" t="s">
        <v>8</v>
      </c>
      <c r="H6" s="33" t="s">
        <v>9</v>
      </c>
      <c r="I6" s="33" t="s">
        <v>10</v>
      </c>
      <c r="J6" s="105" t="s">
        <v>11</v>
      </c>
      <c r="K6" s="33" t="s">
        <v>12</v>
      </c>
      <c r="L6" s="33" t="s">
        <v>13</v>
      </c>
      <c r="M6" s="33" t="s">
        <v>14</v>
      </c>
      <c r="N6" s="33" t="s">
        <v>15</v>
      </c>
    </row>
    <row r="7" spans="2:14" ht="15" customHeight="1" x14ac:dyDescent="0.25">
      <c r="B7" s="52">
        <v>1</v>
      </c>
      <c r="C7" s="52">
        <v>2</v>
      </c>
      <c r="D7" s="52">
        <v>3</v>
      </c>
      <c r="E7" s="53">
        <v>4</v>
      </c>
      <c r="F7" s="53">
        <v>5</v>
      </c>
      <c r="G7" s="54">
        <v>6</v>
      </c>
      <c r="H7" s="33"/>
      <c r="I7" s="33"/>
      <c r="J7" s="33"/>
      <c r="K7" s="33"/>
      <c r="L7" s="33"/>
      <c r="M7" s="33"/>
      <c r="N7" s="33"/>
    </row>
    <row r="8" spans="2:14" x14ac:dyDescent="0.25">
      <c r="B8" s="82">
        <f>SUBTOTAL(103,$D$8:D8)</f>
        <v>1</v>
      </c>
      <c r="C8" s="83" t="s">
        <v>16</v>
      </c>
      <c r="D8" s="84">
        <f t="array" ref="D8:D67">TRANSPOSE('Зарядная карта'!$C$5:$BJ$5)</f>
        <v>0</v>
      </c>
      <c r="E8" s="85" t="str">
        <f t="shared" ref="E8:E71" si="0">IF($D8&lt;1,"",$K8+$L8)</f>
        <v/>
      </c>
      <c r="F8" s="106" t="str">
        <f t="shared" ref="F8:F16" si="1">IF(D8&gt;0,2,"")</f>
        <v/>
      </c>
      <c r="G8" s="86"/>
      <c r="H8" s="107">
        <f t="shared" ref="H8:H71" si="2">IF($D8&gt;0,$D8*КИС,0)</f>
        <v>0</v>
      </c>
      <c r="I8" s="107">
        <f t="shared" ref="I8:I71" si="3">IF($D8&gt;0,$D8-$H8,0)</f>
        <v>0</v>
      </c>
      <c r="J8" s="87">
        <f>IF($D8&gt;0,IFERROR(Параметры!$D$42*$H8/$H$2408,0),0)</f>
        <v>0</v>
      </c>
      <c r="K8" s="87">
        <f>IFERROR(ROUND($N8*Параметры!$D$36,2),0)</f>
        <v>0</v>
      </c>
      <c r="L8" s="87">
        <f t="shared" ref="L8:L71" si="4">IF($K8&gt;0,$K8*0.055,0)</f>
        <v>0</v>
      </c>
      <c r="M8" s="87">
        <f t="shared" ref="M8:M71" si="5">IFERROR($L8/Плотность_ДТ,0)</f>
        <v>0</v>
      </c>
      <c r="N8" s="107" t="str">
        <f t="shared" ref="N8:N71" si="6">IF($D8&gt;0,MAX(0,$D8-IF($F8="",0,$F8)),"")</f>
        <v/>
      </c>
    </row>
    <row r="9" spans="2:14" x14ac:dyDescent="0.25">
      <c r="B9" s="82">
        <f>SUBTOTAL(103,$D$8:D9)</f>
        <v>2</v>
      </c>
      <c r="C9" s="83" t="s">
        <v>17</v>
      </c>
      <c r="D9" s="84">
        <v>0</v>
      </c>
      <c r="E9" s="85" t="str">
        <f t="shared" si="0"/>
        <v/>
      </c>
      <c r="F9" s="106" t="str">
        <f t="shared" si="1"/>
        <v/>
      </c>
      <c r="G9" s="86"/>
      <c r="H9" s="107">
        <f t="shared" si="2"/>
        <v>0</v>
      </c>
      <c r="I9" s="107">
        <f t="shared" si="3"/>
        <v>0</v>
      </c>
      <c r="J9" s="87">
        <f>IF($D9&gt;0,IFERROR(Параметры!$D$42*$H9/$H$2408,0),0)</f>
        <v>0</v>
      </c>
      <c r="K9" s="87">
        <f>IFERROR(ROUND($N9*Параметры!$D$36,2),0)</f>
        <v>0</v>
      </c>
      <c r="L9" s="87">
        <f t="shared" si="4"/>
        <v>0</v>
      </c>
      <c r="M9" s="87">
        <f t="shared" si="5"/>
        <v>0</v>
      </c>
      <c r="N9" s="107" t="str">
        <f t="shared" si="6"/>
        <v/>
      </c>
    </row>
    <row r="10" spans="2:14" x14ac:dyDescent="0.25">
      <c r="B10" s="82">
        <f>SUBTOTAL(103,$D$8:D10)</f>
        <v>3</v>
      </c>
      <c r="C10" s="83" t="s">
        <v>18</v>
      </c>
      <c r="D10" s="84">
        <v>0</v>
      </c>
      <c r="E10" s="85" t="str">
        <f t="shared" si="0"/>
        <v/>
      </c>
      <c r="F10" s="106" t="str">
        <f t="shared" si="1"/>
        <v/>
      </c>
      <c r="G10" s="86"/>
      <c r="H10" s="107">
        <f t="shared" si="2"/>
        <v>0</v>
      </c>
      <c r="I10" s="107">
        <f t="shared" si="3"/>
        <v>0</v>
      </c>
      <c r="J10" s="87">
        <f>IF($D10&gt;0,IFERROR(Параметры!$D$42*$H10/$H$2408,0),0)</f>
        <v>0</v>
      </c>
      <c r="K10" s="87">
        <f>IFERROR(ROUND($N10*Параметры!$D$36,2),0)</f>
        <v>0</v>
      </c>
      <c r="L10" s="87">
        <f t="shared" si="4"/>
        <v>0</v>
      </c>
      <c r="M10" s="87">
        <f t="shared" si="5"/>
        <v>0</v>
      </c>
      <c r="N10" s="107" t="str">
        <f t="shared" si="6"/>
        <v/>
      </c>
    </row>
    <row r="11" spans="2:14" x14ac:dyDescent="0.25">
      <c r="B11" s="82">
        <f>SUBTOTAL(103,$D$8:D11)</f>
        <v>4</v>
      </c>
      <c r="C11" s="83" t="s">
        <v>19</v>
      </c>
      <c r="D11" s="84">
        <v>0</v>
      </c>
      <c r="E11" s="85" t="str">
        <f t="shared" si="0"/>
        <v/>
      </c>
      <c r="F11" s="106" t="str">
        <f t="shared" si="1"/>
        <v/>
      </c>
      <c r="G11" s="86"/>
      <c r="H11" s="107">
        <f t="shared" si="2"/>
        <v>0</v>
      </c>
      <c r="I11" s="107">
        <f t="shared" si="3"/>
        <v>0</v>
      </c>
      <c r="J11" s="87">
        <f>IF($D11&gt;0,IFERROR(Параметры!$D$42*$H11/$H$2408,0),0)</f>
        <v>0</v>
      </c>
      <c r="K11" s="87">
        <f>IFERROR(ROUND($N11*Параметры!$D$36,2),0)</f>
        <v>0</v>
      </c>
      <c r="L11" s="87">
        <f t="shared" si="4"/>
        <v>0</v>
      </c>
      <c r="M11" s="87">
        <f t="shared" si="5"/>
        <v>0</v>
      </c>
      <c r="N11" s="107" t="str">
        <f t="shared" si="6"/>
        <v/>
      </c>
    </row>
    <row r="12" spans="2:14" x14ac:dyDescent="0.25">
      <c r="B12" s="82">
        <f>SUBTOTAL(103,$D$8:D12)</f>
        <v>5</v>
      </c>
      <c r="C12" s="83" t="s">
        <v>20</v>
      </c>
      <c r="D12" s="84">
        <v>0</v>
      </c>
      <c r="E12" s="85" t="str">
        <f t="shared" si="0"/>
        <v/>
      </c>
      <c r="F12" s="106" t="str">
        <f t="shared" si="1"/>
        <v/>
      </c>
      <c r="G12" s="86"/>
      <c r="H12" s="107">
        <f t="shared" si="2"/>
        <v>0</v>
      </c>
      <c r="I12" s="107">
        <f t="shared" si="3"/>
        <v>0</v>
      </c>
      <c r="J12" s="87">
        <f>IF($D12&gt;0,IFERROR(Параметры!$D$42*$H12/$H$2408,0),0)</f>
        <v>0</v>
      </c>
      <c r="K12" s="87">
        <f>IFERROR(ROUND($N12*Параметры!$D$36,2),0)</f>
        <v>0</v>
      </c>
      <c r="L12" s="87">
        <f t="shared" si="4"/>
        <v>0</v>
      </c>
      <c r="M12" s="87">
        <f t="shared" si="5"/>
        <v>0</v>
      </c>
      <c r="N12" s="107" t="str">
        <f t="shared" si="6"/>
        <v/>
      </c>
    </row>
    <row r="13" spans="2:14" x14ac:dyDescent="0.25">
      <c r="B13" s="82">
        <f>SUBTOTAL(103,$D$8:D13)</f>
        <v>6</v>
      </c>
      <c r="C13" s="83" t="s">
        <v>21</v>
      </c>
      <c r="D13" s="84">
        <v>0</v>
      </c>
      <c r="E13" s="85" t="str">
        <f t="shared" si="0"/>
        <v/>
      </c>
      <c r="F13" s="106" t="str">
        <f t="shared" si="1"/>
        <v/>
      </c>
      <c r="G13" s="86"/>
      <c r="H13" s="107">
        <f t="shared" si="2"/>
        <v>0</v>
      </c>
      <c r="I13" s="107">
        <f t="shared" si="3"/>
        <v>0</v>
      </c>
      <c r="J13" s="87">
        <f>IF($D13&gt;0,IFERROR(Параметры!$D$42*$H13/$H$2408,0),0)</f>
        <v>0</v>
      </c>
      <c r="K13" s="87">
        <f>IFERROR(ROUND($N13*Параметры!$D$36,2),0)</f>
        <v>0</v>
      </c>
      <c r="L13" s="87">
        <f t="shared" si="4"/>
        <v>0</v>
      </c>
      <c r="M13" s="87">
        <f t="shared" si="5"/>
        <v>0</v>
      </c>
      <c r="N13" s="107" t="str">
        <f t="shared" si="6"/>
        <v/>
      </c>
    </row>
    <row r="14" spans="2:14" x14ac:dyDescent="0.25">
      <c r="B14" s="82">
        <f>SUBTOTAL(103,$D$8:D14)</f>
        <v>7</v>
      </c>
      <c r="C14" s="83" t="s">
        <v>22</v>
      </c>
      <c r="D14" s="84">
        <v>0</v>
      </c>
      <c r="E14" s="85" t="str">
        <f t="shared" si="0"/>
        <v/>
      </c>
      <c r="F14" s="106" t="str">
        <f t="shared" si="1"/>
        <v/>
      </c>
      <c r="G14" s="86"/>
      <c r="H14" s="107">
        <f t="shared" si="2"/>
        <v>0</v>
      </c>
      <c r="I14" s="107">
        <f t="shared" si="3"/>
        <v>0</v>
      </c>
      <c r="J14" s="87">
        <f>IF($D14&gt;0,IFERROR(Параметры!$D$42*$H14/$H$2408,0),0)</f>
        <v>0</v>
      </c>
      <c r="K14" s="87">
        <f>IFERROR(ROUND($N14*Параметры!$D$36,2),0)</f>
        <v>0</v>
      </c>
      <c r="L14" s="87">
        <f t="shared" si="4"/>
        <v>0</v>
      </c>
      <c r="M14" s="87">
        <f t="shared" si="5"/>
        <v>0</v>
      </c>
      <c r="N14" s="107" t="str">
        <f t="shared" si="6"/>
        <v/>
      </c>
    </row>
    <row r="15" spans="2:14" x14ac:dyDescent="0.25">
      <c r="B15" s="82">
        <f>SUBTOTAL(103,$D$8:D15)</f>
        <v>8</v>
      </c>
      <c r="C15" s="83" t="s">
        <v>23</v>
      </c>
      <c r="D15" s="84">
        <v>0</v>
      </c>
      <c r="E15" s="85" t="str">
        <f t="shared" si="0"/>
        <v/>
      </c>
      <c r="F15" s="106" t="str">
        <f t="shared" si="1"/>
        <v/>
      </c>
      <c r="G15" s="86"/>
      <c r="H15" s="107">
        <f t="shared" si="2"/>
        <v>0</v>
      </c>
      <c r="I15" s="107">
        <f t="shared" si="3"/>
        <v>0</v>
      </c>
      <c r="J15" s="87">
        <f>IF($D15&gt;0,IFERROR(Параметры!$D$42*$H15/$H$2408,0),0)</f>
        <v>0</v>
      </c>
      <c r="K15" s="87">
        <f>IFERROR(ROUND($N15*Параметры!$D$36,2),0)</f>
        <v>0</v>
      </c>
      <c r="L15" s="87">
        <f t="shared" si="4"/>
        <v>0</v>
      </c>
      <c r="M15" s="87">
        <f t="shared" si="5"/>
        <v>0</v>
      </c>
      <c r="N15" s="107" t="str">
        <f t="shared" si="6"/>
        <v/>
      </c>
    </row>
    <row r="16" spans="2:14" x14ac:dyDescent="0.25">
      <c r="B16" s="82">
        <f>SUBTOTAL(103,$D$8:D16)</f>
        <v>9</v>
      </c>
      <c r="C16" s="83" t="s">
        <v>24</v>
      </c>
      <c r="D16" s="84">
        <v>0</v>
      </c>
      <c r="E16" s="85" t="str">
        <f t="shared" si="0"/>
        <v/>
      </c>
      <c r="F16" s="106" t="str">
        <f t="shared" si="1"/>
        <v/>
      </c>
      <c r="G16" s="86"/>
      <c r="H16" s="107">
        <f t="shared" si="2"/>
        <v>0</v>
      </c>
      <c r="I16" s="107">
        <f t="shared" si="3"/>
        <v>0</v>
      </c>
      <c r="J16" s="87">
        <f>IF($D16&gt;0,IFERROR(Параметры!$D$42*$H16/$H$2408,0),0)</f>
        <v>0</v>
      </c>
      <c r="K16" s="87">
        <f>IFERROR(ROUND($N16*Параметры!$D$36,2),0)</f>
        <v>0</v>
      </c>
      <c r="L16" s="87">
        <f t="shared" si="4"/>
        <v>0</v>
      </c>
      <c r="M16" s="87">
        <f t="shared" si="5"/>
        <v>0</v>
      </c>
      <c r="N16" s="107" t="str">
        <f t="shared" si="6"/>
        <v/>
      </c>
    </row>
    <row r="17" spans="2:14" x14ac:dyDescent="0.25">
      <c r="B17" s="82">
        <f>SUBTOTAL(103,$D$8:D17)</f>
        <v>10</v>
      </c>
      <c r="C17" s="83" t="s">
        <v>25</v>
      </c>
      <c r="D17" s="84">
        <v>0</v>
      </c>
      <c r="E17" s="85" t="str">
        <f t="shared" si="0"/>
        <v/>
      </c>
      <c r="F17" s="106" t="str">
        <f t="shared" ref="F17:F74" si="7">IF(D17&gt;0,2,"")</f>
        <v/>
      </c>
      <c r="G17" s="86"/>
      <c r="H17" s="107">
        <f t="shared" si="2"/>
        <v>0</v>
      </c>
      <c r="I17" s="107">
        <f t="shared" si="3"/>
        <v>0</v>
      </c>
      <c r="J17" s="87">
        <f>IF($D17&gt;0,IFERROR(Параметры!$D$42*$H17/$H$2408,0),0)</f>
        <v>0</v>
      </c>
      <c r="K17" s="87">
        <f>IFERROR(ROUND($N17*Параметры!$D$36,2),0)</f>
        <v>0</v>
      </c>
      <c r="L17" s="87">
        <f t="shared" si="4"/>
        <v>0</v>
      </c>
      <c r="M17" s="87">
        <f t="shared" si="5"/>
        <v>0</v>
      </c>
      <c r="N17" s="107" t="str">
        <f t="shared" si="6"/>
        <v/>
      </c>
    </row>
    <row r="18" spans="2:14" x14ac:dyDescent="0.25">
      <c r="B18" s="82">
        <f>SUBTOTAL(103,$D$8:D18)</f>
        <v>11</v>
      </c>
      <c r="C18" s="83" t="s">
        <v>26</v>
      </c>
      <c r="D18" s="84">
        <v>0</v>
      </c>
      <c r="E18" s="85" t="str">
        <f t="shared" si="0"/>
        <v/>
      </c>
      <c r="F18" s="106" t="str">
        <f t="shared" si="7"/>
        <v/>
      </c>
      <c r="G18" s="86"/>
      <c r="H18" s="107">
        <f t="shared" si="2"/>
        <v>0</v>
      </c>
      <c r="I18" s="107">
        <f t="shared" si="3"/>
        <v>0</v>
      </c>
      <c r="J18" s="87">
        <f>IF($D18&gt;0,IFERROR(Параметры!$D$42*$H18/$H$2408,0),0)</f>
        <v>0</v>
      </c>
      <c r="K18" s="87">
        <f>IFERROR(ROUND($N18*Параметры!$D$36,2),0)</f>
        <v>0</v>
      </c>
      <c r="L18" s="87">
        <f t="shared" si="4"/>
        <v>0</v>
      </c>
      <c r="M18" s="87">
        <f t="shared" si="5"/>
        <v>0</v>
      </c>
      <c r="N18" s="107" t="str">
        <f t="shared" si="6"/>
        <v/>
      </c>
    </row>
    <row r="19" spans="2:14" x14ac:dyDescent="0.25">
      <c r="B19" s="82">
        <f>SUBTOTAL(103,$D$8:D19)</f>
        <v>12</v>
      </c>
      <c r="C19" s="83" t="s">
        <v>27</v>
      </c>
      <c r="D19" s="84">
        <v>0</v>
      </c>
      <c r="E19" s="85" t="str">
        <f t="shared" si="0"/>
        <v/>
      </c>
      <c r="F19" s="106" t="str">
        <f t="shared" si="7"/>
        <v/>
      </c>
      <c r="G19" s="86"/>
      <c r="H19" s="107">
        <f t="shared" si="2"/>
        <v>0</v>
      </c>
      <c r="I19" s="107">
        <f t="shared" si="3"/>
        <v>0</v>
      </c>
      <c r="J19" s="87">
        <f>IF($D19&gt;0,IFERROR(Параметры!$D$42*$H19/$H$2408,0),0)</f>
        <v>0</v>
      </c>
      <c r="K19" s="87">
        <f>IFERROR(ROUND($N19*Параметры!$D$36,2),0)</f>
        <v>0</v>
      </c>
      <c r="L19" s="87">
        <f t="shared" si="4"/>
        <v>0</v>
      </c>
      <c r="M19" s="87">
        <f t="shared" si="5"/>
        <v>0</v>
      </c>
      <c r="N19" s="107" t="str">
        <f t="shared" si="6"/>
        <v/>
      </c>
    </row>
    <row r="20" spans="2:14" x14ac:dyDescent="0.25">
      <c r="B20" s="82">
        <f>SUBTOTAL(103,$D$8:D20)</f>
        <v>13</v>
      </c>
      <c r="C20" s="83" t="s">
        <v>28</v>
      </c>
      <c r="D20" s="84">
        <v>0</v>
      </c>
      <c r="E20" s="85" t="str">
        <f t="shared" si="0"/>
        <v/>
      </c>
      <c r="F20" s="106" t="str">
        <f t="shared" si="7"/>
        <v/>
      </c>
      <c r="G20" s="86"/>
      <c r="H20" s="107">
        <f t="shared" si="2"/>
        <v>0</v>
      </c>
      <c r="I20" s="107">
        <f t="shared" si="3"/>
        <v>0</v>
      </c>
      <c r="J20" s="87">
        <f>IF($D20&gt;0,IFERROR(Параметры!$D$42*$H20/$H$2408,0),0)</f>
        <v>0</v>
      </c>
      <c r="K20" s="87">
        <f>IFERROR(ROUND($N20*Параметры!$D$36,2),0)</f>
        <v>0</v>
      </c>
      <c r="L20" s="87">
        <f t="shared" si="4"/>
        <v>0</v>
      </c>
      <c r="M20" s="87">
        <f t="shared" si="5"/>
        <v>0</v>
      </c>
      <c r="N20" s="107" t="str">
        <f t="shared" si="6"/>
        <v/>
      </c>
    </row>
    <row r="21" spans="2:14" x14ac:dyDescent="0.25">
      <c r="B21" s="82">
        <f>SUBTOTAL(103,$D$8:D21)</f>
        <v>14</v>
      </c>
      <c r="C21" s="83" t="s">
        <v>29</v>
      </c>
      <c r="D21" s="84">
        <v>0</v>
      </c>
      <c r="E21" s="85" t="str">
        <f t="shared" si="0"/>
        <v/>
      </c>
      <c r="F21" s="106" t="str">
        <f t="shared" si="7"/>
        <v/>
      </c>
      <c r="G21" s="86"/>
      <c r="H21" s="107">
        <f t="shared" si="2"/>
        <v>0</v>
      </c>
      <c r="I21" s="107">
        <f t="shared" si="3"/>
        <v>0</v>
      </c>
      <c r="J21" s="87">
        <f>IF($D21&gt;0,IFERROR(Параметры!$D$42*$H21/$H$2408,0),0)</f>
        <v>0</v>
      </c>
      <c r="K21" s="87">
        <f>IFERROR(ROUND($N21*Параметры!$D$36,2),0)</f>
        <v>0</v>
      </c>
      <c r="L21" s="87">
        <f t="shared" si="4"/>
        <v>0</v>
      </c>
      <c r="M21" s="87">
        <f t="shared" si="5"/>
        <v>0</v>
      </c>
      <c r="N21" s="107" t="str">
        <f t="shared" si="6"/>
        <v/>
      </c>
    </row>
    <row r="22" spans="2:14" x14ac:dyDescent="0.25">
      <c r="B22" s="82">
        <f>SUBTOTAL(103,$D$8:D22)</f>
        <v>15</v>
      </c>
      <c r="C22" s="83" t="s">
        <v>30</v>
      </c>
      <c r="D22" s="84">
        <v>0</v>
      </c>
      <c r="E22" s="85" t="str">
        <f t="shared" si="0"/>
        <v/>
      </c>
      <c r="F22" s="106" t="str">
        <f t="shared" si="7"/>
        <v/>
      </c>
      <c r="G22" s="86"/>
      <c r="H22" s="107">
        <f t="shared" si="2"/>
        <v>0</v>
      </c>
      <c r="I22" s="107">
        <f t="shared" si="3"/>
        <v>0</v>
      </c>
      <c r="J22" s="87">
        <f>IF($D22&gt;0,IFERROR(Параметры!$D$42*$H22/$H$2408,0),0)</f>
        <v>0</v>
      </c>
      <c r="K22" s="87">
        <f>IFERROR(ROUND($N22*Параметры!$D$36,2),0)</f>
        <v>0</v>
      </c>
      <c r="L22" s="87">
        <f t="shared" si="4"/>
        <v>0</v>
      </c>
      <c r="M22" s="87">
        <f t="shared" si="5"/>
        <v>0</v>
      </c>
      <c r="N22" s="107" t="str">
        <f t="shared" si="6"/>
        <v/>
      </c>
    </row>
    <row r="23" spans="2:14" x14ac:dyDescent="0.25">
      <c r="B23" s="82">
        <f>SUBTOTAL(103,$D$8:D23)</f>
        <v>16</v>
      </c>
      <c r="C23" s="83" t="s">
        <v>31</v>
      </c>
      <c r="D23" s="84">
        <v>0</v>
      </c>
      <c r="E23" s="85" t="str">
        <f t="shared" si="0"/>
        <v/>
      </c>
      <c r="F23" s="106" t="str">
        <f t="shared" si="7"/>
        <v/>
      </c>
      <c r="G23" s="86"/>
      <c r="H23" s="107">
        <f t="shared" si="2"/>
        <v>0</v>
      </c>
      <c r="I23" s="107">
        <f t="shared" si="3"/>
        <v>0</v>
      </c>
      <c r="J23" s="87">
        <f>IF($D23&gt;0,IFERROR(Параметры!$D$42*$H23/$H$2408,0),0)</f>
        <v>0</v>
      </c>
      <c r="K23" s="87">
        <f>IFERROR(ROUND($N23*Параметры!$D$36,2),0)</f>
        <v>0</v>
      </c>
      <c r="L23" s="87">
        <f t="shared" si="4"/>
        <v>0</v>
      </c>
      <c r="M23" s="87">
        <f t="shared" si="5"/>
        <v>0</v>
      </c>
      <c r="N23" s="107" t="str">
        <f t="shared" si="6"/>
        <v/>
      </c>
    </row>
    <row r="24" spans="2:14" x14ac:dyDescent="0.25">
      <c r="B24" s="82">
        <f>SUBTOTAL(103,$D$8:D24)</f>
        <v>17</v>
      </c>
      <c r="C24" s="83" t="s">
        <v>32</v>
      </c>
      <c r="D24" s="84">
        <v>0</v>
      </c>
      <c r="E24" s="85" t="str">
        <f t="shared" si="0"/>
        <v/>
      </c>
      <c r="F24" s="106" t="str">
        <f t="shared" si="7"/>
        <v/>
      </c>
      <c r="G24" s="86"/>
      <c r="H24" s="107">
        <f t="shared" si="2"/>
        <v>0</v>
      </c>
      <c r="I24" s="107">
        <f t="shared" si="3"/>
        <v>0</v>
      </c>
      <c r="J24" s="87">
        <f>IF($D24&gt;0,IFERROR(Параметры!$D$42*$H24/$H$2408,0),0)</f>
        <v>0</v>
      </c>
      <c r="K24" s="87">
        <f>IFERROR(ROUND($N24*Параметры!$D$36,2),0)</f>
        <v>0</v>
      </c>
      <c r="L24" s="87">
        <f t="shared" si="4"/>
        <v>0</v>
      </c>
      <c r="M24" s="87">
        <f t="shared" si="5"/>
        <v>0</v>
      </c>
      <c r="N24" s="107" t="str">
        <f t="shared" si="6"/>
        <v/>
      </c>
    </row>
    <row r="25" spans="2:14" x14ac:dyDescent="0.25">
      <c r="B25" s="82">
        <f>SUBTOTAL(103,$D$8:D25)</f>
        <v>18</v>
      </c>
      <c r="C25" s="83" t="s">
        <v>33</v>
      </c>
      <c r="D25" s="84">
        <v>0</v>
      </c>
      <c r="E25" s="85" t="str">
        <f t="shared" si="0"/>
        <v/>
      </c>
      <c r="F25" s="106" t="str">
        <f t="shared" si="7"/>
        <v/>
      </c>
      <c r="G25" s="86"/>
      <c r="H25" s="107">
        <f t="shared" si="2"/>
        <v>0</v>
      </c>
      <c r="I25" s="107">
        <f t="shared" si="3"/>
        <v>0</v>
      </c>
      <c r="J25" s="87">
        <f>IF($D25&gt;0,IFERROR(Параметры!$D$42*$H25/$H$2408,0),0)</f>
        <v>0</v>
      </c>
      <c r="K25" s="87">
        <f>IFERROR(ROUND($N25*Параметры!$D$36,2),0)</f>
        <v>0</v>
      </c>
      <c r="L25" s="87">
        <f t="shared" si="4"/>
        <v>0</v>
      </c>
      <c r="M25" s="87">
        <f t="shared" si="5"/>
        <v>0</v>
      </c>
      <c r="N25" s="107" t="str">
        <f t="shared" si="6"/>
        <v/>
      </c>
    </row>
    <row r="26" spans="2:14" x14ac:dyDescent="0.25">
      <c r="B26" s="82">
        <f>SUBTOTAL(103,$D$8:D26)</f>
        <v>19</v>
      </c>
      <c r="C26" s="83" t="s">
        <v>34</v>
      </c>
      <c r="D26" s="84">
        <v>0</v>
      </c>
      <c r="E26" s="85" t="str">
        <f t="shared" si="0"/>
        <v/>
      </c>
      <c r="F26" s="106" t="str">
        <f t="shared" si="7"/>
        <v/>
      </c>
      <c r="G26" s="86"/>
      <c r="H26" s="107">
        <f t="shared" si="2"/>
        <v>0</v>
      </c>
      <c r="I26" s="107">
        <f t="shared" si="3"/>
        <v>0</v>
      </c>
      <c r="J26" s="87">
        <f>IF($D26&gt;0,IFERROR(Параметры!$D$42*$H26/$H$2408,0),0)</f>
        <v>0</v>
      </c>
      <c r="K26" s="87">
        <f>IFERROR(ROUND($N26*Параметры!$D$36,2),0)</f>
        <v>0</v>
      </c>
      <c r="L26" s="87">
        <f t="shared" si="4"/>
        <v>0</v>
      </c>
      <c r="M26" s="87">
        <f t="shared" si="5"/>
        <v>0</v>
      </c>
      <c r="N26" s="107" t="str">
        <f t="shared" si="6"/>
        <v/>
      </c>
    </row>
    <row r="27" spans="2:14" x14ac:dyDescent="0.25">
      <c r="B27" s="82">
        <f>SUBTOTAL(103,$D$8:D27)</f>
        <v>20</v>
      </c>
      <c r="C27" s="83" t="s">
        <v>35</v>
      </c>
      <c r="D27" s="84">
        <v>0</v>
      </c>
      <c r="E27" s="85" t="str">
        <f t="shared" si="0"/>
        <v/>
      </c>
      <c r="F27" s="106" t="str">
        <f t="shared" si="7"/>
        <v/>
      </c>
      <c r="G27" s="86"/>
      <c r="H27" s="107">
        <f t="shared" si="2"/>
        <v>0</v>
      </c>
      <c r="I27" s="107">
        <f t="shared" si="3"/>
        <v>0</v>
      </c>
      <c r="J27" s="87">
        <f>IF($D27&gt;0,IFERROR(Параметры!$D$42*$H27/$H$2408,0),0)</f>
        <v>0</v>
      </c>
      <c r="K27" s="87">
        <f>IFERROR(ROUND($N27*Параметры!$D$36,2),0)</f>
        <v>0</v>
      </c>
      <c r="L27" s="87">
        <f t="shared" si="4"/>
        <v>0</v>
      </c>
      <c r="M27" s="87">
        <f t="shared" si="5"/>
        <v>0</v>
      </c>
      <c r="N27" s="107" t="str">
        <f t="shared" si="6"/>
        <v/>
      </c>
    </row>
    <row r="28" spans="2:14" x14ac:dyDescent="0.25">
      <c r="B28" s="82">
        <f>SUBTOTAL(103,$D$8:D28)</f>
        <v>21</v>
      </c>
      <c r="C28" s="83" t="s">
        <v>36</v>
      </c>
      <c r="D28" s="84">
        <v>0</v>
      </c>
      <c r="E28" s="85" t="str">
        <f t="shared" si="0"/>
        <v/>
      </c>
      <c r="F28" s="106" t="str">
        <f t="shared" si="7"/>
        <v/>
      </c>
      <c r="G28" s="86"/>
      <c r="H28" s="107">
        <f t="shared" si="2"/>
        <v>0</v>
      </c>
      <c r="I28" s="107">
        <f t="shared" si="3"/>
        <v>0</v>
      </c>
      <c r="J28" s="87">
        <f>IF($D28&gt;0,IFERROR(Параметры!$D$42*$H28/$H$2408,0),0)</f>
        <v>0</v>
      </c>
      <c r="K28" s="87">
        <f>IFERROR(ROUND($N28*Параметры!$D$36,2),0)</f>
        <v>0</v>
      </c>
      <c r="L28" s="87">
        <f t="shared" si="4"/>
        <v>0</v>
      </c>
      <c r="M28" s="87">
        <f t="shared" si="5"/>
        <v>0</v>
      </c>
      <c r="N28" s="107" t="str">
        <f t="shared" si="6"/>
        <v/>
      </c>
    </row>
    <row r="29" spans="2:14" x14ac:dyDescent="0.25">
      <c r="B29" s="82">
        <f>SUBTOTAL(103,$D$8:D29)</f>
        <v>22</v>
      </c>
      <c r="C29" s="83" t="s">
        <v>37</v>
      </c>
      <c r="D29" s="84">
        <v>0</v>
      </c>
      <c r="E29" s="85" t="str">
        <f t="shared" si="0"/>
        <v/>
      </c>
      <c r="F29" s="106" t="str">
        <f t="shared" si="7"/>
        <v/>
      </c>
      <c r="G29" s="86"/>
      <c r="H29" s="107">
        <f t="shared" si="2"/>
        <v>0</v>
      </c>
      <c r="I29" s="107">
        <f t="shared" si="3"/>
        <v>0</v>
      </c>
      <c r="J29" s="87">
        <f>IF($D29&gt;0,IFERROR(Параметры!$D$42*$H29/$H$2408,0),0)</f>
        <v>0</v>
      </c>
      <c r="K29" s="87">
        <f>IFERROR(ROUND($N29*Параметры!$D$36,2),0)</f>
        <v>0</v>
      </c>
      <c r="L29" s="87">
        <f t="shared" si="4"/>
        <v>0</v>
      </c>
      <c r="M29" s="87">
        <f t="shared" si="5"/>
        <v>0</v>
      </c>
      <c r="N29" s="107" t="str">
        <f t="shared" si="6"/>
        <v/>
      </c>
    </row>
    <row r="30" spans="2:14" x14ac:dyDescent="0.25">
      <c r="B30" s="82">
        <f>SUBTOTAL(103,$D$8:D30)</f>
        <v>23</v>
      </c>
      <c r="C30" s="83" t="s">
        <v>38</v>
      </c>
      <c r="D30" s="84">
        <v>0</v>
      </c>
      <c r="E30" s="85" t="str">
        <f t="shared" si="0"/>
        <v/>
      </c>
      <c r="F30" s="106" t="str">
        <f t="shared" si="7"/>
        <v/>
      </c>
      <c r="G30" s="86"/>
      <c r="H30" s="107">
        <f t="shared" si="2"/>
        <v>0</v>
      </c>
      <c r="I30" s="107">
        <f t="shared" si="3"/>
        <v>0</v>
      </c>
      <c r="J30" s="87">
        <f>IF($D30&gt;0,IFERROR(Параметры!$D$42*$H30/$H$2408,0),0)</f>
        <v>0</v>
      </c>
      <c r="K30" s="87">
        <f>IFERROR(ROUND($N30*Параметры!$D$36,2),0)</f>
        <v>0</v>
      </c>
      <c r="L30" s="87">
        <f t="shared" si="4"/>
        <v>0</v>
      </c>
      <c r="M30" s="87">
        <f t="shared" si="5"/>
        <v>0</v>
      </c>
      <c r="N30" s="107" t="str">
        <f t="shared" si="6"/>
        <v/>
      </c>
    </row>
    <row r="31" spans="2:14" x14ac:dyDescent="0.25">
      <c r="B31" s="82">
        <f>SUBTOTAL(103,$D$8:D31)</f>
        <v>24</v>
      </c>
      <c r="C31" s="83" t="s">
        <v>39</v>
      </c>
      <c r="D31" s="84">
        <v>0</v>
      </c>
      <c r="E31" s="85" t="str">
        <f t="shared" si="0"/>
        <v/>
      </c>
      <c r="F31" s="106" t="str">
        <f t="shared" si="7"/>
        <v/>
      </c>
      <c r="G31" s="86"/>
      <c r="H31" s="107">
        <f t="shared" si="2"/>
        <v>0</v>
      </c>
      <c r="I31" s="107">
        <f t="shared" si="3"/>
        <v>0</v>
      </c>
      <c r="J31" s="87">
        <f>IF($D31&gt;0,IFERROR(Параметры!$D$42*$H31/$H$2408,0),0)</f>
        <v>0</v>
      </c>
      <c r="K31" s="87">
        <f>IFERROR(ROUND($N31*Параметры!$D$36,2),0)</f>
        <v>0</v>
      </c>
      <c r="L31" s="87">
        <f t="shared" si="4"/>
        <v>0</v>
      </c>
      <c r="M31" s="87">
        <f t="shared" si="5"/>
        <v>0</v>
      </c>
      <c r="N31" s="107" t="str">
        <f t="shared" si="6"/>
        <v/>
      </c>
    </row>
    <row r="32" spans="2:14" x14ac:dyDescent="0.25">
      <c r="B32" s="82">
        <f>SUBTOTAL(103,$D$8:D32)</f>
        <v>25</v>
      </c>
      <c r="C32" s="83" t="s">
        <v>40</v>
      </c>
      <c r="D32" s="84">
        <v>0</v>
      </c>
      <c r="E32" s="85" t="str">
        <f t="shared" si="0"/>
        <v/>
      </c>
      <c r="F32" s="106" t="str">
        <f t="shared" si="7"/>
        <v/>
      </c>
      <c r="G32" s="86"/>
      <c r="H32" s="107">
        <f t="shared" si="2"/>
        <v>0</v>
      </c>
      <c r="I32" s="107">
        <f t="shared" si="3"/>
        <v>0</v>
      </c>
      <c r="J32" s="87">
        <f>IF($D32&gt;0,IFERROR(Параметры!$D$42*$H32/$H$2408,0),0)</f>
        <v>0</v>
      </c>
      <c r="K32" s="87">
        <f>IFERROR(ROUND($N32*Параметры!$D$36,2),0)</f>
        <v>0</v>
      </c>
      <c r="L32" s="87">
        <f t="shared" si="4"/>
        <v>0</v>
      </c>
      <c r="M32" s="87">
        <f t="shared" si="5"/>
        <v>0</v>
      </c>
      <c r="N32" s="107" t="str">
        <f t="shared" si="6"/>
        <v/>
      </c>
    </row>
    <row r="33" spans="2:14" x14ac:dyDescent="0.25">
      <c r="B33" s="82">
        <f>SUBTOTAL(103,$D$8:D33)</f>
        <v>26</v>
      </c>
      <c r="C33" s="83" t="s">
        <v>41</v>
      </c>
      <c r="D33" s="84">
        <v>0</v>
      </c>
      <c r="E33" s="85" t="str">
        <f t="shared" si="0"/>
        <v/>
      </c>
      <c r="F33" s="106" t="str">
        <f t="shared" si="7"/>
        <v/>
      </c>
      <c r="G33" s="86"/>
      <c r="H33" s="107">
        <f t="shared" si="2"/>
        <v>0</v>
      </c>
      <c r="I33" s="107">
        <f t="shared" si="3"/>
        <v>0</v>
      </c>
      <c r="J33" s="87">
        <f>IF($D33&gt;0,IFERROR(Параметры!$D$42*$H33/$H$2408,0),0)</f>
        <v>0</v>
      </c>
      <c r="K33" s="87">
        <f>IFERROR(ROUND($N33*Параметры!$D$36,2),0)</f>
        <v>0</v>
      </c>
      <c r="L33" s="87">
        <f t="shared" si="4"/>
        <v>0</v>
      </c>
      <c r="M33" s="87">
        <f t="shared" si="5"/>
        <v>0</v>
      </c>
      <c r="N33" s="107" t="str">
        <f t="shared" si="6"/>
        <v/>
      </c>
    </row>
    <row r="34" spans="2:14" x14ac:dyDescent="0.25">
      <c r="B34" s="82">
        <f>SUBTOTAL(103,$D$8:D34)</f>
        <v>27</v>
      </c>
      <c r="C34" s="83" t="s">
        <v>42</v>
      </c>
      <c r="D34" s="84">
        <v>0</v>
      </c>
      <c r="E34" s="85" t="str">
        <f t="shared" si="0"/>
        <v/>
      </c>
      <c r="F34" s="106" t="str">
        <f t="shared" si="7"/>
        <v/>
      </c>
      <c r="G34" s="86"/>
      <c r="H34" s="107">
        <f t="shared" si="2"/>
        <v>0</v>
      </c>
      <c r="I34" s="107">
        <f t="shared" si="3"/>
        <v>0</v>
      </c>
      <c r="J34" s="87">
        <f>IF($D34&gt;0,IFERROR(Параметры!$D$42*$H34/$H$2408,0),0)</f>
        <v>0</v>
      </c>
      <c r="K34" s="87">
        <f>IFERROR(ROUND($N34*Параметры!$D$36,2),0)</f>
        <v>0</v>
      </c>
      <c r="L34" s="87">
        <f t="shared" si="4"/>
        <v>0</v>
      </c>
      <c r="M34" s="87">
        <f t="shared" si="5"/>
        <v>0</v>
      </c>
      <c r="N34" s="107" t="str">
        <f t="shared" si="6"/>
        <v/>
      </c>
    </row>
    <row r="35" spans="2:14" x14ac:dyDescent="0.25">
      <c r="B35" s="82">
        <f>SUBTOTAL(103,$D$8:D35)</f>
        <v>28</v>
      </c>
      <c r="C35" s="83" t="s">
        <v>43</v>
      </c>
      <c r="D35" s="84">
        <v>0</v>
      </c>
      <c r="E35" s="85" t="str">
        <f t="shared" si="0"/>
        <v/>
      </c>
      <c r="F35" s="106" t="str">
        <f t="shared" si="7"/>
        <v/>
      </c>
      <c r="G35" s="86"/>
      <c r="H35" s="107">
        <f t="shared" si="2"/>
        <v>0</v>
      </c>
      <c r="I35" s="107">
        <f t="shared" si="3"/>
        <v>0</v>
      </c>
      <c r="J35" s="87">
        <f>IF($D35&gt;0,IFERROR(Параметры!$D$42*$H35/$H$2408,0),0)</f>
        <v>0</v>
      </c>
      <c r="K35" s="87">
        <f>IFERROR(ROUND($N35*Параметры!$D$36,2),0)</f>
        <v>0</v>
      </c>
      <c r="L35" s="87">
        <f t="shared" si="4"/>
        <v>0</v>
      </c>
      <c r="M35" s="87">
        <f t="shared" si="5"/>
        <v>0</v>
      </c>
      <c r="N35" s="107" t="str">
        <f t="shared" si="6"/>
        <v/>
      </c>
    </row>
    <row r="36" spans="2:14" x14ac:dyDescent="0.25">
      <c r="B36" s="82">
        <f>SUBTOTAL(103,$D$8:D36)</f>
        <v>29</v>
      </c>
      <c r="C36" s="83" t="s">
        <v>44</v>
      </c>
      <c r="D36" s="84">
        <v>0</v>
      </c>
      <c r="E36" s="85" t="str">
        <f t="shared" si="0"/>
        <v/>
      </c>
      <c r="F36" s="106" t="str">
        <f t="shared" si="7"/>
        <v/>
      </c>
      <c r="G36" s="86"/>
      <c r="H36" s="107">
        <f t="shared" si="2"/>
        <v>0</v>
      </c>
      <c r="I36" s="107">
        <f t="shared" si="3"/>
        <v>0</v>
      </c>
      <c r="J36" s="87">
        <f>IF($D36&gt;0,IFERROR(Параметры!$D$42*$H36/$H$2408,0),0)</f>
        <v>0</v>
      </c>
      <c r="K36" s="87">
        <f>IFERROR(ROUND($N36*Параметры!$D$36,2),0)</f>
        <v>0</v>
      </c>
      <c r="L36" s="87">
        <f t="shared" si="4"/>
        <v>0</v>
      </c>
      <c r="M36" s="87">
        <f t="shared" si="5"/>
        <v>0</v>
      </c>
      <c r="N36" s="107" t="str">
        <f t="shared" si="6"/>
        <v/>
      </c>
    </row>
    <row r="37" spans="2:14" x14ac:dyDescent="0.25">
      <c r="B37" s="82">
        <f>SUBTOTAL(103,$D$8:D37)</f>
        <v>30</v>
      </c>
      <c r="C37" s="83" t="s">
        <v>45</v>
      </c>
      <c r="D37" s="84">
        <v>0</v>
      </c>
      <c r="E37" s="85" t="str">
        <f t="shared" si="0"/>
        <v/>
      </c>
      <c r="F37" s="106" t="str">
        <f t="shared" si="7"/>
        <v/>
      </c>
      <c r="G37" s="86"/>
      <c r="H37" s="107">
        <f t="shared" si="2"/>
        <v>0</v>
      </c>
      <c r="I37" s="107">
        <f t="shared" si="3"/>
        <v>0</v>
      </c>
      <c r="J37" s="87">
        <f>IF($D37&gt;0,IFERROR(Параметры!$D$42*$H37/$H$2408,0),0)</f>
        <v>0</v>
      </c>
      <c r="K37" s="87">
        <f>IFERROR(ROUND($N37*Параметры!$D$36,2),0)</f>
        <v>0</v>
      </c>
      <c r="L37" s="87">
        <f t="shared" si="4"/>
        <v>0</v>
      </c>
      <c r="M37" s="87">
        <f t="shared" si="5"/>
        <v>0</v>
      </c>
      <c r="N37" s="107" t="str">
        <f t="shared" si="6"/>
        <v/>
      </c>
    </row>
    <row r="38" spans="2:14" x14ac:dyDescent="0.25">
      <c r="B38" s="82">
        <f>SUBTOTAL(103,$D$8:D38)</f>
        <v>31</v>
      </c>
      <c r="C38" s="83" t="s">
        <v>46</v>
      </c>
      <c r="D38" s="84">
        <v>0</v>
      </c>
      <c r="E38" s="85" t="str">
        <f t="shared" si="0"/>
        <v/>
      </c>
      <c r="F38" s="106" t="str">
        <f t="shared" si="7"/>
        <v/>
      </c>
      <c r="G38" s="86"/>
      <c r="H38" s="107">
        <f t="shared" si="2"/>
        <v>0</v>
      </c>
      <c r="I38" s="107">
        <f t="shared" si="3"/>
        <v>0</v>
      </c>
      <c r="J38" s="87">
        <f>IF($D38&gt;0,IFERROR(Параметры!$D$42*$H38/$H$2408,0),0)</f>
        <v>0</v>
      </c>
      <c r="K38" s="87">
        <f>IFERROR(ROUND($N38*Параметры!$D$36,2),0)</f>
        <v>0</v>
      </c>
      <c r="L38" s="87">
        <f t="shared" si="4"/>
        <v>0</v>
      </c>
      <c r="M38" s="87">
        <f t="shared" si="5"/>
        <v>0</v>
      </c>
      <c r="N38" s="107" t="str">
        <f t="shared" si="6"/>
        <v/>
      </c>
    </row>
    <row r="39" spans="2:14" x14ac:dyDescent="0.25">
      <c r="B39" s="82">
        <f>SUBTOTAL(103,$D$8:D39)</f>
        <v>32</v>
      </c>
      <c r="C39" s="83" t="s">
        <v>47</v>
      </c>
      <c r="D39" s="84">
        <v>0</v>
      </c>
      <c r="E39" s="85" t="str">
        <f t="shared" si="0"/>
        <v/>
      </c>
      <c r="F39" s="106" t="str">
        <f t="shared" si="7"/>
        <v/>
      </c>
      <c r="G39" s="86"/>
      <c r="H39" s="107">
        <f t="shared" si="2"/>
        <v>0</v>
      </c>
      <c r="I39" s="107">
        <f t="shared" si="3"/>
        <v>0</v>
      </c>
      <c r="J39" s="87">
        <f>IF($D39&gt;0,IFERROR(Параметры!$D$42*$H39/$H$2408,0),0)</f>
        <v>0</v>
      </c>
      <c r="K39" s="87">
        <f>IFERROR(ROUND($N39*Параметры!$D$36,2),0)</f>
        <v>0</v>
      </c>
      <c r="L39" s="87">
        <f t="shared" si="4"/>
        <v>0</v>
      </c>
      <c r="M39" s="87">
        <f t="shared" si="5"/>
        <v>0</v>
      </c>
      <c r="N39" s="107" t="str">
        <f t="shared" si="6"/>
        <v/>
      </c>
    </row>
    <row r="40" spans="2:14" x14ac:dyDescent="0.25">
      <c r="B40" s="82">
        <f>SUBTOTAL(103,$D$8:D40)</f>
        <v>33</v>
      </c>
      <c r="C40" s="83" t="s">
        <v>48</v>
      </c>
      <c r="D40" s="84">
        <v>0</v>
      </c>
      <c r="E40" s="85" t="str">
        <f t="shared" si="0"/>
        <v/>
      </c>
      <c r="F40" s="106" t="str">
        <f t="shared" si="7"/>
        <v/>
      </c>
      <c r="G40" s="86"/>
      <c r="H40" s="107">
        <f t="shared" si="2"/>
        <v>0</v>
      </c>
      <c r="I40" s="107">
        <f t="shared" si="3"/>
        <v>0</v>
      </c>
      <c r="J40" s="87">
        <f>IF($D40&gt;0,IFERROR(Параметры!$D$42*$H40/$H$2408,0),0)</f>
        <v>0</v>
      </c>
      <c r="K40" s="87">
        <f>IFERROR(ROUND($N40*Параметры!$D$36,2),0)</f>
        <v>0</v>
      </c>
      <c r="L40" s="87">
        <f t="shared" si="4"/>
        <v>0</v>
      </c>
      <c r="M40" s="87">
        <f t="shared" si="5"/>
        <v>0</v>
      </c>
      <c r="N40" s="107" t="str">
        <f t="shared" si="6"/>
        <v/>
      </c>
    </row>
    <row r="41" spans="2:14" x14ac:dyDescent="0.25">
      <c r="B41" s="82">
        <f>SUBTOTAL(103,$D$8:D41)</f>
        <v>34</v>
      </c>
      <c r="C41" s="83" t="s">
        <v>49</v>
      </c>
      <c r="D41" s="84">
        <v>0</v>
      </c>
      <c r="E41" s="85" t="str">
        <f t="shared" si="0"/>
        <v/>
      </c>
      <c r="F41" s="106" t="str">
        <f t="shared" si="7"/>
        <v/>
      </c>
      <c r="G41" s="86"/>
      <c r="H41" s="107">
        <f t="shared" si="2"/>
        <v>0</v>
      </c>
      <c r="I41" s="107">
        <f t="shared" si="3"/>
        <v>0</v>
      </c>
      <c r="J41" s="87">
        <f>IF($D41&gt;0,IFERROR(Параметры!$D$42*$H41/$H$2408,0),0)</f>
        <v>0</v>
      </c>
      <c r="K41" s="87">
        <f>IFERROR(ROUND($N41*Параметры!$D$36,2),0)</f>
        <v>0</v>
      </c>
      <c r="L41" s="87">
        <f t="shared" si="4"/>
        <v>0</v>
      </c>
      <c r="M41" s="87">
        <f t="shared" si="5"/>
        <v>0</v>
      </c>
      <c r="N41" s="107" t="str">
        <f t="shared" si="6"/>
        <v/>
      </c>
    </row>
    <row r="42" spans="2:14" x14ac:dyDescent="0.25">
      <c r="B42" s="82">
        <f>SUBTOTAL(103,$D$8:D42)</f>
        <v>35</v>
      </c>
      <c r="C42" s="83" t="s">
        <v>50</v>
      </c>
      <c r="D42" s="84">
        <v>0</v>
      </c>
      <c r="E42" s="85" t="str">
        <f t="shared" si="0"/>
        <v/>
      </c>
      <c r="F42" s="106" t="str">
        <f t="shared" si="7"/>
        <v/>
      </c>
      <c r="G42" s="86"/>
      <c r="H42" s="107">
        <f t="shared" si="2"/>
        <v>0</v>
      </c>
      <c r="I42" s="107">
        <f t="shared" si="3"/>
        <v>0</v>
      </c>
      <c r="J42" s="87">
        <f>IF($D42&gt;0,IFERROR(Параметры!$D$42*$H42/$H$2408,0),0)</f>
        <v>0</v>
      </c>
      <c r="K42" s="87">
        <f>IFERROR(ROUND($N42*Параметры!$D$36,2),0)</f>
        <v>0</v>
      </c>
      <c r="L42" s="87">
        <f t="shared" si="4"/>
        <v>0</v>
      </c>
      <c r="M42" s="87">
        <f t="shared" si="5"/>
        <v>0</v>
      </c>
      <c r="N42" s="107" t="str">
        <f t="shared" si="6"/>
        <v/>
      </c>
    </row>
    <row r="43" spans="2:14" x14ac:dyDescent="0.25">
      <c r="B43" s="82">
        <f>SUBTOTAL(103,$D$8:D43)</f>
        <v>36</v>
      </c>
      <c r="C43" s="83" t="s">
        <v>51</v>
      </c>
      <c r="D43" s="84">
        <v>0</v>
      </c>
      <c r="E43" s="85" t="str">
        <f t="shared" si="0"/>
        <v/>
      </c>
      <c r="F43" s="106" t="str">
        <f t="shared" si="7"/>
        <v/>
      </c>
      <c r="G43" s="86"/>
      <c r="H43" s="107">
        <f t="shared" si="2"/>
        <v>0</v>
      </c>
      <c r="I43" s="107">
        <f t="shared" si="3"/>
        <v>0</v>
      </c>
      <c r="J43" s="87">
        <f>IF($D43&gt;0,IFERROR(Параметры!$D$42*$H43/$H$2408,0),0)</f>
        <v>0</v>
      </c>
      <c r="K43" s="87">
        <f>IFERROR(ROUND($N43*Параметры!$D$36,2),0)</f>
        <v>0</v>
      </c>
      <c r="L43" s="87">
        <f t="shared" si="4"/>
        <v>0</v>
      </c>
      <c r="M43" s="87">
        <f t="shared" si="5"/>
        <v>0</v>
      </c>
      <c r="N43" s="107" t="str">
        <f t="shared" si="6"/>
        <v/>
      </c>
    </row>
    <row r="44" spans="2:14" x14ac:dyDescent="0.25">
      <c r="B44" s="82">
        <f>SUBTOTAL(103,$D$8:D44)</f>
        <v>37</v>
      </c>
      <c r="C44" s="83" t="s">
        <v>52</v>
      </c>
      <c r="D44" s="84">
        <v>0</v>
      </c>
      <c r="E44" s="85" t="str">
        <f t="shared" si="0"/>
        <v/>
      </c>
      <c r="F44" s="106" t="str">
        <f t="shared" si="7"/>
        <v/>
      </c>
      <c r="G44" s="86"/>
      <c r="H44" s="107">
        <f t="shared" si="2"/>
        <v>0</v>
      </c>
      <c r="I44" s="107">
        <f t="shared" si="3"/>
        <v>0</v>
      </c>
      <c r="J44" s="87">
        <f>IF($D44&gt;0,IFERROR(Параметры!$D$42*$H44/$H$2408,0),0)</f>
        <v>0</v>
      </c>
      <c r="K44" s="87">
        <f>IFERROR(ROUND($N44*Параметры!$D$36,2),0)</f>
        <v>0</v>
      </c>
      <c r="L44" s="87">
        <f t="shared" si="4"/>
        <v>0</v>
      </c>
      <c r="M44" s="87">
        <f t="shared" si="5"/>
        <v>0</v>
      </c>
      <c r="N44" s="107" t="str">
        <f t="shared" si="6"/>
        <v/>
      </c>
    </row>
    <row r="45" spans="2:14" x14ac:dyDescent="0.25">
      <c r="B45" s="82">
        <f>SUBTOTAL(103,$D$8:D45)</f>
        <v>38</v>
      </c>
      <c r="C45" s="83" t="s">
        <v>53</v>
      </c>
      <c r="D45" s="84">
        <v>0</v>
      </c>
      <c r="E45" s="85" t="str">
        <f t="shared" si="0"/>
        <v/>
      </c>
      <c r="F45" s="106" t="str">
        <f t="shared" si="7"/>
        <v/>
      </c>
      <c r="G45" s="86"/>
      <c r="H45" s="107">
        <f t="shared" si="2"/>
        <v>0</v>
      </c>
      <c r="I45" s="107">
        <f t="shared" si="3"/>
        <v>0</v>
      </c>
      <c r="J45" s="87">
        <f>IF($D45&gt;0,IFERROR(Параметры!$D$42*$H45/$H$2408,0),0)</f>
        <v>0</v>
      </c>
      <c r="K45" s="87">
        <f>IFERROR(ROUND($N45*Параметры!$D$36,2),0)</f>
        <v>0</v>
      </c>
      <c r="L45" s="87">
        <f t="shared" si="4"/>
        <v>0</v>
      </c>
      <c r="M45" s="87">
        <f t="shared" si="5"/>
        <v>0</v>
      </c>
      <c r="N45" s="107" t="str">
        <f t="shared" si="6"/>
        <v/>
      </c>
    </row>
    <row r="46" spans="2:14" x14ac:dyDescent="0.25">
      <c r="B46" s="82">
        <f>SUBTOTAL(103,$D$8:D46)</f>
        <v>39</v>
      </c>
      <c r="C46" s="83" t="s">
        <v>54</v>
      </c>
      <c r="D46" s="84">
        <v>0</v>
      </c>
      <c r="E46" s="85" t="str">
        <f t="shared" si="0"/>
        <v/>
      </c>
      <c r="F46" s="106" t="str">
        <f t="shared" si="7"/>
        <v/>
      </c>
      <c r="G46" s="86"/>
      <c r="H46" s="107">
        <f t="shared" si="2"/>
        <v>0</v>
      </c>
      <c r="I46" s="107">
        <f t="shared" si="3"/>
        <v>0</v>
      </c>
      <c r="J46" s="87">
        <f>IF($D46&gt;0,IFERROR(Параметры!$D$42*$H46/$H$2408,0),0)</f>
        <v>0</v>
      </c>
      <c r="K46" s="87">
        <f>IFERROR(ROUND($N46*Параметры!$D$36,2),0)</f>
        <v>0</v>
      </c>
      <c r="L46" s="87">
        <f t="shared" si="4"/>
        <v>0</v>
      </c>
      <c r="M46" s="87">
        <f t="shared" si="5"/>
        <v>0</v>
      </c>
      <c r="N46" s="107" t="str">
        <f t="shared" si="6"/>
        <v/>
      </c>
    </row>
    <row r="47" spans="2:14" x14ac:dyDescent="0.25">
      <c r="B47" s="82">
        <f>SUBTOTAL(103,$D$8:D47)</f>
        <v>40</v>
      </c>
      <c r="C47" s="83" t="s">
        <v>55</v>
      </c>
      <c r="D47" s="84">
        <v>0</v>
      </c>
      <c r="E47" s="85" t="str">
        <f t="shared" si="0"/>
        <v/>
      </c>
      <c r="F47" s="106" t="str">
        <f t="shared" si="7"/>
        <v/>
      </c>
      <c r="G47" s="86"/>
      <c r="H47" s="107">
        <f t="shared" si="2"/>
        <v>0</v>
      </c>
      <c r="I47" s="107">
        <f t="shared" si="3"/>
        <v>0</v>
      </c>
      <c r="J47" s="87">
        <f>IF($D47&gt;0,IFERROR(Параметры!$D$42*$H47/$H$2408,0),0)</f>
        <v>0</v>
      </c>
      <c r="K47" s="87">
        <f>IFERROR(ROUND($N47*Параметры!$D$36,2),0)</f>
        <v>0</v>
      </c>
      <c r="L47" s="87">
        <f t="shared" si="4"/>
        <v>0</v>
      </c>
      <c r="M47" s="87">
        <f t="shared" si="5"/>
        <v>0</v>
      </c>
      <c r="N47" s="107" t="str">
        <f t="shared" si="6"/>
        <v/>
      </c>
    </row>
    <row r="48" spans="2:14" x14ac:dyDescent="0.25">
      <c r="B48" s="82">
        <f>SUBTOTAL(103,$D$8:D48)</f>
        <v>41</v>
      </c>
      <c r="C48" s="83" t="s">
        <v>56</v>
      </c>
      <c r="D48" s="84">
        <v>0</v>
      </c>
      <c r="E48" s="85" t="str">
        <f t="shared" si="0"/>
        <v/>
      </c>
      <c r="F48" s="106" t="str">
        <f t="shared" si="7"/>
        <v/>
      </c>
      <c r="G48" s="86"/>
      <c r="H48" s="107">
        <f t="shared" si="2"/>
        <v>0</v>
      </c>
      <c r="I48" s="107">
        <f t="shared" si="3"/>
        <v>0</v>
      </c>
      <c r="J48" s="87">
        <f>IF($D48&gt;0,IFERROR(Параметры!$D$42*$H48/$H$2408,0),0)</f>
        <v>0</v>
      </c>
      <c r="K48" s="87">
        <f>IFERROR(ROUND($N48*Параметры!$D$36,2),0)</f>
        <v>0</v>
      </c>
      <c r="L48" s="87">
        <f t="shared" si="4"/>
        <v>0</v>
      </c>
      <c r="M48" s="87">
        <f t="shared" si="5"/>
        <v>0</v>
      </c>
      <c r="N48" s="107" t="str">
        <f t="shared" si="6"/>
        <v/>
      </c>
    </row>
    <row r="49" spans="2:14" x14ac:dyDescent="0.25">
      <c r="B49" s="82">
        <f>SUBTOTAL(103,$D$8:D49)</f>
        <v>42</v>
      </c>
      <c r="C49" s="83" t="s">
        <v>57</v>
      </c>
      <c r="D49" s="84">
        <v>0</v>
      </c>
      <c r="E49" s="85" t="str">
        <f t="shared" si="0"/>
        <v/>
      </c>
      <c r="F49" s="106" t="str">
        <f t="shared" si="7"/>
        <v/>
      </c>
      <c r="G49" s="86"/>
      <c r="H49" s="107">
        <f t="shared" si="2"/>
        <v>0</v>
      </c>
      <c r="I49" s="107">
        <f t="shared" si="3"/>
        <v>0</v>
      </c>
      <c r="J49" s="87">
        <f>IF($D49&gt;0,IFERROR(Параметры!$D$42*$H49/$H$2408,0),0)</f>
        <v>0</v>
      </c>
      <c r="K49" s="87">
        <f>IFERROR(ROUND($N49*Параметры!$D$36,2),0)</f>
        <v>0</v>
      </c>
      <c r="L49" s="87">
        <f t="shared" si="4"/>
        <v>0</v>
      </c>
      <c r="M49" s="87">
        <f t="shared" si="5"/>
        <v>0</v>
      </c>
      <c r="N49" s="107" t="str">
        <f t="shared" si="6"/>
        <v/>
      </c>
    </row>
    <row r="50" spans="2:14" x14ac:dyDescent="0.25">
      <c r="B50" s="82">
        <f>SUBTOTAL(103,$D$8:D50)</f>
        <v>43</v>
      </c>
      <c r="C50" s="83" t="s">
        <v>58</v>
      </c>
      <c r="D50" s="84">
        <v>0</v>
      </c>
      <c r="E50" s="85" t="str">
        <f t="shared" si="0"/>
        <v/>
      </c>
      <c r="F50" s="106" t="str">
        <f t="shared" si="7"/>
        <v/>
      </c>
      <c r="G50" s="86"/>
      <c r="H50" s="107">
        <f t="shared" si="2"/>
        <v>0</v>
      </c>
      <c r="I50" s="107">
        <f t="shared" si="3"/>
        <v>0</v>
      </c>
      <c r="J50" s="87">
        <f>IF($D50&gt;0,IFERROR(Параметры!$D$42*$H50/$H$2408,0),0)</f>
        <v>0</v>
      </c>
      <c r="K50" s="87">
        <f>IFERROR(ROUND($N50*Параметры!$D$36,2),0)</f>
        <v>0</v>
      </c>
      <c r="L50" s="87">
        <f t="shared" si="4"/>
        <v>0</v>
      </c>
      <c r="M50" s="87">
        <f t="shared" si="5"/>
        <v>0</v>
      </c>
      <c r="N50" s="107" t="str">
        <f t="shared" si="6"/>
        <v/>
      </c>
    </row>
    <row r="51" spans="2:14" x14ac:dyDescent="0.25">
      <c r="B51" s="82">
        <f>SUBTOTAL(103,$D$8:D51)</f>
        <v>44</v>
      </c>
      <c r="C51" s="83" t="s">
        <v>59</v>
      </c>
      <c r="D51" s="84">
        <v>0</v>
      </c>
      <c r="E51" s="85" t="str">
        <f t="shared" si="0"/>
        <v/>
      </c>
      <c r="F51" s="106" t="str">
        <f t="shared" si="7"/>
        <v/>
      </c>
      <c r="G51" s="86"/>
      <c r="H51" s="107">
        <f t="shared" si="2"/>
        <v>0</v>
      </c>
      <c r="I51" s="107">
        <f t="shared" si="3"/>
        <v>0</v>
      </c>
      <c r="J51" s="87">
        <f>IF($D51&gt;0,IFERROR(Параметры!$D$42*$H51/$H$2408,0),0)</f>
        <v>0</v>
      </c>
      <c r="K51" s="87">
        <f>IFERROR(ROUND($N51*Параметры!$D$36,2),0)</f>
        <v>0</v>
      </c>
      <c r="L51" s="87">
        <f t="shared" si="4"/>
        <v>0</v>
      </c>
      <c r="M51" s="87">
        <f t="shared" si="5"/>
        <v>0</v>
      </c>
      <c r="N51" s="107" t="str">
        <f t="shared" si="6"/>
        <v/>
      </c>
    </row>
    <row r="52" spans="2:14" x14ac:dyDescent="0.25">
      <c r="B52" s="82">
        <f>SUBTOTAL(103,$D$8:D52)</f>
        <v>45</v>
      </c>
      <c r="C52" s="83" t="s">
        <v>60</v>
      </c>
      <c r="D52" s="84">
        <v>0</v>
      </c>
      <c r="E52" s="85" t="str">
        <f t="shared" si="0"/>
        <v/>
      </c>
      <c r="F52" s="106" t="str">
        <f t="shared" si="7"/>
        <v/>
      </c>
      <c r="G52" s="86"/>
      <c r="H52" s="107">
        <f t="shared" si="2"/>
        <v>0</v>
      </c>
      <c r="I52" s="107">
        <f t="shared" si="3"/>
        <v>0</v>
      </c>
      <c r="J52" s="87">
        <f>IF($D52&gt;0,IFERROR(Параметры!$D$42*$H52/$H$2408,0),0)</f>
        <v>0</v>
      </c>
      <c r="K52" s="87">
        <f>IFERROR(ROUND($N52*Параметры!$D$36,2),0)</f>
        <v>0</v>
      </c>
      <c r="L52" s="87">
        <f t="shared" si="4"/>
        <v>0</v>
      </c>
      <c r="M52" s="87">
        <f t="shared" si="5"/>
        <v>0</v>
      </c>
      <c r="N52" s="107" t="str">
        <f t="shared" si="6"/>
        <v/>
      </c>
    </row>
    <row r="53" spans="2:14" x14ac:dyDescent="0.25">
      <c r="B53" s="82">
        <f>SUBTOTAL(103,$D$8:D53)</f>
        <v>46</v>
      </c>
      <c r="C53" s="83" t="s">
        <v>61</v>
      </c>
      <c r="D53" s="84">
        <v>0</v>
      </c>
      <c r="E53" s="85" t="str">
        <f t="shared" si="0"/>
        <v/>
      </c>
      <c r="F53" s="106" t="str">
        <f t="shared" si="7"/>
        <v/>
      </c>
      <c r="G53" s="86"/>
      <c r="H53" s="107">
        <f t="shared" si="2"/>
        <v>0</v>
      </c>
      <c r="I53" s="107">
        <f t="shared" si="3"/>
        <v>0</v>
      </c>
      <c r="J53" s="87">
        <f>IF($D53&gt;0,IFERROR(Параметры!$D$42*$H53/$H$2408,0),0)</f>
        <v>0</v>
      </c>
      <c r="K53" s="87">
        <f>IFERROR(ROUND($N53*Параметры!$D$36,2),0)</f>
        <v>0</v>
      </c>
      <c r="L53" s="87">
        <f t="shared" si="4"/>
        <v>0</v>
      </c>
      <c r="M53" s="87">
        <f t="shared" si="5"/>
        <v>0</v>
      </c>
      <c r="N53" s="107" t="str">
        <f t="shared" si="6"/>
        <v/>
      </c>
    </row>
    <row r="54" spans="2:14" x14ac:dyDescent="0.25">
      <c r="B54" s="82">
        <f>SUBTOTAL(103,$D$8:D54)</f>
        <v>47</v>
      </c>
      <c r="C54" s="83" t="s">
        <v>62</v>
      </c>
      <c r="D54" s="84">
        <v>0</v>
      </c>
      <c r="E54" s="85" t="str">
        <f t="shared" si="0"/>
        <v/>
      </c>
      <c r="F54" s="106" t="str">
        <f t="shared" si="7"/>
        <v/>
      </c>
      <c r="G54" s="86"/>
      <c r="H54" s="107">
        <f t="shared" si="2"/>
        <v>0</v>
      </c>
      <c r="I54" s="107">
        <f t="shared" si="3"/>
        <v>0</v>
      </c>
      <c r="J54" s="87">
        <f>IF($D54&gt;0,IFERROR(Параметры!$D$42*$H54/$H$2408,0),0)</f>
        <v>0</v>
      </c>
      <c r="K54" s="87">
        <f>IFERROR(ROUND($N54*Параметры!$D$36,2),0)</f>
        <v>0</v>
      </c>
      <c r="L54" s="87">
        <f t="shared" si="4"/>
        <v>0</v>
      </c>
      <c r="M54" s="87">
        <f t="shared" si="5"/>
        <v>0</v>
      </c>
      <c r="N54" s="107" t="str">
        <f t="shared" si="6"/>
        <v/>
      </c>
    </row>
    <row r="55" spans="2:14" x14ac:dyDescent="0.25">
      <c r="B55" s="82">
        <f>SUBTOTAL(103,$D$8:D55)</f>
        <v>48</v>
      </c>
      <c r="C55" s="83" t="s">
        <v>63</v>
      </c>
      <c r="D55" s="84">
        <v>0</v>
      </c>
      <c r="E55" s="85" t="str">
        <f t="shared" si="0"/>
        <v/>
      </c>
      <c r="F55" s="106" t="str">
        <f t="shared" si="7"/>
        <v/>
      </c>
      <c r="G55" s="86"/>
      <c r="H55" s="107">
        <f t="shared" si="2"/>
        <v>0</v>
      </c>
      <c r="I55" s="107">
        <f t="shared" si="3"/>
        <v>0</v>
      </c>
      <c r="J55" s="87">
        <f>IF($D55&gt;0,IFERROR(Параметры!$D$42*$H55/$H$2408,0),0)</f>
        <v>0</v>
      </c>
      <c r="K55" s="87">
        <f>IFERROR(ROUND($N55*Параметры!$D$36,2),0)</f>
        <v>0</v>
      </c>
      <c r="L55" s="87">
        <f t="shared" si="4"/>
        <v>0</v>
      </c>
      <c r="M55" s="87">
        <f t="shared" si="5"/>
        <v>0</v>
      </c>
      <c r="N55" s="107" t="str">
        <f t="shared" si="6"/>
        <v/>
      </c>
    </row>
    <row r="56" spans="2:14" x14ac:dyDescent="0.25">
      <c r="B56" s="82">
        <f>SUBTOTAL(103,$D$8:D56)</f>
        <v>49</v>
      </c>
      <c r="C56" s="83" t="s">
        <v>64</v>
      </c>
      <c r="D56" s="84">
        <v>0</v>
      </c>
      <c r="E56" s="85" t="str">
        <f t="shared" si="0"/>
        <v/>
      </c>
      <c r="F56" s="106" t="str">
        <f t="shared" si="7"/>
        <v/>
      </c>
      <c r="G56" s="86"/>
      <c r="H56" s="107">
        <f t="shared" si="2"/>
        <v>0</v>
      </c>
      <c r="I56" s="107">
        <f t="shared" si="3"/>
        <v>0</v>
      </c>
      <c r="J56" s="87">
        <f>IF($D56&gt;0,IFERROR(Параметры!$D$42*$H56/$H$2408,0),0)</f>
        <v>0</v>
      </c>
      <c r="K56" s="87">
        <f>IFERROR(ROUND($N56*Параметры!$D$36,2),0)</f>
        <v>0</v>
      </c>
      <c r="L56" s="87">
        <f t="shared" si="4"/>
        <v>0</v>
      </c>
      <c r="M56" s="87">
        <f t="shared" si="5"/>
        <v>0</v>
      </c>
      <c r="N56" s="107" t="str">
        <f t="shared" si="6"/>
        <v/>
      </c>
    </row>
    <row r="57" spans="2:14" x14ac:dyDescent="0.25">
      <c r="B57" s="82">
        <f>SUBTOTAL(103,$D$8:D57)</f>
        <v>50</v>
      </c>
      <c r="C57" s="83" t="s">
        <v>65</v>
      </c>
      <c r="D57" s="84">
        <v>0</v>
      </c>
      <c r="E57" s="85" t="str">
        <f t="shared" si="0"/>
        <v/>
      </c>
      <c r="F57" s="106" t="str">
        <f t="shared" si="7"/>
        <v/>
      </c>
      <c r="G57" s="86"/>
      <c r="H57" s="107">
        <f t="shared" si="2"/>
        <v>0</v>
      </c>
      <c r="I57" s="107">
        <f t="shared" si="3"/>
        <v>0</v>
      </c>
      <c r="J57" s="87">
        <f>IF($D57&gt;0,IFERROR(Параметры!$D$42*$H57/$H$2408,0),0)</f>
        <v>0</v>
      </c>
      <c r="K57" s="87">
        <f>IFERROR(ROUND($N57*Параметры!$D$36,2),0)</f>
        <v>0</v>
      </c>
      <c r="L57" s="87">
        <f t="shared" si="4"/>
        <v>0</v>
      </c>
      <c r="M57" s="87">
        <f t="shared" si="5"/>
        <v>0</v>
      </c>
      <c r="N57" s="107" t="str">
        <f t="shared" si="6"/>
        <v/>
      </c>
    </row>
    <row r="58" spans="2:14" x14ac:dyDescent="0.25">
      <c r="B58" s="82">
        <f>SUBTOTAL(103,$D$8:D58)</f>
        <v>51</v>
      </c>
      <c r="C58" s="83" t="s">
        <v>66</v>
      </c>
      <c r="D58" s="84">
        <v>0</v>
      </c>
      <c r="E58" s="85" t="str">
        <f t="shared" si="0"/>
        <v/>
      </c>
      <c r="F58" s="106" t="str">
        <f t="shared" si="7"/>
        <v/>
      </c>
      <c r="G58" s="86"/>
      <c r="H58" s="107">
        <f t="shared" si="2"/>
        <v>0</v>
      </c>
      <c r="I58" s="107">
        <f t="shared" si="3"/>
        <v>0</v>
      </c>
      <c r="J58" s="87">
        <f>IF($D58&gt;0,IFERROR(Параметры!$D$42*$H58/$H$2408,0),0)</f>
        <v>0</v>
      </c>
      <c r="K58" s="87">
        <f>IFERROR(ROUND($N58*Параметры!$D$36,2),0)</f>
        <v>0</v>
      </c>
      <c r="L58" s="87">
        <f t="shared" si="4"/>
        <v>0</v>
      </c>
      <c r="M58" s="87">
        <f t="shared" si="5"/>
        <v>0</v>
      </c>
      <c r="N58" s="107" t="str">
        <f t="shared" si="6"/>
        <v/>
      </c>
    </row>
    <row r="59" spans="2:14" x14ac:dyDescent="0.25">
      <c r="B59" s="82">
        <f>SUBTOTAL(103,$D$8:D59)</f>
        <v>52</v>
      </c>
      <c r="C59" s="83" t="s">
        <v>67</v>
      </c>
      <c r="D59" s="84">
        <v>0</v>
      </c>
      <c r="E59" s="85" t="str">
        <f t="shared" si="0"/>
        <v/>
      </c>
      <c r="F59" s="106" t="str">
        <f t="shared" si="7"/>
        <v/>
      </c>
      <c r="G59" s="86"/>
      <c r="H59" s="107">
        <f t="shared" si="2"/>
        <v>0</v>
      </c>
      <c r="I59" s="107">
        <f t="shared" si="3"/>
        <v>0</v>
      </c>
      <c r="J59" s="87">
        <f>IF($D59&gt;0,IFERROR(Параметры!$D$42*$H59/$H$2408,0),0)</f>
        <v>0</v>
      </c>
      <c r="K59" s="87">
        <f>IFERROR(ROUND($N59*Параметры!$D$36,2),0)</f>
        <v>0</v>
      </c>
      <c r="L59" s="87">
        <f t="shared" si="4"/>
        <v>0</v>
      </c>
      <c r="M59" s="87">
        <f t="shared" si="5"/>
        <v>0</v>
      </c>
      <c r="N59" s="107" t="str">
        <f t="shared" si="6"/>
        <v/>
      </c>
    </row>
    <row r="60" spans="2:14" x14ac:dyDescent="0.25">
      <c r="B60" s="82">
        <f>SUBTOTAL(103,$D$8:D60)</f>
        <v>53</v>
      </c>
      <c r="C60" s="83" t="s">
        <v>68</v>
      </c>
      <c r="D60" s="84">
        <v>0</v>
      </c>
      <c r="E60" s="85" t="str">
        <f t="shared" si="0"/>
        <v/>
      </c>
      <c r="F60" s="106" t="str">
        <f t="shared" si="7"/>
        <v/>
      </c>
      <c r="G60" s="86"/>
      <c r="H60" s="107">
        <f t="shared" si="2"/>
        <v>0</v>
      </c>
      <c r="I60" s="107">
        <f t="shared" si="3"/>
        <v>0</v>
      </c>
      <c r="J60" s="87">
        <f>IF($D60&gt;0,IFERROR(Параметры!$D$42*$H60/$H$2408,0),0)</f>
        <v>0</v>
      </c>
      <c r="K60" s="87">
        <f>IFERROR(ROUND($N60*Параметры!$D$36,2),0)</f>
        <v>0</v>
      </c>
      <c r="L60" s="87">
        <f t="shared" si="4"/>
        <v>0</v>
      </c>
      <c r="M60" s="87">
        <f t="shared" si="5"/>
        <v>0</v>
      </c>
      <c r="N60" s="107" t="str">
        <f t="shared" si="6"/>
        <v/>
      </c>
    </row>
    <row r="61" spans="2:14" x14ac:dyDescent="0.25">
      <c r="B61" s="82">
        <f>SUBTOTAL(103,$D$8:D61)</f>
        <v>54</v>
      </c>
      <c r="C61" s="83" t="s">
        <v>69</v>
      </c>
      <c r="D61" s="84">
        <v>0</v>
      </c>
      <c r="E61" s="85" t="str">
        <f t="shared" si="0"/>
        <v/>
      </c>
      <c r="F61" s="106" t="str">
        <f t="shared" si="7"/>
        <v/>
      </c>
      <c r="G61" s="86"/>
      <c r="H61" s="107">
        <f t="shared" si="2"/>
        <v>0</v>
      </c>
      <c r="I61" s="107">
        <f t="shared" si="3"/>
        <v>0</v>
      </c>
      <c r="J61" s="87">
        <f>IF($D61&gt;0,IFERROR(Параметры!$D$42*$H61/$H$2408,0),0)</f>
        <v>0</v>
      </c>
      <c r="K61" s="87">
        <f>IFERROR(ROUND($N61*Параметры!$D$36,2),0)</f>
        <v>0</v>
      </c>
      <c r="L61" s="87">
        <f t="shared" si="4"/>
        <v>0</v>
      </c>
      <c r="M61" s="87">
        <f t="shared" si="5"/>
        <v>0</v>
      </c>
      <c r="N61" s="107" t="str">
        <f t="shared" si="6"/>
        <v/>
      </c>
    </row>
    <row r="62" spans="2:14" x14ac:dyDescent="0.25">
      <c r="B62" s="82">
        <f>SUBTOTAL(103,$D$8:D62)</f>
        <v>55</v>
      </c>
      <c r="C62" s="83" t="s">
        <v>70</v>
      </c>
      <c r="D62" s="84">
        <v>0</v>
      </c>
      <c r="E62" s="85" t="str">
        <f t="shared" si="0"/>
        <v/>
      </c>
      <c r="F62" s="106" t="str">
        <f t="shared" si="7"/>
        <v/>
      </c>
      <c r="G62" s="86"/>
      <c r="H62" s="107">
        <f t="shared" si="2"/>
        <v>0</v>
      </c>
      <c r="I62" s="107">
        <f t="shared" si="3"/>
        <v>0</v>
      </c>
      <c r="J62" s="87">
        <f>IF($D62&gt;0,IFERROR(Параметры!$D$42*$H62/$H$2408,0),0)</f>
        <v>0</v>
      </c>
      <c r="K62" s="87">
        <f>IFERROR(ROUND($N62*Параметры!$D$36,2),0)</f>
        <v>0</v>
      </c>
      <c r="L62" s="87">
        <f t="shared" si="4"/>
        <v>0</v>
      </c>
      <c r="M62" s="87">
        <f t="shared" si="5"/>
        <v>0</v>
      </c>
      <c r="N62" s="107" t="str">
        <f t="shared" si="6"/>
        <v/>
      </c>
    </row>
    <row r="63" spans="2:14" x14ac:dyDescent="0.25">
      <c r="B63" s="82">
        <f>SUBTOTAL(103,$D$8:D63)</f>
        <v>56</v>
      </c>
      <c r="C63" s="83" t="s">
        <v>71</v>
      </c>
      <c r="D63" s="84">
        <v>0</v>
      </c>
      <c r="E63" s="85" t="str">
        <f t="shared" si="0"/>
        <v/>
      </c>
      <c r="F63" s="106" t="str">
        <f t="shared" si="7"/>
        <v/>
      </c>
      <c r="G63" s="86"/>
      <c r="H63" s="107">
        <f t="shared" si="2"/>
        <v>0</v>
      </c>
      <c r="I63" s="107">
        <f t="shared" si="3"/>
        <v>0</v>
      </c>
      <c r="J63" s="87">
        <f>IF($D63&gt;0,IFERROR(Параметры!$D$42*$H63/$H$2408,0),0)</f>
        <v>0</v>
      </c>
      <c r="K63" s="87">
        <f>IFERROR(ROUND($N63*Параметры!$D$36,2),0)</f>
        <v>0</v>
      </c>
      <c r="L63" s="87">
        <f t="shared" si="4"/>
        <v>0</v>
      </c>
      <c r="M63" s="87">
        <f t="shared" si="5"/>
        <v>0</v>
      </c>
      <c r="N63" s="107" t="str">
        <f t="shared" si="6"/>
        <v/>
      </c>
    </row>
    <row r="64" spans="2:14" x14ac:dyDescent="0.25">
      <c r="B64" s="82">
        <f>SUBTOTAL(103,$D$8:D64)</f>
        <v>57</v>
      </c>
      <c r="C64" s="83" t="s">
        <v>72</v>
      </c>
      <c r="D64" s="84">
        <v>0</v>
      </c>
      <c r="E64" s="85" t="str">
        <f t="shared" si="0"/>
        <v/>
      </c>
      <c r="F64" s="106" t="str">
        <f t="shared" si="7"/>
        <v/>
      </c>
      <c r="G64" s="86"/>
      <c r="H64" s="107">
        <f t="shared" si="2"/>
        <v>0</v>
      </c>
      <c r="I64" s="107">
        <f t="shared" si="3"/>
        <v>0</v>
      </c>
      <c r="J64" s="87">
        <f>IF($D64&gt;0,IFERROR(Параметры!$D$42*$H64/$H$2408,0),0)</f>
        <v>0</v>
      </c>
      <c r="K64" s="87">
        <f>IFERROR(ROUND($N64*Параметры!$D$36,2),0)</f>
        <v>0</v>
      </c>
      <c r="L64" s="87">
        <f t="shared" si="4"/>
        <v>0</v>
      </c>
      <c r="M64" s="87">
        <f t="shared" si="5"/>
        <v>0</v>
      </c>
      <c r="N64" s="107" t="str">
        <f t="shared" si="6"/>
        <v/>
      </c>
    </row>
    <row r="65" spans="2:14" x14ac:dyDescent="0.25">
      <c r="B65" s="82">
        <f>SUBTOTAL(103,$D$8:D65)</f>
        <v>58</v>
      </c>
      <c r="C65" s="83" t="s">
        <v>73</v>
      </c>
      <c r="D65" s="84">
        <v>0</v>
      </c>
      <c r="E65" s="85" t="str">
        <f t="shared" si="0"/>
        <v/>
      </c>
      <c r="F65" s="106" t="str">
        <f t="shared" si="7"/>
        <v/>
      </c>
      <c r="G65" s="86"/>
      <c r="H65" s="107">
        <f t="shared" si="2"/>
        <v>0</v>
      </c>
      <c r="I65" s="107">
        <f t="shared" si="3"/>
        <v>0</v>
      </c>
      <c r="J65" s="87">
        <f>IF($D65&gt;0,IFERROR(Параметры!$D$42*$H65/$H$2408,0),0)</f>
        <v>0</v>
      </c>
      <c r="K65" s="87">
        <f>IFERROR(ROUND($N65*Параметры!$D$36,2),0)</f>
        <v>0</v>
      </c>
      <c r="L65" s="87">
        <f t="shared" si="4"/>
        <v>0</v>
      </c>
      <c r="M65" s="87">
        <f t="shared" si="5"/>
        <v>0</v>
      </c>
      <c r="N65" s="107" t="str">
        <f t="shared" si="6"/>
        <v/>
      </c>
    </row>
    <row r="66" spans="2:14" x14ac:dyDescent="0.25">
      <c r="B66" s="82">
        <f>SUBTOTAL(103,$D$8:D66)</f>
        <v>59</v>
      </c>
      <c r="C66" s="83" t="s">
        <v>74</v>
      </c>
      <c r="D66" s="84">
        <v>0</v>
      </c>
      <c r="E66" s="85" t="str">
        <f t="shared" si="0"/>
        <v/>
      </c>
      <c r="F66" s="106" t="str">
        <f t="shared" si="7"/>
        <v/>
      </c>
      <c r="G66" s="86"/>
      <c r="H66" s="107">
        <f t="shared" si="2"/>
        <v>0</v>
      </c>
      <c r="I66" s="107">
        <f t="shared" si="3"/>
        <v>0</v>
      </c>
      <c r="J66" s="87">
        <f>IF($D66&gt;0,IFERROR(Параметры!$D$42*$H66/$H$2408,0),0)</f>
        <v>0</v>
      </c>
      <c r="K66" s="87">
        <f>IFERROR(ROUND($N66*Параметры!$D$36,2),0)</f>
        <v>0</v>
      </c>
      <c r="L66" s="87">
        <f t="shared" si="4"/>
        <v>0</v>
      </c>
      <c r="M66" s="87">
        <f t="shared" si="5"/>
        <v>0</v>
      </c>
      <c r="N66" s="107" t="str">
        <f t="shared" si="6"/>
        <v/>
      </c>
    </row>
    <row r="67" spans="2:14" x14ac:dyDescent="0.25">
      <c r="B67" s="82">
        <f>SUBTOTAL(103,$D$8:D67)</f>
        <v>60</v>
      </c>
      <c r="C67" s="83" t="s">
        <v>75</v>
      </c>
      <c r="D67" s="84">
        <v>0</v>
      </c>
      <c r="E67" s="85" t="str">
        <f t="shared" si="0"/>
        <v/>
      </c>
      <c r="F67" s="106" t="str">
        <f t="shared" si="7"/>
        <v/>
      </c>
      <c r="G67" s="86"/>
      <c r="H67" s="107">
        <f t="shared" si="2"/>
        <v>0</v>
      </c>
      <c r="I67" s="107">
        <f t="shared" si="3"/>
        <v>0</v>
      </c>
      <c r="J67" s="87">
        <f>IF($D67&gt;0,IFERROR(Параметры!$D$42*$H67/$H$2408,0),0)</f>
        <v>0</v>
      </c>
      <c r="K67" s="87">
        <f>IFERROR(ROUND($N67*Параметры!$D$36,2),0)</f>
        <v>0</v>
      </c>
      <c r="L67" s="87">
        <f t="shared" si="4"/>
        <v>0</v>
      </c>
      <c r="M67" s="87">
        <f t="shared" si="5"/>
        <v>0</v>
      </c>
      <c r="N67" s="107" t="str">
        <f t="shared" si="6"/>
        <v/>
      </c>
    </row>
    <row r="68" spans="2:14" x14ac:dyDescent="0.25">
      <c r="B68" s="82">
        <f>SUBTOTAL(103,$D$8:D68)</f>
        <v>61</v>
      </c>
      <c r="C68" s="83" t="s">
        <v>76</v>
      </c>
      <c r="D68" s="84">
        <f t="array" ref="D68:D127">TRANSPOSE('Зарядная карта'!$C$6:$BJ$6)</f>
        <v>0</v>
      </c>
      <c r="E68" s="85" t="str">
        <f t="shared" si="0"/>
        <v/>
      </c>
      <c r="F68" s="106" t="str">
        <f t="shared" si="7"/>
        <v/>
      </c>
      <c r="G68" s="86"/>
      <c r="H68" s="107">
        <f t="shared" si="2"/>
        <v>0</v>
      </c>
      <c r="I68" s="107">
        <f t="shared" si="3"/>
        <v>0</v>
      </c>
      <c r="J68" s="87">
        <f>IF($D68&gt;0,IFERROR(Параметры!$D$42*$H68/$H$2408,0),0)</f>
        <v>0</v>
      </c>
      <c r="K68" s="87">
        <f>IFERROR(ROUND($N68*Параметры!$D$36,2),0)</f>
        <v>0</v>
      </c>
      <c r="L68" s="87">
        <f t="shared" si="4"/>
        <v>0</v>
      </c>
      <c r="M68" s="87">
        <f t="shared" si="5"/>
        <v>0</v>
      </c>
      <c r="N68" s="107" t="str">
        <f t="shared" si="6"/>
        <v/>
      </c>
    </row>
    <row r="69" spans="2:14" x14ac:dyDescent="0.25">
      <c r="B69" s="82">
        <f>SUBTOTAL(103,$D$8:D69)</f>
        <v>62</v>
      </c>
      <c r="C69" s="83" t="s">
        <v>77</v>
      </c>
      <c r="D69" s="84">
        <v>0</v>
      </c>
      <c r="E69" s="85" t="str">
        <f t="shared" si="0"/>
        <v/>
      </c>
      <c r="F69" s="106" t="str">
        <f t="shared" si="7"/>
        <v/>
      </c>
      <c r="G69" s="86"/>
      <c r="H69" s="107">
        <f t="shared" si="2"/>
        <v>0</v>
      </c>
      <c r="I69" s="107">
        <f t="shared" si="3"/>
        <v>0</v>
      </c>
      <c r="J69" s="87">
        <f>IF($D69&gt;0,IFERROR(Параметры!$D$42*$H69/$H$2408,0),0)</f>
        <v>0</v>
      </c>
      <c r="K69" s="87">
        <f>IFERROR(ROUND($N69*Параметры!$D$36,2),0)</f>
        <v>0</v>
      </c>
      <c r="L69" s="87">
        <f t="shared" si="4"/>
        <v>0</v>
      </c>
      <c r="M69" s="87">
        <f t="shared" si="5"/>
        <v>0</v>
      </c>
      <c r="N69" s="107" t="str">
        <f t="shared" si="6"/>
        <v/>
      </c>
    </row>
    <row r="70" spans="2:14" x14ac:dyDescent="0.25">
      <c r="B70" s="82">
        <f>SUBTOTAL(103,$D$8:D70)</f>
        <v>63</v>
      </c>
      <c r="C70" s="83" t="s">
        <v>78</v>
      </c>
      <c r="D70" s="84">
        <v>0</v>
      </c>
      <c r="E70" s="85" t="str">
        <f t="shared" si="0"/>
        <v/>
      </c>
      <c r="F70" s="106" t="str">
        <f t="shared" si="7"/>
        <v/>
      </c>
      <c r="G70" s="86"/>
      <c r="H70" s="107">
        <f t="shared" si="2"/>
        <v>0</v>
      </c>
      <c r="I70" s="107">
        <f t="shared" si="3"/>
        <v>0</v>
      </c>
      <c r="J70" s="87">
        <f>IF($D70&gt;0,IFERROR(Параметры!$D$42*$H70/$H$2408,0),0)</f>
        <v>0</v>
      </c>
      <c r="K70" s="87">
        <f>IFERROR(ROUND($N70*Параметры!$D$36,2),0)</f>
        <v>0</v>
      </c>
      <c r="L70" s="87">
        <f t="shared" si="4"/>
        <v>0</v>
      </c>
      <c r="M70" s="87">
        <f t="shared" si="5"/>
        <v>0</v>
      </c>
      <c r="N70" s="107" t="str">
        <f t="shared" si="6"/>
        <v/>
      </c>
    </row>
    <row r="71" spans="2:14" x14ac:dyDescent="0.25">
      <c r="B71" s="82">
        <f>SUBTOTAL(103,$D$8:D71)</f>
        <v>64</v>
      </c>
      <c r="C71" s="83" t="s">
        <v>79</v>
      </c>
      <c r="D71" s="84">
        <v>0</v>
      </c>
      <c r="E71" s="85" t="str">
        <f t="shared" si="0"/>
        <v/>
      </c>
      <c r="F71" s="106" t="str">
        <f t="shared" si="7"/>
        <v/>
      </c>
      <c r="G71" s="86"/>
      <c r="H71" s="107">
        <f t="shared" si="2"/>
        <v>0</v>
      </c>
      <c r="I71" s="107">
        <f t="shared" si="3"/>
        <v>0</v>
      </c>
      <c r="J71" s="87">
        <f>IF($D71&gt;0,IFERROR(Параметры!$D$42*$H71/$H$2408,0),0)</f>
        <v>0</v>
      </c>
      <c r="K71" s="87">
        <f>IFERROR(ROUND($N71*Параметры!$D$36,2),0)</f>
        <v>0</v>
      </c>
      <c r="L71" s="87">
        <f t="shared" si="4"/>
        <v>0</v>
      </c>
      <c r="M71" s="87">
        <f t="shared" si="5"/>
        <v>0</v>
      </c>
      <c r="N71" s="107" t="str">
        <f t="shared" si="6"/>
        <v/>
      </c>
    </row>
    <row r="72" spans="2:14" x14ac:dyDescent="0.25">
      <c r="B72" s="82">
        <f>SUBTOTAL(103,$D$8:D72)</f>
        <v>65</v>
      </c>
      <c r="C72" s="83" t="s">
        <v>80</v>
      </c>
      <c r="D72" s="84">
        <v>0</v>
      </c>
      <c r="E72" s="85" t="str">
        <f t="shared" ref="E72:E135" si="8">IF($D72&lt;1,"",$K72+$L72)</f>
        <v/>
      </c>
      <c r="F72" s="106" t="str">
        <f t="shared" si="7"/>
        <v/>
      </c>
      <c r="G72" s="86"/>
      <c r="H72" s="107">
        <f t="shared" ref="H72:H135" si="9">IF($D72&gt;0,$D72*КИС,0)</f>
        <v>0</v>
      </c>
      <c r="I72" s="107">
        <f t="shared" ref="I72:I135" si="10">IF($D72&gt;0,$D72-$H72,0)</f>
        <v>0</v>
      </c>
      <c r="J72" s="87">
        <f>IF($D72&gt;0,IFERROR(Параметры!$D$42*$H72/$H$2408,0),0)</f>
        <v>0</v>
      </c>
      <c r="K72" s="87">
        <f>IFERROR(ROUND($N72*Параметры!$D$36,2),0)</f>
        <v>0</v>
      </c>
      <c r="L72" s="87">
        <f t="shared" ref="L72:L135" si="11">IF($K72&gt;0,$K72*0.055,0)</f>
        <v>0</v>
      </c>
      <c r="M72" s="87">
        <f t="shared" ref="M72:M135" si="12">IFERROR($L72/Плотность_ДТ,0)</f>
        <v>0</v>
      </c>
      <c r="N72" s="107" t="str">
        <f t="shared" ref="N72:N135" si="13">IF($D72&gt;0,MAX(0,$D72-IF($F72="",0,$F72)),"")</f>
        <v/>
      </c>
    </row>
    <row r="73" spans="2:14" x14ac:dyDescent="0.25">
      <c r="B73" s="82">
        <f>SUBTOTAL(103,$D$8:D73)</f>
        <v>66</v>
      </c>
      <c r="C73" s="83" t="s">
        <v>81</v>
      </c>
      <c r="D73" s="84">
        <v>0</v>
      </c>
      <c r="E73" s="85" t="str">
        <f t="shared" si="8"/>
        <v/>
      </c>
      <c r="F73" s="106" t="str">
        <f t="shared" si="7"/>
        <v/>
      </c>
      <c r="G73" s="86"/>
      <c r="H73" s="107">
        <f t="shared" si="9"/>
        <v>0</v>
      </c>
      <c r="I73" s="107">
        <f t="shared" si="10"/>
        <v>0</v>
      </c>
      <c r="J73" s="87">
        <f>IF($D73&gt;0,IFERROR(Параметры!$D$42*$H73/$H$2408,0),0)</f>
        <v>0</v>
      </c>
      <c r="K73" s="87">
        <f>IFERROR(ROUND($N73*Параметры!$D$36,2),0)</f>
        <v>0</v>
      </c>
      <c r="L73" s="87">
        <f t="shared" si="11"/>
        <v>0</v>
      </c>
      <c r="M73" s="87">
        <f t="shared" si="12"/>
        <v>0</v>
      </c>
      <c r="N73" s="107" t="str">
        <f t="shared" si="13"/>
        <v/>
      </c>
    </row>
    <row r="74" spans="2:14" x14ac:dyDescent="0.25">
      <c r="B74" s="82">
        <f>SUBTOTAL(103,$D$8:D74)</f>
        <v>67</v>
      </c>
      <c r="C74" s="83" t="s">
        <v>82</v>
      </c>
      <c r="D74" s="84">
        <v>0</v>
      </c>
      <c r="E74" s="85" t="str">
        <f t="shared" si="8"/>
        <v/>
      </c>
      <c r="F74" s="106" t="str">
        <f t="shared" si="7"/>
        <v/>
      </c>
      <c r="G74" s="86"/>
      <c r="H74" s="107">
        <f t="shared" si="9"/>
        <v>0</v>
      </c>
      <c r="I74" s="107">
        <f t="shared" si="10"/>
        <v>0</v>
      </c>
      <c r="J74" s="87">
        <f>IF($D74&gt;0,IFERROR(Параметры!$D$42*$H74/$H$2408,0),0)</f>
        <v>0</v>
      </c>
      <c r="K74" s="87">
        <f>IFERROR(ROUND($N74*Параметры!$D$36,2),0)</f>
        <v>0</v>
      </c>
      <c r="L74" s="87">
        <f t="shared" si="11"/>
        <v>0</v>
      </c>
      <c r="M74" s="87">
        <f t="shared" si="12"/>
        <v>0</v>
      </c>
      <c r="N74" s="107" t="str">
        <f t="shared" si="13"/>
        <v/>
      </c>
    </row>
    <row r="75" spans="2:14" x14ac:dyDescent="0.25">
      <c r="B75" s="82">
        <f>SUBTOTAL(103,$D$8:D75)</f>
        <v>68</v>
      </c>
      <c r="C75" s="83" t="s">
        <v>83</v>
      </c>
      <c r="D75" s="84">
        <v>0</v>
      </c>
      <c r="E75" s="85" t="str">
        <f t="shared" si="8"/>
        <v/>
      </c>
      <c r="F75" s="106" t="str">
        <f t="shared" ref="F75:F138" si="14">IF(D75&gt;0,2,"")</f>
        <v/>
      </c>
      <c r="G75" s="86"/>
      <c r="H75" s="107">
        <f t="shared" si="9"/>
        <v>0</v>
      </c>
      <c r="I75" s="107">
        <f t="shared" si="10"/>
        <v>0</v>
      </c>
      <c r="J75" s="87">
        <f>IF($D75&gt;0,IFERROR(Параметры!$D$42*$H75/$H$2408,0),0)</f>
        <v>0</v>
      </c>
      <c r="K75" s="87">
        <f>IFERROR(ROUND($N75*Параметры!$D$36,2),0)</f>
        <v>0</v>
      </c>
      <c r="L75" s="87">
        <f t="shared" si="11"/>
        <v>0</v>
      </c>
      <c r="M75" s="87">
        <f t="shared" si="12"/>
        <v>0</v>
      </c>
      <c r="N75" s="107" t="str">
        <f t="shared" si="13"/>
        <v/>
      </c>
    </row>
    <row r="76" spans="2:14" x14ac:dyDescent="0.25">
      <c r="B76" s="82">
        <f>SUBTOTAL(103,$D$8:D76)</f>
        <v>69</v>
      </c>
      <c r="C76" s="83" t="s">
        <v>84</v>
      </c>
      <c r="D76" s="84">
        <v>0</v>
      </c>
      <c r="E76" s="85" t="str">
        <f t="shared" si="8"/>
        <v/>
      </c>
      <c r="F76" s="106" t="str">
        <f t="shared" si="14"/>
        <v/>
      </c>
      <c r="G76" s="86"/>
      <c r="H76" s="107">
        <f t="shared" si="9"/>
        <v>0</v>
      </c>
      <c r="I76" s="107">
        <f t="shared" si="10"/>
        <v>0</v>
      </c>
      <c r="J76" s="87">
        <f>IF($D76&gt;0,IFERROR(Параметры!$D$42*$H76/$H$2408,0),0)</f>
        <v>0</v>
      </c>
      <c r="K76" s="87">
        <f>IFERROR(ROUND($N76*Параметры!$D$36,2),0)</f>
        <v>0</v>
      </c>
      <c r="L76" s="87">
        <f t="shared" si="11"/>
        <v>0</v>
      </c>
      <c r="M76" s="87">
        <f t="shared" si="12"/>
        <v>0</v>
      </c>
      <c r="N76" s="107" t="str">
        <f t="shared" si="13"/>
        <v/>
      </c>
    </row>
    <row r="77" spans="2:14" x14ac:dyDescent="0.25">
      <c r="B77" s="82">
        <f>SUBTOTAL(103,$D$8:D77)</f>
        <v>70</v>
      </c>
      <c r="C77" s="83" t="s">
        <v>85</v>
      </c>
      <c r="D77" s="84">
        <v>0</v>
      </c>
      <c r="E77" s="85" t="str">
        <f t="shared" si="8"/>
        <v/>
      </c>
      <c r="F77" s="106" t="str">
        <f t="shared" si="14"/>
        <v/>
      </c>
      <c r="G77" s="86"/>
      <c r="H77" s="107">
        <f t="shared" si="9"/>
        <v>0</v>
      </c>
      <c r="I77" s="107">
        <f t="shared" si="10"/>
        <v>0</v>
      </c>
      <c r="J77" s="87">
        <f>IF($D77&gt;0,IFERROR(Параметры!$D$42*$H77/$H$2408,0),0)</f>
        <v>0</v>
      </c>
      <c r="K77" s="87">
        <f>IFERROR(ROUND($N77*Параметры!$D$36,2),0)</f>
        <v>0</v>
      </c>
      <c r="L77" s="87">
        <f t="shared" si="11"/>
        <v>0</v>
      </c>
      <c r="M77" s="87">
        <f t="shared" si="12"/>
        <v>0</v>
      </c>
      <c r="N77" s="107" t="str">
        <f t="shared" si="13"/>
        <v/>
      </c>
    </row>
    <row r="78" spans="2:14" x14ac:dyDescent="0.25">
      <c r="B78" s="82">
        <f>SUBTOTAL(103,$D$8:D78)</f>
        <v>71</v>
      </c>
      <c r="C78" s="83" t="s">
        <v>86</v>
      </c>
      <c r="D78" s="84">
        <v>0</v>
      </c>
      <c r="E78" s="85" t="str">
        <f t="shared" si="8"/>
        <v/>
      </c>
      <c r="F78" s="106" t="str">
        <f t="shared" si="14"/>
        <v/>
      </c>
      <c r="G78" s="86"/>
      <c r="H78" s="107">
        <f t="shared" si="9"/>
        <v>0</v>
      </c>
      <c r="I78" s="107">
        <f t="shared" si="10"/>
        <v>0</v>
      </c>
      <c r="J78" s="87">
        <f>IF($D78&gt;0,IFERROR(Параметры!$D$42*$H78/$H$2408,0),0)</f>
        <v>0</v>
      </c>
      <c r="K78" s="87">
        <f>IFERROR(ROUND($N78*Параметры!$D$36,2),0)</f>
        <v>0</v>
      </c>
      <c r="L78" s="87">
        <f t="shared" si="11"/>
        <v>0</v>
      </c>
      <c r="M78" s="87">
        <f t="shared" si="12"/>
        <v>0</v>
      </c>
      <c r="N78" s="107" t="str">
        <f t="shared" si="13"/>
        <v/>
      </c>
    </row>
    <row r="79" spans="2:14" x14ac:dyDescent="0.25">
      <c r="B79" s="82">
        <f>SUBTOTAL(103,$D$8:D79)</f>
        <v>72</v>
      </c>
      <c r="C79" s="83" t="s">
        <v>87</v>
      </c>
      <c r="D79" s="84">
        <v>0</v>
      </c>
      <c r="E79" s="85" t="str">
        <f t="shared" si="8"/>
        <v/>
      </c>
      <c r="F79" s="106" t="str">
        <f t="shared" si="14"/>
        <v/>
      </c>
      <c r="G79" s="86"/>
      <c r="H79" s="107">
        <f t="shared" si="9"/>
        <v>0</v>
      </c>
      <c r="I79" s="107">
        <f t="shared" si="10"/>
        <v>0</v>
      </c>
      <c r="J79" s="87">
        <f>IF($D79&gt;0,IFERROR(Параметры!$D$42*$H79/$H$2408,0),0)</f>
        <v>0</v>
      </c>
      <c r="K79" s="87">
        <f>IFERROR(ROUND($N79*Параметры!$D$36,2),0)</f>
        <v>0</v>
      </c>
      <c r="L79" s="87">
        <f t="shared" si="11"/>
        <v>0</v>
      </c>
      <c r="M79" s="87">
        <f t="shared" si="12"/>
        <v>0</v>
      </c>
      <c r="N79" s="107" t="str">
        <f t="shared" si="13"/>
        <v/>
      </c>
    </row>
    <row r="80" spans="2:14" x14ac:dyDescent="0.25">
      <c r="B80" s="82">
        <f>SUBTOTAL(103,$D$8:D80)</f>
        <v>73</v>
      </c>
      <c r="C80" s="83" t="s">
        <v>88</v>
      </c>
      <c r="D80" s="84">
        <v>0</v>
      </c>
      <c r="E80" s="85" t="str">
        <f t="shared" si="8"/>
        <v/>
      </c>
      <c r="F80" s="106" t="str">
        <f t="shared" si="14"/>
        <v/>
      </c>
      <c r="G80" s="86"/>
      <c r="H80" s="107">
        <f t="shared" si="9"/>
        <v>0</v>
      </c>
      <c r="I80" s="107">
        <f t="shared" si="10"/>
        <v>0</v>
      </c>
      <c r="J80" s="87">
        <f>IF($D80&gt;0,IFERROR(Параметры!$D$42*$H80/$H$2408,0),0)</f>
        <v>0</v>
      </c>
      <c r="K80" s="87">
        <f>IFERROR(ROUND($N80*Параметры!$D$36,2),0)</f>
        <v>0</v>
      </c>
      <c r="L80" s="87">
        <f t="shared" si="11"/>
        <v>0</v>
      </c>
      <c r="M80" s="87">
        <f t="shared" si="12"/>
        <v>0</v>
      </c>
      <c r="N80" s="107" t="str">
        <f t="shared" si="13"/>
        <v/>
      </c>
    </row>
    <row r="81" spans="2:14" x14ac:dyDescent="0.25">
      <c r="B81" s="82">
        <f>SUBTOTAL(103,$D$8:D81)</f>
        <v>74</v>
      </c>
      <c r="C81" s="83" t="s">
        <v>89</v>
      </c>
      <c r="D81" s="84">
        <v>0</v>
      </c>
      <c r="E81" s="85" t="str">
        <f t="shared" si="8"/>
        <v/>
      </c>
      <c r="F81" s="106" t="str">
        <f t="shared" si="14"/>
        <v/>
      </c>
      <c r="G81" s="86"/>
      <c r="H81" s="107">
        <f t="shared" si="9"/>
        <v>0</v>
      </c>
      <c r="I81" s="107">
        <f t="shared" si="10"/>
        <v>0</v>
      </c>
      <c r="J81" s="87">
        <f>IF($D81&gt;0,IFERROR(Параметры!$D$42*$H81/$H$2408,0),0)</f>
        <v>0</v>
      </c>
      <c r="K81" s="87">
        <f>IFERROR(ROUND($N81*Параметры!$D$36,2),0)</f>
        <v>0</v>
      </c>
      <c r="L81" s="87">
        <f t="shared" si="11"/>
        <v>0</v>
      </c>
      <c r="M81" s="87">
        <f t="shared" si="12"/>
        <v>0</v>
      </c>
      <c r="N81" s="107" t="str">
        <f t="shared" si="13"/>
        <v/>
      </c>
    </row>
    <row r="82" spans="2:14" x14ac:dyDescent="0.25">
      <c r="B82" s="82">
        <f>SUBTOTAL(103,$D$8:D82)</f>
        <v>75</v>
      </c>
      <c r="C82" s="83" t="s">
        <v>90</v>
      </c>
      <c r="D82" s="84">
        <v>0</v>
      </c>
      <c r="E82" s="85" t="str">
        <f t="shared" si="8"/>
        <v/>
      </c>
      <c r="F82" s="106" t="str">
        <f t="shared" si="14"/>
        <v/>
      </c>
      <c r="G82" s="86"/>
      <c r="H82" s="107">
        <f t="shared" si="9"/>
        <v>0</v>
      </c>
      <c r="I82" s="107">
        <f t="shared" si="10"/>
        <v>0</v>
      </c>
      <c r="J82" s="87">
        <f>IF($D82&gt;0,IFERROR(Параметры!$D$42*$H82/$H$2408,0),0)</f>
        <v>0</v>
      </c>
      <c r="K82" s="87">
        <f>IFERROR(ROUND($N82*Параметры!$D$36,2),0)</f>
        <v>0</v>
      </c>
      <c r="L82" s="87">
        <f t="shared" si="11"/>
        <v>0</v>
      </c>
      <c r="M82" s="87">
        <f t="shared" si="12"/>
        <v>0</v>
      </c>
      <c r="N82" s="107" t="str">
        <f t="shared" si="13"/>
        <v/>
      </c>
    </row>
    <row r="83" spans="2:14" x14ac:dyDescent="0.25">
      <c r="B83" s="82">
        <f>SUBTOTAL(103,$D$8:D83)</f>
        <v>76</v>
      </c>
      <c r="C83" s="83" t="s">
        <v>91</v>
      </c>
      <c r="D83" s="84">
        <v>0</v>
      </c>
      <c r="E83" s="85" t="str">
        <f t="shared" si="8"/>
        <v/>
      </c>
      <c r="F83" s="106" t="str">
        <f t="shared" si="14"/>
        <v/>
      </c>
      <c r="G83" s="86"/>
      <c r="H83" s="107">
        <f t="shared" si="9"/>
        <v>0</v>
      </c>
      <c r="I83" s="107">
        <f t="shared" si="10"/>
        <v>0</v>
      </c>
      <c r="J83" s="87">
        <f>IF($D83&gt;0,IFERROR(Параметры!$D$42*$H83/$H$2408,0),0)</f>
        <v>0</v>
      </c>
      <c r="K83" s="87">
        <f>IFERROR(ROUND($N83*Параметры!$D$36,2),0)</f>
        <v>0</v>
      </c>
      <c r="L83" s="87">
        <f t="shared" si="11"/>
        <v>0</v>
      </c>
      <c r="M83" s="87">
        <f t="shared" si="12"/>
        <v>0</v>
      </c>
      <c r="N83" s="107" t="str">
        <f t="shared" si="13"/>
        <v/>
      </c>
    </row>
    <row r="84" spans="2:14" x14ac:dyDescent="0.25">
      <c r="B84" s="82">
        <f>SUBTOTAL(103,$D$8:D84)</f>
        <v>77</v>
      </c>
      <c r="C84" s="83" t="s">
        <v>92</v>
      </c>
      <c r="D84" s="84">
        <v>0</v>
      </c>
      <c r="E84" s="85" t="str">
        <f t="shared" si="8"/>
        <v/>
      </c>
      <c r="F84" s="106" t="str">
        <f t="shared" si="14"/>
        <v/>
      </c>
      <c r="G84" s="86"/>
      <c r="H84" s="107">
        <f t="shared" si="9"/>
        <v>0</v>
      </c>
      <c r="I84" s="107">
        <f t="shared" si="10"/>
        <v>0</v>
      </c>
      <c r="J84" s="87">
        <f>IF($D84&gt;0,IFERROR(Параметры!$D$42*$H84/$H$2408,0),0)</f>
        <v>0</v>
      </c>
      <c r="K84" s="87">
        <f>IFERROR(ROUND($N84*Параметры!$D$36,2),0)</f>
        <v>0</v>
      </c>
      <c r="L84" s="87">
        <f t="shared" si="11"/>
        <v>0</v>
      </c>
      <c r="M84" s="87">
        <f t="shared" si="12"/>
        <v>0</v>
      </c>
      <c r="N84" s="107" t="str">
        <f t="shared" si="13"/>
        <v/>
      </c>
    </row>
    <row r="85" spans="2:14" x14ac:dyDescent="0.25">
      <c r="B85" s="82">
        <f>SUBTOTAL(103,$D$8:D85)</f>
        <v>78</v>
      </c>
      <c r="C85" s="83" t="s">
        <v>93</v>
      </c>
      <c r="D85" s="84">
        <v>0</v>
      </c>
      <c r="E85" s="85" t="str">
        <f t="shared" si="8"/>
        <v/>
      </c>
      <c r="F85" s="106" t="str">
        <f t="shared" si="14"/>
        <v/>
      </c>
      <c r="G85" s="86"/>
      <c r="H85" s="107">
        <f t="shared" si="9"/>
        <v>0</v>
      </c>
      <c r="I85" s="107">
        <f t="shared" si="10"/>
        <v>0</v>
      </c>
      <c r="J85" s="87">
        <f>IF($D85&gt;0,IFERROR(Параметры!$D$42*$H85/$H$2408,0),0)</f>
        <v>0</v>
      </c>
      <c r="K85" s="87">
        <f>IFERROR(ROUND($N85*Параметры!$D$36,2),0)</f>
        <v>0</v>
      </c>
      <c r="L85" s="87">
        <f t="shared" si="11"/>
        <v>0</v>
      </c>
      <c r="M85" s="87">
        <f t="shared" si="12"/>
        <v>0</v>
      </c>
      <c r="N85" s="107" t="str">
        <f t="shared" si="13"/>
        <v/>
      </c>
    </row>
    <row r="86" spans="2:14" x14ac:dyDescent="0.25">
      <c r="B86" s="82">
        <f>SUBTOTAL(103,$D$8:D86)</f>
        <v>79</v>
      </c>
      <c r="C86" s="83" t="s">
        <v>94</v>
      </c>
      <c r="D86" s="84">
        <v>0</v>
      </c>
      <c r="E86" s="85" t="str">
        <f t="shared" si="8"/>
        <v/>
      </c>
      <c r="F86" s="106" t="str">
        <f t="shared" si="14"/>
        <v/>
      </c>
      <c r="G86" s="86"/>
      <c r="H86" s="107">
        <f t="shared" si="9"/>
        <v>0</v>
      </c>
      <c r="I86" s="107">
        <f t="shared" si="10"/>
        <v>0</v>
      </c>
      <c r="J86" s="87">
        <f>IF($D86&gt;0,IFERROR(Параметры!$D$42*$H86/$H$2408,0),0)</f>
        <v>0</v>
      </c>
      <c r="K86" s="87">
        <f>IFERROR(ROUND($N86*Параметры!$D$36,2),0)</f>
        <v>0</v>
      </c>
      <c r="L86" s="87">
        <f t="shared" si="11"/>
        <v>0</v>
      </c>
      <c r="M86" s="87">
        <f t="shared" si="12"/>
        <v>0</v>
      </c>
      <c r="N86" s="107" t="str">
        <f t="shared" si="13"/>
        <v/>
      </c>
    </row>
    <row r="87" spans="2:14" x14ac:dyDescent="0.25">
      <c r="B87" s="82">
        <f>SUBTOTAL(103,$D$8:D87)</f>
        <v>80</v>
      </c>
      <c r="C87" s="83" t="s">
        <v>95</v>
      </c>
      <c r="D87" s="84">
        <v>0</v>
      </c>
      <c r="E87" s="85" t="str">
        <f t="shared" si="8"/>
        <v/>
      </c>
      <c r="F87" s="106" t="str">
        <f t="shared" si="14"/>
        <v/>
      </c>
      <c r="G87" s="86"/>
      <c r="H87" s="107">
        <f t="shared" si="9"/>
        <v>0</v>
      </c>
      <c r="I87" s="107">
        <f t="shared" si="10"/>
        <v>0</v>
      </c>
      <c r="J87" s="87">
        <f>IF($D87&gt;0,IFERROR(Параметры!$D$42*$H87/$H$2408,0),0)</f>
        <v>0</v>
      </c>
      <c r="K87" s="87">
        <f>IFERROR(ROUND($N87*Параметры!$D$36,2),0)</f>
        <v>0</v>
      </c>
      <c r="L87" s="87">
        <f t="shared" si="11"/>
        <v>0</v>
      </c>
      <c r="M87" s="87">
        <f t="shared" si="12"/>
        <v>0</v>
      </c>
      <c r="N87" s="107" t="str">
        <f t="shared" si="13"/>
        <v/>
      </c>
    </row>
    <row r="88" spans="2:14" x14ac:dyDescent="0.25">
      <c r="B88" s="82">
        <f>SUBTOTAL(103,$D$8:D88)</f>
        <v>81</v>
      </c>
      <c r="C88" s="83" t="s">
        <v>96</v>
      </c>
      <c r="D88" s="84">
        <v>0</v>
      </c>
      <c r="E88" s="85" t="str">
        <f t="shared" si="8"/>
        <v/>
      </c>
      <c r="F88" s="106" t="str">
        <f t="shared" si="14"/>
        <v/>
      </c>
      <c r="G88" s="86"/>
      <c r="H88" s="107">
        <f t="shared" si="9"/>
        <v>0</v>
      </c>
      <c r="I88" s="107">
        <f t="shared" si="10"/>
        <v>0</v>
      </c>
      <c r="J88" s="87">
        <f>IF($D88&gt;0,IFERROR(Параметры!$D$42*$H88/$H$2408,0),0)</f>
        <v>0</v>
      </c>
      <c r="K88" s="87">
        <f>IFERROR(ROUND($N88*Параметры!$D$36,2),0)</f>
        <v>0</v>
      </c>
      <c r="L88" s="87">
        <f t="shared" si="11"/>
        <v>0</v>
      </c>
      <c r="M88" s="87">
        <f t="shared" si="12"/>
        <v>0</v>
      </c>
      <c r="N88" s="107" t="str">
        <f t="shared" si="13"/>
        <v/>
      </c>
    </row>
    <row r="89" spans="2:14" x14ac:dyDescent="0.25">
      <c r="B89" s="82">
        <f>SUBTOTAL(103,$D$8:D89)</f>
        <v>82</v>
      </c>
      <c r="C89" s="83" t="s">
        <v>97</v>
      </c>
      <c r="D89" s="84">
        <v>0</v>
      </c>
      <c r="E89" s="85" t="str">
        <f t="shared" si="8"/>
        <v/>
      </c>
      <c r="F89" s="106" t="str">
        <f t="shared" si="14"/>
        <v/>
      </c>
      <c r="G89" s="86"/>
      <c r="H89" s="107">
        <f t="shared" si="9"/>
        <v>0</v>
      </c>
      <c r="I89" s="107">
        <f t="shared" si="10"/>
        <v>0</v>
      </c>
      <c r="J89" s="87">
        <f>IF($D89&gt;0,IFERROR(Параметры!$D$42*$H89/$H$2408,0),0)</f>
        <v>0</v>
      </c>
      <c r="K89" s="87">
        <f>IFERROR(ROUND($N89*Параметры!$D$36,2),0)</f>
        <v>0</v>
      </c>
      <c r="L89" s="87">
        <f t="shared" si="11"/>
        <v>0</v>
      </c>
      <c r="M89" s="87">
        <f t="shared" si="12"/>
        <v>0</v>
      </c>
      <c r="N89" s="107" t="str">
        <f t="shared" si="13"/>
        <v/>
      </c>
    </row>
    <row r="90" spans="2:14" x14ac:dyDescent="0.25">
      <c r="B90" s="82">
        <f>SUBTOTAL(103,$D$8:D90)</f>
        <v>83</v>
      </c>
      <c r="C90" s="83" t="s">
        <v>98</v>
      </c>
      <c r="D90" s="84">
        <v>0</v>
      </c>
      <c r="E90" s="85" t="str">
        <f t="shared" si="8"/>
        <v/>
      </c>
      <c r="F90" s="106" t="str">
        <f t="shared" si="14"/>
        <v/>
      </c>
      <c r="G90" s="86"/>
      <c r="H90" s="107">
        <f t="shared" si="9"/>
        <v>0</v>
      </c>
      <c r="I90" s="107">
        <f t="shared" si="10"/>
        <v>0</v>
      </c>
      <c r="J90" s="87">
        <f>IF($D90&gt;0,IFERROR(Параметры!$D$42*$H90/$H$2408,0),0)</f>
        <v>0</v>
      </c>
      <c r="K90" s="87">
        <f>IFERROR(ROUND($N90*Параметры!$D$36,2),0)</f>
        <v>0</v>
      </c>
      <c r="L90" s="87">
        <f t="shared" si="11"/>
        <v>0</v>
      </c>
      <c r="M90" s="87">
        <f t="shared" si="12"/>
        <v>0</v>
      </c>
      <c r="N90" s="107" t="str">
        <f t="shared" si="13"/>
        <v/>
      </c>
    </row>
    <row r="91" spans="2:14" x14ac:dyDescent="0.25">
      <c r="B91" s="82">
        <f>SUBTOTAL(103,$D$8:D91)</f>
        <v>84</v>
      </c>
      <c r="C91" s="83" t="s">
        <v>99</v>
      </c>
      <c r="D91" s="84">
        <v>0</v>
      </c>
      <c r="E91" s="85" t="str">
        <f t="shared" si="8"/>
        <v/>
      </c>
      <c r="F91" s="106" t="str">
        <f t="shared" si="14"/>
        <v/>
      </c>
      <c r="G91" s="86"/>
      <c r="H91" s="107">
        <f t="shared" si="9"/>
        <v>0</v>
      </c>
      <c r="I91" s="107">
        <f t="shared" si="10"/>
        <v>0</v>
      </c>
      <c r="J91" s="87">
        <f>IF($D91&gt;0,IFERROR(Параметры!$D$42*$H91/$H$2408,0),0)</f>
        <v>0</v>
      </c>
      <c r="K91" s="87">
        <f>IFERROR(ROUND($N91*Параметры!$D$36,2),0)</f>
        <v>0</v>
      </c>
      <c r="L91" s="87">
        <f t="shared" si="11"/>
        <v>0</v>
      </c>
      <c r="M91" s="87">
        <f t="shared" si="12"/>
        <v>0</v>
      </c>
      <c r="N91" s="107" t="str">
        <f t="shared" si="13"/>
        <v/>
      </c>
    </row>
    <row r="92" spans="2:14" x14ac:dyDescent="0.25">
      <c r="B92" s="82">
        <f>SUBTOTAL(103,$D$8:D92)</f>
        <v>85</v>
      </c>
      <c r="C92" s="83" t="s">
        <v>100</v>
      </c>
      <c r="D92" s="84">
        <v>0</v>
      </c>
      <c r="E92" s="85" t="str">
        <f t="shared" si="8"/>
        <v/>
      </c>
      <c r="F92" s="106" t="str">
        <f t="shared" si="14"/>
        <v/>
      </c>
      <c r="G92" s="86"/>
      <c r="H92" s="107">
        <f t="shared" si="9"/>
        <v>0</v>
      </c>
      <c r="I92" s="107">
        <f t="shared" si="10"/>
        <v>0</v>
      </c>
      <c r="J92" s="87">
        <f>IF($D92&gt;0,IFERROR(Параметры!$D$42*$H92/$H$2408,0),0)</f>
        <v>0</v>
      </c>
      <c r="K92" s="87">
        <f>IFERROR(ROUND($N92*Параметры!$D$36,2),0)</f>
        <v>0</v>
      </c>
      <c r="L92" s="87">
        <f t="shared" si="11"/>
        <v>0</v>
      </c>
      <c r="M92" s="87">
        <f t="shared" si="12"/>
        <v>0</v>
      </c>
      <c r="N92" s="107" t="str">
        <f t="shared" si="13"/>
        <v/>
      </c>
    </row>
    <row r="93" spans="2:14" x14ac:dyDescent="0.25">
      <c r="B93" s="82">
        <f>SUBTOTAL(103,$D$8:D93)</f>
        <v>86</v>
      </c>
      <c r="C93" s="83" t="s">
        <v>101</v>
      </c>
      <c r="D93" s="84">
        <v>0</v>
      </c>
      <c r="E93" s="85" t="str">
        <f t="shared" si="8"/>
        <v/>
      </c>
      <c r="F93" s="106" t="str">
        <f t="shared" si="14"/>
        <v/>
      </c>
      <c r="G93" s="86"/>
      <c r="H93" s="107">
        <f t="shared" si="9"/>
        <v>0</v>
      </c>
      <c r="I93" s="107">
        <f t="shared" si="10"/>
        <v>0</v>
      </c>
      <c r="J93" s="87">
        <f>IF($D93&gt;0,IFERROR(Параметры!$D$42*$H93/$H$2408,0),0)</f>
        <v>0</v>
      </c>
      <c r="K93" s="87">
        <f>IFERROR(ROUND($N93*Параметры!$D$36,2),0)</f>
        <v>0</v>
      </c>
      <c r="L93" s="87">
        <f t="shared" si="11"/>
        <v>0</v>
      </c>
      <c r="M93" s="87">
        <f t="shared" si="12"/>
        <v>0</v>
      </c>
      <c r="N93" s="107" t="str">
        <f t="shared" si="13"/>
        <v/>
      </c>
    </row>
    <row r="94" spans="2:14" x14ac:dyDescent="0.25">
      <c r="B94" s="82">
        <f>SUBTOTAL(103,$D$8:D94)</f>
        <v>87</v>
      </c>
      <c r="C94" s="83" t="s">
        <v>102</v>
      </c>
      <c r="D94" s="84">
        <v>0</v>
      </c>
      <c r="E94" s="85" t="str">
        <f t="shared" si="8"/>
        <v/>
      </c>
      <c r="F94" s="106" t="str">
        <f t="shared" si="14"/>
        <v/>
      </c>
      <c r="G94" s="86"/>
      <c r="H94" s="107">
        <f t="shared" si="9"/>
        <v>0</v>
      </c>
      <c r="I94" s="107">
        <f t="shared" si="10"/>
        <v>0</v>
      </c>
      <c r="J94" s="87">
        <f>IF($D94&gt;0,IFERROR(Параметры!$D$42*$H94/$H$2408,0),0)</f>
        <v>0</v>
      </c>
      <c r="K94" s="87">
        <f>IFERROR(ROUND($N94*Параметры!$D$36,2),0)</f>
        <v>0</v>
      </c>
      <c r="L94" s="87">
        <f t="shared" si="11"/>
        <v>0</v>
      </c>
      <c r="M94" s="87">
        <f t="shared" si="12"/>
        <v>0</v>
      </c>
      <c r="N94" s="107" t="str">
        <f t="shared" si="13"/>
        <v/>
      </c>
    </row>
    <row r="95" spans="2:14" x14ac:dyDescent="0.25">
      <c r="B95" s="82">
        <f>SUBTOTAL(103,$D$8:D95)</f>
        <v>88</v>
      </c>
      <c r="C95" s="83" t="s">
        <v>103</v>
      </c>
      <c r="D95" s="84">
        <v>0</v>
      </c>
      <c r="E95" s="85" t="str">
        <f t="shared" si="8"/>
        <v/>
      </c>
      <c r="F95" s="106" t="str">
        <f t="shared" si="14"/>
        <v/>
      </c>
      <c r="G95" s="86"/>
      <c r="H95" s="107">
        <f t="shared" si="9"/>
        <v>0</v>
      </c>
      <c r="I95" s="107">
        <f t="shared" si="10"/>
        <v>0</v>
      </c>
      <c r="J95" s="87">
        <f>IF($D95&gt;0,IFERROR(Параметры!$D$42*$H95/$H$2408,0),0)</f>
        <v>0</v>
      </c>
      <c r="K95" s="87">
        <f>IFERROR(ROUND($N95*Параметры!$D$36,2),0)</f>
        <v>0</v>
      </c>
      <c r="L95" s="87">
        <f t="shared" si="11"/>
        <v>0</v>
      </c>
      <c r="M95" s="87">
        <f t="shared" si="12"/>
        <v>0</v>
      </c>
      <c r="N95" s="107" t="str">
        <f t="shared" si="13"/>
        <v/>
      </c>
    </row>
    <row r="96" spans="2:14" x14ac:dyDescent="0.25">
      <c r="B96" s="82">
        <f>SUBTOTAL(103,$D$8:D96)</f>
        <v>89</v>
      </c>
      <c r="C96" s="83" t="s">
        <v>104</v>
      </c>
      <c r="D96" s="84">
        <v>0</v>
      </c>
      <c r="E96" s="85" t="str">
        <f t="shared" si="8"/>
        <v/>
      </c>
      <c r="F96" s="106" t="str">
        <f t="shared" si="14"/>
        <v/>
      </c>
      <c r="G96" s="86"/>
      <c r="H96" s="107">
        <f t="shared" si="9"/>
        <v>0</v>
      </c>
      <c r="I96" s="107">
        <f t="shared" si="10"/>
        <v>0</v>
      </c>
      <c r="J96" s="87">
        <f>IF($D96&gt;0,IFERROR(Параметры!$D$42*$H96/$H$2408,0),0)</f>
        <v>0</v>
      </c>
      <c r="K96" s="87">
        <f>IFERROR(ROUND($N96*Параметры!$D$36,2),0)</f>
        <v>0</v>
      </c>
      <c r="L96" s="87">
        <f t="shared" si="11"/>
        <v>0</v>
      </c>
      <c r="M96" s="87">
        <f t="shared" si="12"/>
        <v>0</v>
      </c>
      <c r="N96" s="107" t="str">
        <f t="shared" si="13"/>
        <v/>
      </c>
    </row>
    <row r="97" spans="2:14" x14ac:dyDescent="0.25">
      <c r="B97" s="82">
        <f>SUBTOTAL(103,$D$8:D97)</f>
        <v>90</v>
      </c>
      <c r="C97" s="83" t="s">
        <v>105</v>
      </c>
      <c r="D97" s="84">
        <v>0</v>
      </c>
      <c r="E97" s="85" t="str">
        <f t="shared" si="8"/>
        <v/>
      </c>
      <c r="F97" s="106" t="str">
        <f t="shared" si="14"/>
        <v/>
      </c>
      <c r="G97" s="86"/>
      <c r="H97" s="107">
        <f t="shared" si="9"/>
        <v>0</v>
      </c>
      <c r="I97" s="107">
        <f t="shared" si="10"/>
        <v>0</v>
      </c>
      <c r="J97" s="87">
        <f>IF($D97&gt;0,IFERROR(Параметры!$D$42*$H97/$H$2408,0),0)</f>
        <v>0</v>
      </c>
      <c r="K97" s="87">
        <f>IFERROR(ROUND($N97*Параметры!$D$36,2),0)</f>
        <v>0</v>
      </c>
      <c r="L97" s="87">
        <f t="shared" si="11"/>
        <v>0</v>
      </c>
      <c r="M97" s="87">
        <f t="shared" si="12"/>
        <v>0</v>
      </c>
      <c r="N97" s="107" t="str">
        <f t="shared" si="13"/>
        <v/>
      </c>
    </row>
    <row r="98" spans="2:14" x14ac:dyDescent="0.25">
      <c r="B98" s="82">
        <f>SUBTOTAL(103,$D$8:D98)</f>
        <v>91</v>
      </c>
      <c r="C98" s="83" t="s">
        <v>106</v>
      </c>
      <c r="D98" s="84">
        <v>0</v>
      </c>
      <c r="E98" s="85" t="str">
        <f t="shared" si="8"/>
        <v/>
      </c>
      <c r="F98" s="106" t="str">
        <f t="shared" si="14"/>
        <v/>
      </c>
      <c r="G98" s="86"/>
      <c r="H98" s="107">
        <f t="shared" si="9"/>
        <v>0</v>
      </c>
      <c r="I98" s="107">
        <f t="shared" si="10"/>
        <v>0</v>
      </c>
      <c r="J98" s="87">
        <f>IF($D98&gt;0,IFERROR(Параметры!$D$42*$H98/$H$2408,0),0)</f>
        <v>0</v>
      </c>
      <c r="K98" s="87">
        <f>IFERROR(ROUND($N98*Параметры!$D$36,2),0)</f>
        <v>0</v>
      </c>
      <c r="L98" s="87">
        <f t="shared" si="11"/>
        <v>0</v>
      </c>
      <c r="M98" s="87">
        <f t="shared" si="12"/>
        <v>0</v>
      </c>
      <c r="N98" s="107" t="str">
        <f t="shared" si="13"/>
        <v/>
      </c>
    </row>
    <row r="99" spans="2:14" x14ac:dyDescent="0.25">
      <c r="B99" s="82">
        <f>SUBTOTAL(103,$D$8:D99)</f>
        <v>92</v>
      </c>
      <c r="C99" s="83" t="s">
        <v>107</v>
      </c>
      <c r="D99" s="84">
        <v>0</v>
      </c>
      <c r="E99" s="85" t="str">
        <f t="shared" si="8"/>
        <v/>
      </c>
      <c r="F99" s="106" t="str">
        <f t="shared" si="14"/>
        <v/>
      </c>
      <c r="G99" s="86"/>
      <c r="H99" s="107">
        <f t="shared" si="9"/>
        <v>0</v>
      </c>
      <c r="I99" s="107">
        <f t="shared" si="10"/>
        <v>0</v>
      </c>
      <c r="J99" s="87">
        <f>IF($D99&gt;0,IFERROR(Параметры!$D$42*$H99/$H$2408,0),0)</f>
        <v>0</v>
      </c>
      <c r="K99" s="87">
        <f>IFERROR(ROUND($N99*Параметры!$D$36,2),0)</f>
        <v>0</v>
      </c>
      <c r="L99" s="87">
        <f t="shared" si="11"/>
        <v>0</v>
      </c>
      <c r="M99" s="87">
        <f t="shared" si="12"/>
        <v>0</v>
      </c>
      <c r="N99" s="107" t="str">
        <f t="shared" si="13"/>
        <v/>
      </c>
    </row>
    <row r="100" spans="2:14" x14ac:dyDescent="0.25">
      <c r="B100" s="82">
        <f>SUBTOTAL(103,$D$8:D100)</f>
        <v>93</v>
      </c>
      <c r="C100" s="83" t="s">
        <v>108</v>
      </c>
      <c r="D100" s="84">
        <v>0</v>
      </c>
      <c r="E100" s="85" t="str">
        <f t="shared" si="8"/>
        <v/>
      </c>
      <c r="F100" s="106" t="str">
        <f t="shared" si="14"/>
        <v/>
      </c>
      <c r="G100" s="86"/>
      <c r="H100" s="107">
        <f t="shared" si="9"/>
        <v>0</v>
      </c>
      <c r="I100" s="107">
        <f t="shared" si="10"/>
        <v>0</v>
      </c>
      <c r="J100" s="87">
        <f>IF($D100&gt;0,IFERROR(Параметры!$D$42*$H100/$H$2408,0),0)</f>
        <v>0</v>
      </c>
      <c r="K100" s="87">
        <f>IFERROR(ROUND($N100*Параметры!$D$36,2),0)</f>
        <v>0</v>
      </c>
      <c r="L100" s="87">
        <f t="shared" si="11"/>
        <v>0</v>
      </c>
      <c r="M100" s="87">
        <f t="shared" si="12"/>
        <v>0</v>
      </c>
      <c r="N100" s="107" t="str">
        <f t="shared" si="13"/>
        <v/>
      </c>
    </row>
    <row r="101" spans="2:14" x14ac:dyDescent="0.25">
      <c r="B101" s="82">
        <f>SUBTOTAL(103,$D$8:D101)</f>
        <v>94</v>
      </c>
      <c r="C101" s="83" t="s">
        <v>109</v>
      </c>
      <c r="D101" s="84">
        <v>0</v>
      </c>
      <c r="E101" s="85" t="str">
        <f t="shared" si="8"/>
        <v/>
      </c>
      <c r="F101" s="106" t="str">
        <f t="shared" si="14"/>
        <v/>
      </c>
      <c r="G101" s="86"/>
      <c r="H101" s="107">
        <f t="shared" si="9"/>
        <v>0</v>
      </c>
      <c r="I101" s="107">
        <f t="shared" si="10"/>
        <v>0</v>
      </c>
      <c r="J101" s="87">
        <f>IF($D101&gt;0,IFERROR(Параметры!$D$42*$H101/$H$2408,0),0)</f>
        <v>0</v>
      </c>
      <c r="K101" s="87">
        <f>IFERROR(ROUND($N101*Параметры!$D$36,2),0)</f>
        <v>0</v>
      </c>
      <c r="L101" s="87">
        <f t="shared" si="11"/>
        <v>0</v>
      </c>
      <c r="M101" s="87">
        <f t="shared" si="12"/>
        <v>0</v>
      </c>
      <c r="N101" s="107" t="str">
        <f t="shared" si="13"/>
        <v/>
      </c>
    </row>
    <row r="102" spans="2:14" x14ac:dyDescent="0.25">
      <c r="B102" s="82">
        <f>SUBTOTAL(103,$D$8:D102)</f>
        <v>95</v>
      </c>
      <c r="C102" s="83" t="s">
        <v>110</v>
      </c>
      <c r="D102" s="84">
        <v>0</v>
      </c>
      <c r="E102" s="85" t="str">
        <f t="shared" si="8"/>
        <v/>
      </c>
      <c r="F102" s="106" t="str">
        <f t="shared" si="14"/>
        <v/>
      </c>
      <c r="G102" s="86"/>
      <c r="H102" s="107">
        <f t="shared" si="9"/>
        <v>0</v>
      </c>
      <c r="I102" s="107">
        <f t="shared" si="10"/>
        <v>0</v>
      </c>
      <c r="J102" s="87">
        <f>IF($D102&gt;0,IFERROR(Параметры!$D$42*$H102/$H$2408,0),0)</f>
        <v>0</v>
      </c>
      <c r="K102" s="87">
        <f>IFERROR(ROUND($N102*Параметры!$D$36,2),0)</f>
        <v>0</v>
      </c>
      <c r="L102" s="87">
        <f t="shared" si="11"/>
        <v>0</v>
      </c>
      <c r="M102" s="87">
        <f t="shared" si="12"/>
        <v>0</v>
      </c>
      <c r="N102" s="107" t="str">
        <f t="shared" si="13"/>
        <v/>
      </c>
    </row>
    <row r="103" spans="2:14" x14ac:dyDescent="0.25">
      <c r="B103" s="82">
        <f>SUBTOTAL(103,$D$8:D103)</f>
        <v>96</v>
      </c>
      <c r="C103" s="83" t="s">
        <v>111</v>
      </c>
      <c r="D103" s="84">
        <v>0</v>
      </c>
      <c r="E103" s="85" t="str">
        <f t="shared" si="8"/>
        <v/>
      </c>
      <c r="F103" s="106" t="str">
        <f t="shared" si="14"/>
        <v/>
      </c>
      <c r="G103" s="86"/>
      <c r="H103" s="107">
        <f t="shared" si="9"/>
        <v>0</v>
      </c>
      <c r="I103" s="107">
        <f t="shared" si="10"/>
        <v>0</v>
      </c>
      <c r="J103" s="87">
        <f>IF($D103&gt;0,IFERROR(Параметры!$D$42*$H103/$H$2408,0),0)</f>
        <v>0</v>
      </c>
      <c r="K103" s="87">
        <f>IFERROR(ROUND($N103*Параметры!$D$36,2),0)</f>
        <v>0</v>
      </c>
      <c r="L103" s="87">
        <f t="shared" si="11"/>
        <v>0</v>
      </c>
      <c r="M103" s="87">
        <f t="shared" si="12"/>
        <v>0</v>
      </c>
      <c r="N103" s="107" t="str">
        <f t="shared" si="13"/>
        <v/>
      </c>
    </row>
    <row r="104" spans="2:14" x14ac:dyDescent="0.25">
      <c r="B104" s="82">
        <f>SUBTOTAL(103,$D$8:D104)</f>
        <v>97</v>
      </c>
      <c r="C104" s="83" t="s">
        <v>112</v>
      </c>
      <c r="D104" s="84">
        <v>0</v>
      </c>
      <c r="E104" s="85" t="str">
        <f t="shared" si="8"/>
        <v/>
      </c>
      <c r="F104" s="106" t="str">
        <f t="shared" si="14"/>
        <v/>
      </c>
      <c r="G104" s="86"/>
      <c r="H104" s="107">
        <f t="shared" si="9"/>
        <v>0</v>
      </c>
      <c r="I104" s="107">
        <f t="shared" si="10"/>
        <v>0</v>
      </c>
      <c r="J104" s="87">
        <f>IF($D104&gt;0,IFERROR(Параметры!$D$42*$H104/$H$2408,0),0)</f>
        <v>0</v>
      </c>
      <c r="K104" s="87">
        <f>IFERROR(ROUND($N104*Параметры!$D$36,2),0)</f>
        <v>0</v>
      </c>
      <c r="L104" s="87">
        <f t="shared" si="11"/>
        <v>0</v>
      </c>
      <c r="M104" s="87">
        <f t="shared" si="12"/>
        <v>0</v>
      </c>
      <c r="N104" s="107" t="str">
        <f t="shared" si="13"/>
        <v/>
      </c>
    </row>
    <row r="105" spans="2:14" x14ac:dyDescent="0.25">
      <c r="B105" s="82">
        <f>SUBTOTAL(103,$D$8:D105)</f>
        <v>98</v>
      </c>
      <c r="C105" s="83" t="s">
        <v>113</v>
      </c>
      <c r="D105" s="84">
        <v>0</v>
      </c>
      <c r="E105" s="85" t="str">
        <f t="shared" si="8"/>
        <v/>
      </c>
      <c r="F105" s="106" t="str">
        <f t="shared" si="14"/>
        <v/>
      </c>
      <c r="G105" s="86"/>
      <c r="H105" s="107">
        <f t="shared" si="9"/>
        <v>0</v>
      </c>
      <c r="I105" s="107">
        <f t="shared" si="10"/>
        <v>0</v>
      </c>
      <c r="J105" s="87">
        <f>IF($D105&gt;0,IFERROR(Параметры!$D$42*$H105/$H$2408,0),0)</f>
        <v>0</v>
      </c>
      <c r="K105" s="87">
        <f>IFERROR(ROUND($N105*Параметры!$D$36,2),0)</f>
        <v>0</v>
      </c>
      <c r="L105" s="87">
        <f t="shared" si="11"/>
        <v>0</v>
      </c>
      <c r="M105" s="87">
        <f t="shared" si="12"/>
        <v>0</v>
      </c>
      <c r="N105" s="107" t="str">
        <f t="shared" si="13"/>
        <v/>
      </c>
    </row>
    <row r="106" spans="2:14" x14ac:dyDescent="0.25">
      <c r="B106" s="82">
        <f>SUBTOTAL(103,$D$8:D106)</f>
        <v>99</v>
      </c>
      <c r="C106" s="83" t="s">
        <v>114</v>
      </c>
      <c r="D106" s="84">
        <v>0</v>
      </c>
      <c r="E106" s="85" t="str">
        <f t="shared" si="8"/>
        <v/>
      </c>
      <c r="F106" s="106" t="str">
        <f t="shared" si="14"/>
        <v/>
      </c>
      <c r="G106" s="86"/>
      <c r="H106" s="107">
        <f t="shared" si="9"/>
        <v>0</v>
      </c>
      <c r="I106" s="107">
        <f t="shared" si="10"/>
        <v>0</v>
      </c>
      <c r="J106" s="87">
        <f>IF($D106&gt;0,IFERROR(Параметры!$D$42*$H106/$H$2408,0),0)</f>
        <v>0</v>
      </c>
      <c r="K106" s="87">
        <f>IFERROR(ROUND($N106*Параметры!$D$36,2),0)</f>
        <v>0</v>
      </c>
      <c r="L106" s="87">
        <f t="shared" si="11"/>
        <v>0</v>
      </c>
      <c r="M106" s="87">
        <f t="shared" si="12"/>
        <v>0</v>
      </c>
      <c r="N106" s="107" t="str">
        <f t="shared" si="13"/>
        <v/>
      </c>
    </row>
    <row r="107" spans="2:14" x14ac:dyDescent="0.25">
      <c r="B107" s="82">
        <f>SUBTOTAL(103,$D$8:D107)</f>
        <v>100</v>
      </c>
      <c r="C107" s="83" t="s">
        <v>115</v>
      </c>
      <c r="D107" s="84">
        <v>0</v>
      </c>
      <c r="E107" s="85" t="str">
        <f t="shared" si="8"/>
        <v/>
      </c>
      <c r="F107" s="106" t="str">
        <f t="shared" si="14"/>
        <v/>
      </c>
      <c r="G107" s="86"/>
      <c r="H107" s="107">
        <f t="shared" si="9"/>
        <v>0</v>
      </c>
      <c r="I107" s="107">
        <f t="shared" si="10"/>
        <v>0</v>
      </c>
      <c r="J107" s="87">
        <f>IF($D107&gt;0,IFERROR(Параметры!$D$42*$H107/$H$2408,0),0)</f>
        <v>0</v>
      </c>
      <c r="K107" s="87">
        <f>IFERROR(ROUND($N107*Параметры!$D$36,2),0)</f>
        <v>0</v>
      </c>
      <c r="L107" s="87">
        <f t="shared" si="11"/>
        <v>0</v>
      </c>
      <c r="M107" s="87">
        <f t="shared" si="12"/>
        <v>0</v>
      </c>
      <c r="N107" s="107" t="str">
        <f t="shared" si="13"/>
        <v/>
      </c>
    </row>
    <row r="108" spans="2:14" x14ac:dyDescent="0.25">
      <c r="B108" s="82">
        <f>SUBTOTAL(103,$D$8:D108)</f>
        <v>101</v>
      </c>
      <c r="C108" s="83" t="s">
        <v>116</v>
      </c>
      <c r="D108" s="84">
        <v>0</v>
      </c>
      <c r="E108" s="85" t="str">
        <f t="shared" si="8"/>
        <v/>
      </c>
      <c r="F108" s="106" t="str">
        <f t="shared" si="14"/>
        <v/>
      </c>
      <c r="G108" s="86"/>
      <c r="H108" s="107">
        <f t="shared" si="9"/>
        <v>0</v>
      </c>
      <c r="I108" s="107">
        <f t="shared" si="10"/>
        <v>0</v>
      </c>
      <c r="J108" s="87">
        <f>IF($D108&gt;0,IFERROR(Параметры!$D$42*$H108/$H$2408,0),0)</f>
        <v>0</v>
      </c>
      <c r="K108" s="87">
        <f>IFERROR(ROUND($N108*Параметры!$D$36,2),0)</f>
        <v>0</v>
      </c>
      <c r="L108" s="87">
        <f t="shared" si="11"/>
        <v>0</v>
      </c>
      <c r="M108" s="87">
        <f t="shared" si="12"/>
        <v>0</v>
      </c>
      <c r="N108" s="107" t="str">
        <f t="shared" si="13"/>
        <v/>
      </c>
    </row>
    <row r="109" spans="2:14" x14ac:dyDescent="0.25">
      <c r="B109" s="82">
        <f>SUBTOTAL(103,$D$8:D109)</f>
        <v>102</v>
      </c>
      <c r="C109" s="83" t="s">
        <v>117</v>
      </c>
      <c r="D109" s="84">
        <v>0</v>
      </c>
      <c r="E109" s="85" t="str">
        <f t="shared" si="8"/>
        <v/>
      </c>
      <c r="F109" s="106" t="str">
        <f t="shared" si="14"/>
        <v/>
      </c>
      <c r="G109" s="86"/>
      <c r="H109" s="107">
        <f t="shared" si="9"/>
        <v>0</v>
      </c>
      <c r="I109" s="107">
        <f t="shared" si="10"/>
        <v>0</v>
      </c>
      <c r="J109" s="87">
        <f>IF($D109&gt;0,IFERROR(Параметры!$D$42*$H109/$H$2408,0),0)</f>
        <v>0</v>
      </c>
      <c r="K109" s="87">
        <f>IFERROR(ROUND($N109*Параметры!$D$36,2),0)</f>
        <v>0</v>
      </c>
      <c r="L109" s="87">
        <f t="shared" si="11"/>
        <v>0</v>
      </c>
      <c r="M109" s="87">
        <f t="shared" si="12"/>
        <v>0</v>
      </c>
      <c r="N109" s="107" t="str">
        <f t="shared" si="13"/>
        <v/>
      </c>
    </row>
    <row r="110" spans="2:14" x14ac:dyDescent="0.25">
      <c r="B110" s="82">
        <f>SUBTOTAL(103,$D$8:D110)</f>
        <v>103</v>
      </c>
      <c r="C110" s="83" t="s">
        <v>118</v>
      </c>
      <c r="D110" s="84">
        <v>0</v>
      </c>
      <c r="E110" s="85" t="str">
        <f t="shared" si="8"/>
        <v/>
      </c>
      <c r="F110" s="106" t="str">
        <f t="shared" si="14"/>
        <v/>
      </c>
      <c r="G110" s="86"/>
      <c r="H110" s="107">
        <f t="shared" si="9"/>
        <v>0</v>
      </c>
      <c r="I110" s="107">
        <f t="shared" si="10"/>
        <v>0</v>
      </c>
      <c r="J110" s="87">
        <f>IF($D110&gt;0,IFERROR(Параметры!$D$42*$H110/$H$2408,0),0)</f>
        <v>0</v>
      </c>
      <c r="K110" s="87">
        <f>IFERROR(ROUND($N110*Параметры!$D$36,2),0)</f>
        <v>0</v>
      </c>
      <c r="L110" s="87">
        <f t="shared" si="11"/>
        <v>0</v>
      </c>
      <c r="M110" s="87">
        <f t="shared" si="12"/>
        <v>0</v>
      </c>
      <c r="N110" s="107" t="str">
        <f t="shared" si="13"/>
        <v/>
      </c>
    </row>
    <row r="111" spans="2:14" x14ac:dyDescent="0.25">
      <c r="B111" s="82">
        <f>SUBTOTAL(103,$D$8:D111)</f>
        <v>104</v>
      </c>
      <c r="C111" s="83" t="s">
        <v>119</v>
      </c>
      <c r="D111" s="84">
        <v>0</v>
      </c>
      <c r="E111" s="85" t="str">
        <f t="shared" si="8"/>
        <v/>
      </c>
      <c r="F111" s="106" t="str">
        <f t="shared" si="14"/>
        <v/>
      </c>
      <c r="G111" s="86"/>
      <c r="H111" s="107">
        <f t="shared" si="9"/>
        <v>0</v>
      </c>
      <c r="I111" s="107">
        <f t="shared" si="10"/>
        <v>0</v>
      </c>
      <c r="J111" s="87">
        <f>IF($D111&gt;0,IFERROR(Параметры!$D$42*$H111/$H$2408,0),0)</f>
        <v>0</v>
      </c>
      <c r="K111" s="87">
        <f>IFERROR(ROUND($N111*Параметры!$D$36,2),0)</f>
        <v>0</v>
      </c>
      <c r="L111" s="87">
        <f t="shared" si="11"/>
        <v>0</v>
      </c>
      <c r="M111" s="87">
        <f t="shared" si="12"/>
        <v>0</v>
      </c>
      <c r="N111" s="107" t="str">
        <f t="shared" si="13"/>
        <v/>
      </c>
    </row>
    <row r="112" spans="2:14" x14ac:dyDescent="0.25">
      <c r="B112" s="82">
        <f>SUBTOTAL(103,$D$8:D112)</f>
        <v>105</v>
      </c>
      <c r="C112" s="83" t="s">
        <v>120</v>
      </c>
      <c r="D112" s="84">
        <v>0</v>
      </c>
      <c r="E112" s="85" t="str">
        <f t="shared" si="8"/>
        <v/>
      </c>
      <c r="F112" s="106" t="str">
        <f t="shared" si="14"/>
        <v/>
      </c>
      <c r="G112" s="86"/>
      <c r="H112" s="107">
        <f t="shared" si="9"/>
        <v>0</v>
      </c>
      <c r="I112" s="107">
        <f t="shared" si="10"/>
        <v>0</v>
      </c>
      <c r="J112" s="87">
        <f>IF($D112&gt;0,IFERROR(Параметры!$D$42*$H112/$H$2408,0),0)</f>
        <v>0</v>
      </c>
      <c r="K112" s="87">
        <f>IFERROR(ROUND($N112*Параметры!$D$36,2),0)</f>
        <v>0</v>
      </c>
      <c r="L112" s="87">
        <f t="shared" si="11"/>
        <v>0</v>
      </c>
      <c r="M112" s="87">
        <f t="shared" si="12"/>
        <v>0</v>
      </c>
      <c r="N112" s="107" t="str">
        <f t="shared" si="13"/>
        <v/>
      </c>
    </row>
    <row r="113" spans="2:14" x14ac:dyDescent="0.25">
      <c r="B113" s="82">
        <f>SUBTOTAL(103,$D$8:D113)</f>
        <v>106</v>
      </c>
      <c r="C113" s="83" t="s">
        <v>121</v>
      </c>
      <c r="D113" s="84">
        <v>0</v>
      </c>
      <c r="E113" s="85" t="str">
        <f t="shared" si="8"/>
        <v/>
      </c>
      <c r="F113" s="106" t="str">
        <f t="shared" si="14"/>
        <v/>
      </c>
      <c r="G113" s="86"/>
      <c r="H113" s="107">
        <f t="shared" si="9"/>
        <v>0</v>
      </c>
      <c r="I113" s="107">
        <f t="shared" si="10"/>
        <v>0</v>
      </c>
      <c r="J113" s="87">
        <f>IF($D113&gt;0,IFERROR(Параметры!$D$42*$H113/$H$2408,0),0)</f>
        <v>0</v>
      </c>
      <c r="K113" s="87">
        <f>IFERROR(ROUND($N113*Параметры!$D$36,2),0)</f>
        <v>0</v>
      </c>
      <c r="L113" s="87">
        <f t="shared" si="11"/>
        <v>0</v>
      </c>
      <c r="M113" s="87">
        <f t="shared" si="12"/>
        <v>0</v>
      </c>
      <c r="N113" s="107" t="str">
        <f t="shared" si="13"/>
        <v/>
      </c>
    </row>
    <row r="114" spans="2:14" x14ac:dyDescent="0.25">
      <c r="B114" s="82">
        <f>SUBTOTAL(103,$D$8:D114)</f>
        <v>107</v>
      </c>
      <c r="C114" s="83" t="s">
        <v>122</v>
      </c>
      <c r="D114" s="84">
        <v>0</v>
      </c>
      <c r="E114" s="85" t="str">
        <f t="shared" si="8"/>
        <v/>
      </c>
      <c r="F114" s="106" t="str">
        <f t="shared" si="14"/>
        <v/>
      </c>
      <c r="G114" s="86"/>
      <c r="H114" s="107">
        <f t="shared" si="9"/>
        <v>0</v>
      </c>
      <c r="I114" s="107">
        <f t="shared" si="10"/>
        <v>0</v>
      </c>
      <c r="J114" s="87">
        <f>IF($D114&gt;0,IFERROR(Параметры!$D$42*$H114/$H$2408,0),0)</f>
        <v>0</v>
      </c>
      <c r="K114" s="87">
        <f>IFERROR(ROUND($N114*Параметры!$D$36,2),0)</f>
        <v>0</v>
      </c>
      <c r="L114" s="87">
        <f t="shared" si="11"/>
        <v>0</v>
      </c>
      <c r="M114" s="87">
        <f t="shared" si="12"/>
        <v>0</v>
      </c>
      <c r="N114" s="107" t="str">
        <f t="shared" si="13"/>
        <v/>
      </c>
    </row>
    <row r="115" spans="2:14" x14ac:dyDescent="0.25">
      <c r="B115" s="82">
        <f>SUBTOTAL(103,$D$8:D115)</f>
        <v>108</v>
      </c>
      <c r="C115" s="83" t="s">
        <v>123</v>
      </c>
      <c r="D115" s="84">
        <v>0</v>
      </c>
      <c r="E115" s="85" t="str">
        <f t="shared" si="8"/>
        <v/>
      </c>
      <c r="F115" s="106" t="str">
        <f t="shared" si="14"/>
        <v/>
      </c>
      <c r="G115" s="86"/>
      <c r="H115" s="107">
        <f t="shared" si="9"/>
        <v>0</v>
      </c>
      <c r="I115" s="107">
        <f t="shared" si="10"/>
        <v>0</v>
      </c>
      <c r="J115" s="87">
        <f>IF($D115&gt;0,IFERROR(Параметры!$D$42*$H115/$H$2408,0),0)</f>
        <v>0</v>
      </c>
      <c r="K115" s="87">
        <f>IFERROR(ROUND($N115*Параметры!$D$36,2),0)</f>
        <v>0</v>
      </c>
      <c r="L115" s="87">
        <f t="shared" si="11"/>
        <v>0</v>
      </c>
      <c r="M115" s="87">
        <f t="shared" si="12"/>
        <v>0</v>
      </c>
      <c r="N115" s="107" t="str">
        <f t="shared" si="13"/>
        <v/>
      </c>
    </row>
    <row r="116" spans="2:14" x14ac:dyDescent="0.25">
      <c r="B116" s="82">
        <f>SUBTOTAL(103,$D$8:D116)</f>
        <v>109</v>
      </c>
      <c r="C116" s="83" t="s">
        <v>124</v>
      </c>
      <c r="D116" s="84">
        <v>0</v>
      </c>
      <c r="E116" s="85" t="str">
        <f t="shared" si="8"/>
        <v/>
      </c>
      <c r="F116" s="106" t="str">
        <f t="shared" si="14"/>
        <v/>
      </c>
      <c r="G116" s="86"/>
      <c r="H116" s="107">
        <f t="shared" si="9"/>
        <v>0</v>
      </c>
      <c r="I116" s="107">
        <f t="shared" si="10"/>
        <v>0</v>
      </c>
      <c r="J116" s="87">
        <f>IF($D116&gt;0,IFERROR(Параметры!$D$42*$H116/$H$2408,0),0)</f>
        <v>0</v>
      </c>
      <c r="K116" s="87">
        <f>IFERROR(ROUND($N116*Параметры!$D$36,2),0)</f>
        <v>0</v>
      </c>
      <c r="L116" s="87">
        <f t="shared" si="11"/>
        <v>0</v>
      </c>
      <c r="M116" s="87">
        <f t="shared" si="12"/>
        <v>0</v>
      </c>
      <c r="N116" s="107" t="str">
        <f t="shared" si="13"/>
        <v/>
      </c>
    </row>
    <row r="117" spans="2:14" x14ac:dyDescent="0.25">
      <c r="B117" s="82">
        <f>SUBTOTAL(103,$D$8:D117)</f>
        <v>110</v>
      </c>
      <c r="C117" s="83" t="s">
        <v>125</v>
      </c>
      <c r="D117" s="84">
        <v>0</v>
      </c>
      <c r="E117" s="85" t="str">
        <f t="shared" si="8"/>
        <v/>
      </c>
      <c r="F117" s="106" t="str">
        <f t="shared" si="14"/>
        <v/>
      </c>
      <c r="G117" s="86"/>
      <c r="H117" s="107">
        <f t="shared" si="9"/>
        <v>0</v>
      </c>
      <c r="I117" s="107">
        <f t="shared" si="10"/>
        <v>0</v>
      </c>
      <c r="J117" s="87">
        <f>IF($D117&gt;0,IFERROR(Параметры!$D$42*$H117/$H$2408,0),0)</f>
        <v>0</v>
      </c>
      <c r="K117" s="87">
        <f>IFERROR(ROUND($N117*Параметры!$D$36,2),0)</f>
        <v>0</v>
      </c>
      <c r="L117" s="87">
        <f t="shared" si="11"/>
        <v>0</v>
      </c>
      <c r="M117" s="87">
        <f t="shared" si="12"/>
        <v>0</v>
      </c>
      <c r="N117" s="107" t="str">
        <f t="shared" si="13"/>
        <v/>
      </c>
    </row>
    <row r="118" spans="2:14" x14ac:dyDescent="0.25">
      <c r="B118" s="82">
        <f>SUBTOTAL(103,$D$8:D118)</f>
        <v>111</v>
      </c>
      <c r="C118" s="83" t="s">
        <v>126</v>
      </c>
      <c r="D118" s="84">
        <v>0</v>
      </c>
      <c r="E118" s="85" t="str">
        <f t="shared" si="8"/>
        <v/>
      </c>
      <c r="F118" s="106" t="str">
        <f t="shared" si="14"/>
        <v/>
      </c>
      <c r="G118" s="86"/>
      <c r="H118" s="107">
        <f t="shared" si="9"/>
        <v>0</v>
      </c>
      <c r="I118" s="107">
        <f t="shared" si="10"/>
        <v>0</v>
      </c>
      <c r="J118" s="87">
        <f>IF($D118&gt;0,IFERROR(Параметры!$D$42*$H118/$H$2408,0),0)</f>
        <v>0</v>
      </c>
      <c r="K118" s="87">
        <f>IFERROR(ROUND($N118*Параметры!$D$36,2),0)</f>
        <v>0</v>
      </c>
      <c r="L118" s="87">
        <f t="shared" si="11"/>
        <v>0</v>
      </c>
      <c r="M118" s="87">
        <f t="shared" si="12"/>
        <v>0</v>
      </c>
      <c r="N118" s="107" t="str">
        <f t="shared" si="13"/>
        <v/>
      </c>
    </row>
    <row r="119" spans="2:14" x14ac:dyDescent="0.25">
      <c r="B119" s="82">
        <f>SUBTOTAL(103,$D$8:D119)</f>
        <v>112</v>
      </c>
      <c r="C119" s="83" t="s">
        <v>127</v>
      </c>
      <c r="D119" s="84">
        <v>0</v>
      </c>
      <c r="E119" s="85" t="str">
        <f t="shared" si="8"/>
        <v/>
      </c>
      <c r="F119" s="106" t="str">
        <f t="shared" si="14"/>
        <v/>
      </c>
      <c r="G119" s="86"/>
      <c r="H119" s="107">
        <f t="shared" si="9"/>
        <v>0</v>
      </c>
      <c r="I119" s="107">
        <f t="shared" si="10"/>
        <v>0</v>
      </c>
      <c r="J119" s="87">
        <f>IF($D119&gt;0,IFERROR(Параметры!$D$42*$H119/$H$2408,0),0)</f>
        <v>0</v>
      </c>
      <c r="K119" s="87">
        <f>IFERROR(ROUND($N119*Параметры!$D$36,2),0)</f>
        <v>0</v>
      </c>
      <c r="L119" s="87">
        <f t="shared" si="11"/>
        <v>0</v>
      </c>
      <c r="M119" s="87">
        <f t="shared" si="12"/>
        <v>0</v>
      </c>
      <c r="N119" s="107" t="str">
        <f t="shared" si="13"/>
        <v/>
      </c>
    </row>
    <row r="120" spans="2:14" x14ac:dyDescent="0.25">
      <c r="B120" s="82">
        <f>SUBTOTAL(103,$D$8:D120)</f>
        <v>113</v>
      </c>
      <c r="C120" s="83" t="s">
        <v>128</v>
      </c>
      <c r="D120" s="84">
        <v>0</v>
      </c>
      <c r="E120" s="85" t="str">
        <f t="shared" si="8"/>
        <v/>
      </c>
      <c r="F120" s="106" t="str">
        <f t="shared" si="14"/>
        <v/>
      </c>
      <c r="G120" s="86"/>
      <c r="H120" s="107">
        <f t="shared" si="9"/>
        <v>0</v>
      </c>
      <c r="I120" s="107">
        <f t="shared" si="10"/>
        <v>0</v>
      </c>
      <c r="J120" s="87">
        <f>IF($D120&gt;0,IFERROR(Параметры!$D$42*$H120/$H$2408,0),0)</f>
        <v>0</v>
      </c>
      <c r="K120" s="87">
        <f>IFERROR(ROUND($N120*Параметры!$D$36,2),0)</f>
        <v>0</v>
      </c>
      <c r="L120" s="87">
        <f t="shared" si="11"/>
        <v>0</v>
      </c>
      <c r="M120" s="87">
        <f t="shared" si="12"/>
        <v>0</v>
      </c>
      <c r="N120" s="107" t="str">
        <f t="shared" si="13"/>
        <v/>
      </c>
    </row>
    <row r="121" spans="2:14" x14ac:dyDescent="0.25">
      <c r="B121" s="82">
        <f>SUBTOTAL(103,$D$8:D121)</f>
        <v>114</v>
      </c>
      <c r="C121" s="83" t="s">
        <v>129</v>
      </c>
      <c r="D121" s="84">
        <v>0</v>
      </c>
      <c r="E121" s="85" t="str">
        <f t="shared" si="8"/>
        <v/>
      </c>
      <c r="F121" s="106" t="str">
        <f t="shared" si="14"/>
        <v/>
      </c>
      <c r="G121" s="86"/>
      <c r="H121" s="107">
        <f t="shared" si="9"/>
        <v>0</v>
      </c>
      <c r="I121" s="107">
        <f t="shared" si="10"/>
        <v>0</v>
      </c>
      <c r="J121" s="87">
        <f>IF($D121&gt;0,IFERROR(Параметры!$D$42*$H121/$H$2408,0),0)</f>
        <v>0</v>
      </c>
      <c r="K121" s="87">
        <f>IFERROR(ROUND($N121*Параметры!$D$36,2),0)</f>
        <v>0</v>
      </c>
      <c r="L121" s="87">
        <f t="shared" si="11"/>
        <v>0</v>
      </c>
      <c r="M121" s="87">
        <f t="shared" si="12"/>
        <v>0</v>
      </c>
      <c r="N121" s="107" t="str">
        <f t="shared" si="13"/>
        <v/>
      </c>
    </row>
    <row r="122" spans="2:14" x14ac:dyDescent="0.25">
      <c r="B122" s="82">
        <f>SUBTOTAL(103,$D$8:D122)</f>
        <v>115</v>
      </c>
      <c r="C122" s="83" t="s">
        <v>130</v>
      </c>
      <c r="D122" s="84">
        <v>0</v>
      </c>
      <c r="E122" s="85" t="str">
        <f t="shared" si="8"/>
        <v/>
      </c>
      <c r="F122" s="106" t="str">
        <f t="shared" si="14"/>
        <v/>
      </c>
      <c r="G122" s="86"/>
      <c r="H122" s="107">
        <f t="shared" si="9"/>
        <v>0</v>
      </c>
      <c r="I122" s="107">
        <f t="shared" si="10"/>
        <v>0</v>
      </c>
      <c r="J122" s="87">
        <f>IF($D122&gt;0,IFERROR(Параметры!$D$42*$H122/$H$2408,0),0)</f>
        <v>0</v>
      </c>
      <c r="K122" s="87">
        <f>IFERROR(ROUND($N122*Параметры!$D$36,2),0)</f>
        <v>0</v>
      </c>
      <c r="L122" s="87">
        <f t="shared" si="11"/>
        <v>0</v>
      </c>
      <c r="M122" s="87">
        <f t="shared" si="12"/>
        <v>0</v>
      </c>
      <c r="N122" s="107" t="str">
        <f t="shared" si="13"/>
        <v/>
      </c>
    </row>
    <row r="123" spans="2:14" x14ac:dyDescent="0.25">
      <c r="B123" s="82">
        <f>SUBTOTAL(103,$D$8:D123)</f>
        <v>116</v>
      </c>
      <c r="C123" s="83" t="s">
        <v>131</v>
      </c>
      <c r="D123" s="84">
        <v>0</v>
      </c>
      <c r="E123" s="85" t="str">
        <f t="shared" si="8"/>
        <v/>
      </c>
      <c r="F123" s="106" t="str">
        <f t="shared" si="14"/>
        <v/>
      </c>
      <c r="G123" s="86"/>
      <c r="H123" s="107">
        <f t="shared" si="9"/>
        <v>0</v>
      </c>
      <c r="I123" s="107">
        <f t="shared" si="10"/>
        <v>0</v>
      </c>
      <c r="J123" s="87">
        <f>IF($D123&gt;0,IFERROR(Параметры!$D$42*$H123/$H$2408,0),0)</f>
        <v>0</v>
      </c>
      <c r="K123" s="87">
        <f>IFERROR(ROUND($N123*Параметры!$D$36,2),0)</f>
        <v>0</v>
      </c>
      <c r="L123" s="87">
        <f t="shared" si="11"/>
        <v>0</v>
      </c>
      <c r="M123" s="87">
        <f t="shared" si="12"/>
        <v>0</v>
      </c>
      <c r="N123" s="107" t="str">
        <f t="shared" si="13"/>
        <v/>
      </c>
    </row>
    <row r="124" spans="2:14" x14ac:dyDescent="0.25">
      <c r="B124" s="82">
        <f>SUBTOTAL(103,$D$8:D124)</f>
        <v>117</v>
      </c>
      <c r="C124" s="83" t="s">
        <v>132</v>
      </c>
      <c r="D124" s="84">
        <v>0</v>
      </c>
      <c r="E124" s="85" t="str">
        <f t="shared" si="8"/>
        <v/>
      </c>
      <c r="F124" s="106" t="str">
        <f t="shared" si="14"/>
        <v/>
      </c>
      <c r="G124" s="86"/>
      <c r="H124" s="107">
        <f t="shared" si="9"/>
        <v>0</v>
      </c>
      <c r="I124" s="107">
        <f t="shared" si="10"/>
        <v>0</v>
      </c>
      <c r="J124" s="87">
        <f>IF($D124&gt;0,IFERROR(Параметры!$D$42*$H124/$H$2408,0),0)</f>
        <v>0</v>
      </c>
      <c r="K124" s="87">
        <f>IFERROR(ROUND($N124*Параметры!$D$36,2),0)</f>
        <v>0</v>
      </c>
      <c r="L124" s="87">
        <f t="shared" si="11"/>
        <v>0</v>
      </c>
      <c r="M124" s="87">
        <f t="shared" si="12"/>
        <v>0</v>
      </c>
      <c r="N124" s="107" t="str">
        <f t="shared" si="13"/>
        <v/>
      </c>
    </row>
    <row r="125" spans="2:14" x14ac:dyDescent="0.25">
      <c r="B125" s="82">
        <f>SUBTOTAL(103,$D$8:D125)</f>
        <v>118</v>
      </c>
      <c r="C125" s="83" t="s">
        <v>133</v>
      </c>
      <c r="D125" s="84">
        <v>0</v>
      </c>
      <c r="E125" s="85" t="str">
        <f t="shared" si="8"/>
        <v/>
      </c>
      <c r="F125" s="106" t="str">
        <f t="shared" si="14"/>
        <v/>
      </c>
      <c r="G125" s="86"/>
      <c r="H125" s="107">
        <f t="shared" si="9"/>
        <v>0</v>
      </c>
      <c r="I125" s="107">
        <f t="shared" si="10"/>
        <v>0</v>
      </c>
      <c r="J125" s="87">
        <f>IF($D125&gt;0,IFERROR(Параметры!$D$42*$H125/$H$2408,0),0)</f>
        <v>0</v>
      </c>
      <c r="K125" s="87">
        <f>IFERROR(ROUND($N125*Параметры!$D$36,2),0)</f>
        <v>0</v>
      </c>
      <c r="L125" s="87">
        <f t="shared" si="11"/>
        <v>0</v>
      </c>
      <c r="M125" s="87">
        <f t="shared" si="12"/>
        <v>0</v>
      </c>
      <c r="N125" s="107" t="str">
        <f t="shared" si="13"/>
        <v/>
      </c>
    </row>
    <row r="126" spans="2:14" x14ac:dyDescent="0.25">
      <c r="B126" s="82">
        <f>SUBTOTAL(103,$D$8:D126)</f>
        <v>119</v>
      </c>
      <c r="C126" s="83" t="s">
        <v>134</v>
      </c>
      <c r="D126" s="84">
        <v>0</v>
      </c>
      <c r="E126" s="85" t="str">
        <f t="shared" si="8"/>
        <v/>
      </c>
      <c r="F126" s="106" t="str">
        <f t="shared" si="14"/>
        <v/>
      </c>
      <c r="G126" s="86"/>
      <c r="H126" s="107">
        <f t="shared" si="9"/>
        <v>0</v>
      </c>
      <c r="I126" s="107">
        <f t="shared" si="10"/>
        <v>0</v>
      </c>
      <c r="J126" s="87">
        <f>IF($D126&gt;0,IFERROR(Параметры!$D$42*$H126/$H$2408,0),0)</f>
        <v>0</v>
      </c>
      <c r="K126" s="87">
        <f>IFERROR(ROUND($N126*Параметры!$D$36,2),0)</f>
        <v>0</v>
      </c>
      <c r="L126" s="87">
        <f t="shared" si="11"/>
        <v>0</v>
      </c>
      <c r="M126" s="87">
        <f t="shared" si="12"/>
        <v>0</v>
      </c>
      <c r="N126" s="107" t="str">
        <f t="shared" si="13"/>
        <v/>
      </c>
    </row>
    <row r="127" spans="2:14" x14ac:dyDescent="0.25">
      <c r="B127" s="82">
        <f>SUBTOTAL(103,$D$8:D127)</f>
        <v>120</v>
      </c>
      <c r="C127" s="83" t="s">
        <v>135</v>
      </c>
      <c r="D127" s="84">
        <v>0</v>
      </c>
      <c r="E127" s="85" t="str">
        <f t="shared" si="8"/>
        <v/>
      </c>
      <c r="F127" s="106" t="str">
        <f t="shared" si="14"/>
        <v/>
      </c>
      <c r="G127" s="86"/>
      <c r="H127" s="107">
        <f t="shared" si="9"/>
        <v>0</v>
      </c>
      <c r="I127" s="107">
        <f t="shared" si="10"/>
        <v>0</v>
      </c>
      <c r="J127" s="87">
        <f>IF($D127&gt;0,IFERROR(Параметры!$D$42*$H127/$H$2408,0),0)</f>
        <v>0</v>
      </c>
      <c r="K127" s="87">
        <f>IFERROR(ROUND($N127*Параметры!$D$36,2),0)</f>
        <v>0</v>
      </c>
      <c r="L127" s="87">
        <f t="shared" si="11"/>
        <v>0</v>
      </c>
      <c r="M127" s="87">
        <f t="shared" si="12"/>
        <v>0</v>
      </c>
      <c r="N127" s="107" t="str">
        <f t="shared" si="13"/>
        <v/>
      </c>
    </row>
    <row r="128" spans="2:14" x14ac:dyDescent="0.25">
      <c r="B128" s="82">
        <f>SUBTOTAL(103,$D$8:D128)</f>
        <v>121</v>
      </c>
      <c r="C128" s="83" t="s">
        <v>136</v>
      </c>
      <c r="D128" s="84">
        <f t="array" ref="D128:D187">TRANSPOSE('Зарядная карта'!$C$7:$BJ$7)</f>
        <v>0</v>
      </c>
      <c r="E128" s="85" t="str">
        <f t="shared" si="8"/>
        <v/>
      </c>
      <c r="F128" s="106" t="str">
        <f t="shared" si="14"/>
        <v/>
      </c>
      <c r="G128" s="86"/>
      <c r="H128" s="107">
        <f t="shared" si="9"/>
        <v>0</v>
      </c>
      <c r="I128" s="107">
        <f t="shared" si="10"/>
        <v>0</v>
      </c>
      <c r="J128" s="87">
        <f>IF($D128&gt;0,IFERROR(Параметры!$D$42*$H128/$H$2408,0),0)</f>
        <v>0</v>
      </c>
      <c r="K128" s="87">
        <f>IFERROR(ROUND($N128*Параметры!$D$36,2),0)</f>
        <v>0</v>
      </c>
      <c r="L128" s="87">
        <f t="shared" si="11"/>
        <v>0</v>
      </c>
      <c r="M128" s="87">
        <f t="shared" si="12"/>
        <v>0</v>
      </c>
      <c r="N128" s="107" t="str">
        <f t="shared" si="13"/>
        <v/>
      </c>
    </row>
    <row r="129" spans="2:14" x14ac:dyDescent="0.25">
      <c r="B129" s="82">
        <f>SUBTOTAL(103,$D$8:D129)</f>
        <v>122</v>
      </c>
      <c r="C129" s="83" t="s">
        <v>137</v>
      </c>
      <c r="D129" s="84">
        <v>0</v>
      </c>
      <c r="E129" s="85" t="str">
        <f t="shared" si="8"/>
        <v/>
      </c>
      <c r="F129" s="106" t="str">
        <f t="shared" si="14"/>
        <v/>
      </c>
      <c r="G129" s="86"/>
      <c r="H129" s="107">
        <f t="shared" si="9"/>
        <v>0</v>
      </c>
      <c r="I129" s="107">
        <f t="shared" si="10"/>
        <v>0</v>
      </c>
      <c r="J129" s="87">
        <f>IF($D129&gt;0,IFERROR(Параметры!$D$42*$H129/$H$2408,0),0)</f>
        <v>0</v>
      </c>
      <c r="K129" s="87">
        <f>IFERROR(ROUND($N129*Параметры!$D$36,2),0)</f>
        <v>0</v>
      </c>
      <c r="L129" s="87">
        <f t="shared" si="11"/>
        <v>0</v>
      </c>
      <c r="M129" s="87">
        <f t="shared" si="12"/>
        <v>0</v>
      </c>
      <c r="N129" s="107" t="str">
        <f t="shared" si="13"/>
        <v/>
      </c>
    </row>
    <row r="130" spans="2:14" x14ac:dyDescent="0.25">
      <c r="B130" s="82">
        <f>SUBTOTAL(103,$D$8:D130)</f>
        <v>123</v>
      </c>
      <c r="C130" s="83" t="s">
        <v>138</v>
      </c>
      <c r="D130" s="84">
        <v>0</v>
      </c>
      <c r="E130" s="85" t="str">
        <f t="shared" si="8"/>
        <v/>
      </c>
      <c r="F130" s="106" t="str">
        <f t="shared" si="14"/>
        <v/>
      </c>
      <c r="G130" s="86"/>
      <c r="H130" s="107">
        <f t="shared" si="9"/>
        <v>0</v>
      </c>
      <c r="I130" s="107">
        <f t="shared" si="10"/>
        <v>0</v>
      </c>
      <c r="J130" s="87">
        <f>IF($D130&gt;0,IFERROR(Параметры!$D$42*$H130/$H$2408,0),0)</f>
        <v>0</v>
      </c>
      <c r="K130" s="87">
        <f>IFERROR(ROUND($N130*Параметры!$D$36,2),0)</f>
        <v>0</v>
      </c>
      <c r="L130" s="87">
        <f t="shared" si="11"/>
        <v>0</v>
      </c>
      <c r="M130" s="87">
        <f t="shared" si="12"/>
        <v>0</v>
      </c>
      <c r="N130" s="107" t="str">
        <f t="shared" si="13"/>
        <v/>
      </c>
    </row>
    <row r="131" spans="2:14" x14ac:dyDescent="0.25">
      <c r="B131" s="82">
        <f>SUBTOTAL(103,$D$8:D131)</f>
        <v>124</v>
      </c>
      <c r="C131" s="83" t="s">
        <v>139</v>
      </c>
      <c r="D131" s="84">
        <v>0</v>
      </c>
      <c r="E131" s="85" t="str">
        <f t="shared" si="8"/>
        <v/>
      </c>
      <c r="F131" s="106" t="str">
        <f t="shared" si="14"/>
        <v/>
      </c>
      <c r="G131" s="86"/>
      <c r="H131" s="107">
        <f t="shared" si="9"/>
        <v>0</v>
      </c>
      <c r="I131" s="107">
        <f t="shared" si="10"/>
        <v>0</v>
      </c>
      <c r="J131" s="87">
        <f>IF($D131&gt;0,IFERROR(Параметры!$D$42*$H131/$H$2408,0),0)</f>
        <v>0</v>
      </c>
      <c r="K131" s="87">
        <f>IFERROR(ROUND($N131*Параметры!$D$36,2),0)</f>
        <v>0</v>
      </c>
      <c r="L131" s="87">
        <f t="shared" si="11"/>
        <v>0</v>
      </c>
      <c r="M131" s="87">
        <f t="shared" si="12"/>
        <v>0</v>
      </c>
      <c r="N131" s="107" t="str">
        <f t="shared" si="13"/>
        <v/>
      </c>
    </row>
    <row r="132" spans="2:14" x14ac:dyDescent="0.25">
      <c r="B132" s="82">
        <f>SUBTOTAL(103,$D$8:D132)</f>
        <v>125</v>
      </c>
      <c r="C132" s="83" t="s">
        <v>140</v>
      </c>
      <c r="D132" s="84">
        <v>0</v>
      </c>
      <c r="E132" s="85" t="str">
        <f t="shared" si="8"/>
        <v/>
      </c>
      <c r="F132" s="106" t="str">
        <f t="shared" si="14"/>
        <v/>
      </c>
      <c r="G132" s="86"/>
      <c r="H132" s="107">
        <f t="shared" si="9"/>
        <v>0</v>
      </c>
      <c r="I132" s="107">
        <f t="shared" si="10"/>
        <v>0</v>
      </c>
      <c r="J132" s="87">
        <f>IF($D132&gt;0,IFERROR(Параметры!$D$42*$H132/$H$2408,0),0)</f>
        <v>0</v>
      </c>
      <c r="K132" s="87">
        <f>IFERROR(ROUND($N132*Параметры!$D$36,2),0)</f>
        <v>0</v>
      </c>
      <c r="L132" s="87">
        <f t="shared" si="11"/>
        <v>0</v>
      </c>
      <c r="M132" s="87">
        <f t="shared" si="12"/>
        <v>0</v>
      </c>
      <c r="N132" s="107" t="str">
        <f t="shared" si="13"/>
        <v/>
      </c>
    </row>
    <row r="133" spans="2:14" x14ac:dyDescent="0.25">
      <c r="B133" s="82">
        <f>SUBTOTAL(103,$D$8:D133)</f>
        <v>126</v>
      </c>
      <c r="C133" s="83" t="s">
        <v>141</v>
      </c>
      <c r="D133" s="84">
        <v>0</v>
      </c>
      <c r="E133" s="85" t="str">
        <f t="shared" si="8"/>
        <v/>
      </c>
      <c r="F133" s="106" t="str">
        <f t="shared" si="14"/>
        <v/>
      </c>
      <c r="G133" s="86"/>
      <c r="H133" s="107">
        <f t="shared" si="9"/>
        <v>0</v>
      </c>
      <c r="I133" s="107">
        <f t="shared" si="10"/>
        <v>0</v>
      </c>
      <c r="J133" s="87">
        <f>IF($D133&gt;0,IFERROR(Параметры!$D$42*$H133/$H$2408,0),0)</f>
        <v>0</v>
      </c>
      <c r="K133" s="87">
        <f>IFERROR(ROUND($N133*Параметры!$D$36,2),0)</f>
        <v>0</v>
      </c>
      <c r="L133" s="87">
        <f t="shared" si="11"/>
        <v>0</v>
      </c>
      <c r="M133" s="87">
        <f t="shared" si="12"/>
        <v>0</v>
      </c>
      <c r="N133" s="107" t="str">
        <f t="shared" si="13"/>
        <v/>
      </c>
    </row>
    <row r="134" spans="2:14" x14ac:dyDescent="0.25">
      <c r="B134" s="82">
        <f>SUBTOTAL(103,$D$8:D134)</f>
        <v>127</v>
      </c>
      <c r="C134" s="83" t="s">
        <v>142</v>
      </c>
      <c r="D134" s="84">
        <v>0</v>
      </c>
      <c r="E134" s="85" t="str">
        <f t="shared" si="8"/>
        <v/>
      </c>
      <c r="F134" s="106" t="str">
        <f t="shared" si="14"/>
        <v/>
      </c>
      <c r="G134" s="86"/>
      <c r="H134" s="107">
        <f t="shared" si="9"/>
        <v>0</v>
      </c>
      <c r="I134" s="107">
        <f t="shared" si="10"/>
        <v>0</v>
      </c>
      <c r="J134" s="87">
        <f>IF($D134&gt;0,IFERROR(Параметры!$D$42*$H134/$H$2408,0),0)</f>
        <v>0</v>
      </c>
      <c r="K134" s="87">
        <f>IFERROR(ROUND($N134*Параметры!$D$36,2),0)</f>
        <v>0</v>
      </c>
      <c r="L134" s="87">
        <f t="shared" si="11"/>
        <v>0</v>
      </c>
      <c r="M134" s="87">
        <f t="shared" si="12"/>
        <v>0</v>
      </c>
      <c r="N134" s="107" t="str">
        <f t="shared" si="13"/>
        <v/>
      </c>
    </row>
    <row r="135" spans="2:14" x14ac:dyDescent="0.25">
      <c r="B135" s="82">
        <f>SUBTOTAL(103,$D$8:D135)</f>
        <v>128</v>
      </c>
      <c r="C135" s="83" t="s">
        <v>143</v>
      </c>
      <c r="D135" s="84">
        <v>0</v>
      </c>
      <c r="E135" s="85" t="str">
        <f t="shared" si="8"/>
        <v/>
      </c>
      <c r="F135" s="106" t="str">
        <f t="shared" si="14"/>
        <v/>
      </c>
      <c r="G135" s="86"/>
      <c r="H135" s="107">
        <f t="shared" si="9"/>
        <v>0</v>
      </c>
      <c r="I135" s="107">
        <f t="shared" si="10"/>
        <v>0</v>
      </c>
      <c r="J135" s="87">
        <f>IF($D135&gt;0,IFERROR(Параметры!$D$42*$H135/$H$2408,0),0)</f>
        <v>0</v>
      </c>
      <c r="K135" s="87">
        <f>IFERROR(ROUND($N135*Параметры!$D$36,2),0)</f>
        <v>0</v>
      </c>
      <c r="L135" s="87">
        <f t="shared" si="11"/>
        <v>0</v>
      </c>
      <c r="M135" s="87">
        <f t="shared" si="12"/>
        <v>0</v>
      </c>
      <c r="N135" s="107" t="str">
        <f t="shared" si="13"/>
        <v/>
      </c>
    </row>
    <row r="136" spans="2:14" x14ac:dyDescent="0.25">
      <c r="B136" s="82">
        <f>SUBTOTAL(103,$D$8:D136)</f>
        <v>129</v>
      </c>
      <c r="C136" s="83" t="s">
        <v>144</v>
      </c>
      <c r="D136" s="84">
        <v>0</v>
      </c>
      <c r="E136" s="85" t="str">
        <f t="shared" ref="E136:E199" si="15">IF($D136&lt;1,"",$K136+$L136)</f>
        <v/>
      </c>
      <c r="F136" s="106" t="str">
        <f t="shared" si="14"/>
        <v/>
      </c>
      <c r="G136" s="86"/>
      <c r="H136" s="107">
        <f t="shared" ref="H136:H199" si="16">IF($D136&gt;0,$D136*КИС,0)</f>
        <v>0</v>
      </c>
      <c r="I136" s="107">
        <f t="shared" ref="I136:I199" si="17">IF($D136&gt;0,$D136-$H136,0)</f>
        <v>0</v>
      </c>
      <c r="J136" s="87">
        <f>IF($D136&gt;0,IFERROR(Параметры!$D$42*$H136/$H$2408,0),0)</f>
        <v>0</v>
      </c>
      <c r="K136" s="87">
        <f>IFERROR(ROUND($N136*Параметры!$D$36,2),0)</f>
        <v>0</v>
      </c>
      <c r="L136" s="87">
        <f t="shared" ref="L136:L199" si="18">IF($K136&gt;0,$K136*0.055,0)</f>
        <v>0</v>
      </c>
      <c r="M136" s="87">
        <f t="shared" ref="M136:M199" si="19">IFERROR($L136/Плотность_ДТ,0)</f>
        <v>0</v>
      </c>
      <c r="N136" s="107" t="str">
        <f t="shared" ref="N136:N199" si="20">IF($D136&gt;0,MAX(0,$D136-IF($F136="",0,$F136)),"")</f>
        <v/>
      </c>
    </row>
    <row r="137" spans="2:14" x14ac:dyDescent="0.25">
      <c r="B137" s="82">
        <f>SUBTOTAL(103,$D$8:D137)</f>
        <v>130</v>
      </c>
      <c r="C137" s="83" t="s">
        <v>145</v>
      </c>
      <c r="D137" s="84">
        <v>0</v>
      </c>
      <c r="E137" s="85" t="str">
        <f t="shared" si="15"/>
        <v/>
      </c>
      <c r="F137" s="106" t="str">
        <f t="shared" si="14"/>
        <v/>
      </c>
      <c r="G137" s="86"/>
      <c r="H137" s="107">
        <f t="shared" si="16"/>
        <v>0</v>
      </c>
      <c r="I137" s="107">
        <f t="shared" si="17"/>
        <v>0</v>
      </c>
      <c r="J137" s="87">
        <f>IF($D137&gt;0,IFERROR(Параметры!$D$42*$H137/$H$2408,0),0)</f>
        <v>0</v>
      </c>
      <c r="K137" s="87">
        <f>IFERROR(ROUND($N137*Параметры!$D$36,2),0)</f>
        <v>0</v>
      </c>
      <c r="L137" s="87">
        <f t="shared" si="18"/>
        <v>0</v>
      </c>
      <c r="M137" s="87">
        <f t="shared" si="19"/>
        <v>0</v>
      </c>
      <c r="N137" s="107" t="str">
        <f t="shared" si="20"/>
        <v/>
      </c>
    </row>
    <row r="138" spans="2:14" x14ac:dyDescent="0.25">
      <c r="B138" s="82">
        <f>SUBTOTAL(103,$D$8:D138)</f>
        <v>131</v>
      </c>
      <c r="C138" s="83" t="s">
        <v>146</v>
      </c>
      <c r="D138" s="84">
        <v>0</v>
      </c>
      <c r="E138" s="85" t="str">
        <f t="shared" si="15"/>
        <v/>
      </c>
      <c r="F138" s="106" t="str">
        <f t="shared" si="14"/>
        <v/>
      </c>
      <c r="G138" s="86"/>
      <c r="H138" s="107">
        <f t="shared" si="16"/>
        <v>0</v>
      </c>
      <c r="I138" s="107">
        <f t="shared" si="17"/>
        <v>0</v>
      </c>
      <c r="J138" s="87">
        <f>IF($D138&gt;0,IFERROR(Параметры!$D$42*$H138/$H$2408,0),0)</f>
        <v>0</v>
      </c>
      <c r="K138" s="87">
        <f>IFERROR(ROUND($N138*Параметры!$D$36,2),0)</f>
        <v>0</v>
      </c>
      <c r="L138" s="87">
        <f t="shared" si="18"/>
        <v>0</v>
      </c>
      <c r="M138" s="87">
        <f t="shared" si="19"/>
        <v>0</v>
      </c>
      <c r="N138" s="107" t="str">
        <f t="shared" si="20"/>
        <v/>
      </c>
    </row>
    <row r="139" spans="2:14" x14ac:dyDescent="0.25">
      <c r="B139" s="82">
        <f>SUBTOTAL(103,$D$8:D139)</f>
        <v>132</v>
      </c>
      <c r="C139" s="83" t="s">
        <v>147</v>
      </c>
      <c r="D139" s="84">
        <v>0</v>
      </c>
      <c r="E139" s="85" t="str">
        <f t="shared" si="15"/>
        <v/>
      </c>
      <c r="F139" s="106" t="str">
        <f t="shared" ref="F139:F202" si="21">IF(D139&gt;0,2,"")</f>
        <v/>
      </c>
      <c r="G139" s="86"/>
      <c r="H139" s="107">
        <f t="shared" si="16"/>
        <v>0</v>
      </c>
      <c r="I139" s="107">
        <f t="shared" si="17"/>
        <v>0</v>
      </c>
      <c r="J139" s="87">
        <f>IF($D139&gt;0,IFERROR(Параметры!$D$42*$H139/$H$2408,0),0)</f>
        <v>0</v>
      </c>
      <c r="K139" s="87">
        <f>IFERROR(ROUND($N139*Параметры!$D$36,2),0)</f>
        <v>0</v>
      </c>
      <c r="L139" s="87">
        <f t="shared" si="18"/>
        <v>0</v>
      </c>
      <c r="M139" s="87">
        <f t="shared" si="19"/>
        <v>0</v>
      </c>
      <c r="N139" s="107" t="str">
        <f t="shared" si="20"/>
        <v/>
      </c>
    </row>
    <row r="140" spans="2:14" x14ac:dyDescent="0.25">
      <c r="B140" s="82">
        <f>SUBTOTAL(103,$D$8:D140)</f>
        <v>133</v>
      </c>
      <c r="C140" s="83" t="s">
        <v>148</v>
      </c>
      <c r="D140" s="84">
        <v>0</v>
      </c>
      <c r="E140" s="85" t="str">
        <f t="shared" si="15"/>
        <v/>
      </c>
      <c r="F140" s="106" t="str">
        <f t="shared" si="21"/>
        <v/>
      </c>
      <c r="G140" s="86"/>
      <c r="H140" s="107">
        <f t="shared" si="16"/>
        <v>0</v>
      </c>
      <c r="I140" s="107">
        <f t="shared" si="17"/>
        <v>0</v>
      </c>
      <c r="J140" s="87">
        <f>IF($D140&gt;0,IFERROR(Параметры!$D$42*$H140/$H$2408,0),0)</f>
        <v>0</v>
      </c>
      <c r="K140" s="87">
        <f>IFERROR(ROUND($N140*Параметры!$D$36,2),0)</f>
        <v>0</v>
      </c>
      <c r="L140" s="87">
        <f t="shared" si="18"/>
        <v>0</v>
      </c>
      <c r="M140" s="87">
        <f t="shared" si="19"/>
        <v>0</v>
      </c>
      <c r="N140" s="107" t="str">
        <f t="shared" si="20"/>
        <v/>
      </c>
    </row>
    <row r="141" spans="2:14" x14ac:dyDescent="0.25">
      <c r="B141" s="82">
        <f>SUBTOTAL(103,$D$8:D141)</f>
        <v>134</v>
      </c>
      <c r="C141" s="83" t="s">
        <v>149</v>
      </c>
      <c r="D141" s="84">
        <v>0</v>
      </c>
      <c r="E141" s="85" t="str">
        <f t="shared" si="15"/>
        <v/>
      </c>
      <c r="F141" s="106" t="str">
        <f t="shared" si="21"/>
        <v/>
      </c>
      <c r="G141" s="86"/>
      <c r="H141" s="107">
        <f t="shared" si="16"/>
        <v>0</v>
      </c>
      <c r="I141" s="107">
        <f t="shared" si="17"/>
        <v>0</v>
      </c>
      <c r="J141" s="87">
        <f>IF($D141&gt;0,IFERROR(Параметры!$D$42*$H141/$H$2408,0),0)</f>
        <v>0</v>
      </c>
      <c r="K141" s="87">
        <f>IFERROR(ROUND($N141*Параметры!$D$36,2),0)</f>
        <v>0</v>
      </c>
      <c r="L141" s="87">
        <f t="shared" si="18"/>
        <v>0</v>
      </c>
      <c r="M141" s="87">
        <f t="shared" si="19"/>
        <v>0</v>
      </c>
      <c r="N141" s="107" t="str">
        <f t="shared" si="20"/>
        <v/>
      </c>
    </row>
    <row r="142" spans="2:14" x14ac:dyDescent="0.25">
      <c r="B142" s="82">
        <f>SUBTOTAL(103,$D$8:D142)</f>
        <v>135</v>
      </c>
      <c r="C142" s="83" t="s">
        <v>150</v>
      </c>
      <c r="D142" s="84">
        <v>0</v>
      </c>
      <c r="E142" s="85" t="str">
        <f t="shared" si="15"/>
        <v/>
      </c>
      <c r="F142" s="106" t="str">
        <f t="shared" si="21"/>
        <v/>
      </c>
      <c r="G142" s="86"/>
      <c r="H142" s="107">
        <f t="shared" si="16"/>
        <v>0</v>
      </c>
      <c r="I142" s="107">
        <f t="shared" si="17"/>
        <v>0</v>
      </c>
      <c r="J142" s="87">
        <f>IF($D142&gt;0,IFERROR(Параметры!$D$42*$H142/$H$2408,0),0)</f>
        <v>0</v>
      </c>
      <c r="K142" s="87">
        <f>IFERROR(ROUND($N142*Параметры!$D$36,2),0)</f>
        <v>0</v>
      </c>
      <c r="L142" s="87">
        <f t="shared" si="18"/>
        <v>0</v>
      </c>
      <c r="M142" s="87">
        <f t="shared" si="19"/>
        <v>0</v>
      </c>
      <c r="N142" s="107" t="str">
        <f t="shared" si="20"/>
        <v/>
      </c>
    </row>
    <row r="143" spans="2:14" x14ac:dyDescent="0.25">
      <c r="B143" s="82">
        <f>SUBTOTAL(103,$D$8:D143)</f>
        <v>136</v>
      </c>
      <c r="C143" s="83" t="s">
        <v>151</v>
      </c>
      <c r="D143" s="84">
        <v>0</v>
      </c>
      <c r="E143" s="85" t="str">
        <f t="shared" si="15"/>
        <v/>
      </c>
      <c r="F143" s="106" t="str">
        <f t="shared" si="21"/>
        <v/>
      </c>
      <c r="G143" s="86"/>
      <c r="H143" s="107">
        <f t="shared" si="16"/>
        <v>0</v>
      </c>
      <c r="I143" s="107">
        <f t="shared" si="17"/>
        <v>0</v>
      </c>
      <c r="J143" s="87">
        <f>IF($D143&gt;0,IFERROR(Параметры!$D$42*$H143/$H$2408,0),0)</f>
        <v>0</v>
      </c>
      <c r="K143" s="87">
        <f>IFERROR(ROUND($N143*Параметры!$D$36,2),0)</f>
        <v>0</v>
      </c>
      <c r="L143" s="87">
        <f t="shared" si="18"/>
        <v>0</v>
      </c>
      <c r="M143" s="87">
        <f t="shared" si="19"/>
        <v>0</v>
      </c>
      <c r="N143" s="107" t="str">
        <f t="shared" si="20"/>
        <v/>
      </c>
    </row>
    <row r="144" spans="2:14" x14ac:dyDescent="0.25">
      <c r="B144" s="82">
        <f>SUBTOTAL(103,$D$8:D144)</f>
        <v>137</v>
      </c>
      <c r="C144" s="83" t="s">
        <v>152</v>
      </c>
      <c r="D144" s="84">
        <v>0</v>
      </c>
      <c r="E144" s="85" t="str">
        <f t="shared" si="15"/>
        <v/>
      </c>
      <c r="F144" s="106" t="str">
        <f t="shared" si="21"/>
        <v/>
      </c>
      <c r="G144" s="86"/>
      <c r="H144" s="107">
        <f t="shared" si="16"/>
        <v>0</v>
      </c>
      <c r="I144" s="107">
        <f t="shared" si="17"/>
        <v>0</v>
      </c>
      <c r="J144" s="87">
        <f>IF($D144&gt;0,IFERROR(Параметры!$D$42*$H144/$H$2408,0),0)</f>
        <v>0</v>
      </c>
      <c r="K144" s="87">
        <f>IFERROR(ROUND($N144*Параметры!$D$36,2),0)</f>
        <v>0</v>
      </c>
      <c r="L144" s="87">
        <f t="shared" si="18"/>
        <v>0</v>
      </c>
      <c r="M144" s="87">
        <f t="shared" si="19"/>
        <v>0</v>
      </c>
      <c r="N144" s="107" t="str">
        <f t="shared" si="20"/>
        <v/>
      </c>
    </row>
    <row r="145" spans="2:14" x14ac:dyDescent="0.25">
      <c r="B145" s="82">
        <f>SUBTOTAL(103,$D$8:D145)</f>
        <v>138</v>
      </c>
      <c r="C145" s="83" t="s">
        <v>153</v>
      </c>
      <c r="D145" s="84">
        <v>0</v>
      </c>
      <c r="E145" s="85" t="str">
        <f t="shared" si="15"/>
        <v/>
      </c>
      <c r="F145" s="106" t="str">
        <f t="shared" si="21"/>
        <v/>
      </c>
      <c r="G145" s="86"/>
      <c r="H145" s="107">
        <f t="shared" si="16"/>
        <v>0</v>
      </c>
      <c r="I145" s="107">
        <f t="shared" si="17"/>
        <v>0</v>
      </c>
      <c r="J145" s="87">
        <f>IF($D145&gt;0,IFERROR(Параметры!$D$42*$H145/$H$2408,0),0)</f>
        <v>0</v>
      </c>
      <c r="K145" s="87">
        <f>IFERROR(ROUND($N145*Параметры!$D$36,2),0)</f>
        <v>0</v>
      </c>
      <c r="L145" s="87">
        <f t="shared" si="18"/>
        <v>0</v>
      </c>
      <c r="M145" s="87">
        <f t="shared" si="19"/>
        <v>0</v>
      </c>
      <c r="N145" s="107" t="str">
        <f t="shared" si="20"/>
        <v/>
      </c>
    </row>
    <row r="146" spans="2:14" x14ac:dyDescent="0.25">
      <c r="B146" s="82">
        <f>SUBTOTAL(103,$D$8:D146)</f>
        <v>139</v>
      </c>
      <c r="C146" s="83" t="s">
        <v>154</v>
      </c>
      <c r="D146" s="84">
        <v>0</v>
      </c>
      <c r="E146" s="85" t="str">
        <f t="shared" si="15"/>
        <v/>
      </c>
      <c r="F146" s="106" t="str">
        <f t="shared" si="21"/>
        <v/>
      </c>
      <c r="G146" s="86"/>
      <c r="H146" s="107">
        <f t="shared" si="16"/>
        <v>0</v>
      </c>
      <c r="I146" s="107">
        <f t="shared" si="17"/>
        <v>0</v>
      </c>
      <c r="J146" s="87">
        <f>IF($D146&gt;0,IFERROR(Параметры!$D$42*$H146/$H$2408,0),0)</f>
        <v>0</v>
      </c>
      <c r="K146" s="87">
        <f>IFERROR(ROUND($N146*Параметры!$D$36,2),0)</f>
        <v>0</v>
      </c>
      <c r="L146" s="87">
        <f t="shared" si="18"/>
        <v>0</v>
      </c>
      <c r="M146" s="87">
        <f t="shared" si="19"/>
        <v>0</v>
      </c>
      <c r="N146" s="107" t="str">
        <f t="shared" si="20"/>
        <v/>
      </c>
    </row>
    <row r="147" spans="2:14" x14ac:dyDescent="0.25">
      <c r="B147" s="82">
        <f>SUBTOTAL(103,$D$8:D147)</f>
        <v>140</v>
      </c>
      <c r="C147" s="83" t="s">
        <v>155</v>
      </c>
      <c r="D147" s="84">
        <v>0</v>
      </c>
      <c r="E147" s="85" t="str">
        <f t="shared" si="15"/>
        <v/>
      </c>
      <c r="F147" s="106" t="str">
        <f t="shared" si="21"/>
        <v/>
      </c>
      <c r="G147" s="86"/>
      <c r="H147" s="107">
        <f t="shared" si="16"/>
        <v>0</v>
      </c>
      <c r="I147" s="107">
        <f t="shared" si="17"/>
        <v>0</v>
      </c>
      <c r="J147" s="87">
        <f>IF($D147&gt;0,IFERROR(Параметры!$D$42*$H147/$H$2408,0),0)</f>
        <v>0</v>
      </c>
      <c r="K147" s="87">
        <f>IFERROR(ROUND($N147*Параметры!$D$36,2),0)</f>
        <v>0</v>
      </c>
      <c r="L147" s="87">
        <f t="shared" si="18"/>
        <v>0</v>
      </c>
      <c r="M147" s="87">
        <f t="shared" si="19"/>
        <v>0</v>
      </c>
      <c r="N147" s="107" t="str">
        <f t="shared" si="20"/>
        <v/>
      </c>
    </row>
    <row r="148" spans="2:14" x14ac:dyDescent="0.25">
      <c r="B148" s="82">
        <f>SUBTOTAL(103,$D$8:D148)</f>
        <v>141</v>
      </c>
      <c r="C148" s="83" t="s">
        <v>156</v>
      </c>
      <c r="D148" s="84">
        <v>0</v>
      </c>
      <c r="E148" s="85" t="str">
        <f t="shared" si="15"/>
        <v/>
      </c>
      <c r="F148" s="106" t="str">
        <f t="shared" si="21"/>
        <v/>
      </c>
      <c r="G148" s="86"/>
      <c r="H148" s="107">
        <f t="shared" si="16"/>
        <v>0</v>
      </c>
      <c r="I148" s="107">
        <f t="shared" si="17"/>
        <v>0</v>
      </c>
      <c r="J148" s="87">
        <f>IF($D148&gt;0,IFERROR(Параметры!$D$42*$H148/$H$2408,0),0)</f>
        <v>0</v>
      </c>
      <c r="K148" s="87">
        <f>IFERROR(ROUND($N148*Параметры!$D$36,2),0)</f>
        <v>0</v>
      </c>
      <c r="L148" s="87">
        <f t="shared" si="18"/>
        <v>0</v>
      </c>
      <c r="M148" s="87">
        <f t="shared" si="19"/>
        <v>0</v>
      </c>
      <c r="N148" s="107" t="str">
        <f t="shared" si="20"/>
        <v/>
      </c>
    </row>
    <row r="149" spans="2:14" x14ac:dyDescent="0.25">
      <c r="B149" s="82">
        <f>SUBTOTAL(103,$D$8:D149)</f>
        <v>142</v>
      </c>
      <c r="C149" s="83" t="s">
        <v>157</v>
      </c>
      <c r="D149" s="84">
        <v>0</v>
      </c>
      <c r="E149" s="85" t="str">
        <f t="shared" si="15"/>
        <v/>
      </c>
      <c r="F149" s="106" t="str">
        <f t="shared" si="21"/>
        <v/>
      </c>
      <c r="G149" s="86"/>
      <c r="H149" s="107">
        <f t="shared" si="16"/>
        <v>0</v>
      </c>
      <c r="I149" s="107">
        <f t="shared" si="17"/>
        <v>0</v>
      </c>
      <c r="J149" s="87">
        <f>IF($D149&gt;0,IFERROR(Параметры!$D$42*$H149/$H$2408,0),0)</f>
        <v>0</v>
      </c>
      <c r="K149" s="87">
        <f>IFERROR(ROUND($N149*Параметры!$D$36,2),0)</f>
        <v>0</v>
      </c>
      <c r="L149" s="87">
        <f t="shared" si="18"/>
        <v>0</v>
      </c>
      <c r="M149" s="87">
        <f t="shared" si="19"/>
        <v>0</v>
      </c>
      <c r="N149" s="107" t="str">
        <f t="shared" si="20"/>
        <v/>
      </c>
    </row>
    <row r="150" spans="2:14" x14ac:dyDescent="0.25">
      <c r="B150" s="82">
        <f>SUBTOTAL(103,$D$8:D150)</f>
        <v>143</v>
      </c>
      <c r="C150" s="83" t="s">
        <v>158</v>
      </c>
      <c r="D150" s="84">
        <v>0</v>
      </c>
      <c r="E150" s="85" t="str">
        <f t="shared" si="15"/>
        <v/>
      </c>
      <c r="F150" s="106" t="str">
        <f t="shared" si="21"/>
        <v/>
      </c>
      <c r="G150" s="86"/>
      <c r="H150" s="107">
        <f t="shared" si="16"/>
        <v>0</v>
      </c>
      <c r="I150" s="107">
        <f t="shared" si="17"/>
        <v>0</v>
      </c>
      <c r="J150" s="87">
        <f>IF($D150&gt;0,IFERROR(Параметры!$D$42*$H150/$H$2408,0),0)</f>
        <v>0</v>
      </c>
      <c r="K150" s="87">
        <f>IFERROR(ROUND($N150*Параметры!$D$36,2),0)</f>
        <v>0</v>
      </c>
      <c r="L150" s="87">
        <f t="shared" si="18"/>
        <v>0</v>
      </c>
      <c r="M150" s="87">
        <f t="shared" si="19"/>
        <v>0</v>
      </c>
      <c r="N150" s="107" t="str">
        <f t="shared" si="20"/>
        <v/>
      </c>
    </row>
    <row r="151" spans="2:14" x14ac:dyDescent="0.25">
      <c r="B151" s="82">
        <f>SUBTOTAL(103,$D$8:D151)</f>
        <v>144</v>
      </c>
      <c r="C151" s="83" t="s">
        <v>159</v>
      </c>
      <c r="D151" s="84">
        <v>0</v>
      </c>
      <c r="E151" s="85" t="str">
        <f t="shared" si="15"/>
        <v/>
      </c>
      <c r="F151" s="106" t="str">
        <f t="shared" si="21"/>
        <v/>
      </c>
      <c r="G151" s="86"/>
      <c r="H151" s="107">
        <f t="shared" si="16"/>
        <v>0</v>
      </c>
      <c r="I151" s="107">
        <f t="shared" si="17"/>
        <v>0</v>
      </c>
      <c r="J151" s="87">
        <f>IF($D151&gt;0,IFERROR(Параметры!$D$42*$H151/$H$2408,0),0)</f>
        <v>0</v>
      </c>
      <c r="K151" s="87">
        <f>IFERROR(ROUND($N151*Параметры!$D$36,2),0)</f>
        <v>0</v>
      </c>
      <c r="L151" s="87">
        <f t="shared" si="18"/>
        <v>0</v>
      </c>
      <c r="M151" s="87">
        <f t="shared" si="19"/>
        <v>0</v>
      </c>
      <c r="N151" s="107" t="str">
        <f t="shared" si="20"/>
        <v/>
      </c>
    </row>
    <row r="152" spans="2:14" x14ac:dyDescent="0.25">
      <c r="B152" s="82">
        <f>SUBTOTAL(103,$D$8:D152)</f>
        <v>145</v>
      </c>
      <c r="C152" s="83" t="s">
        <v>160</v>
      </c>
      <c r="D152" s="84">
        <v>0</v>
      </c>
      <c r="E152" s="85" t="str">
        <f t="shared" si="15"/>
        <v/>
      </c>
      <c r="F152" s="106" t="str">
        <f t="shared" si="21"/>
        <v/>
      </c>
      <c r="G152" s="86"/>
      <c r="H152" s="107">
        <f t="shared" si="16"/>
        <v>0</v>
      </c>
      <c r="I152" s="107">
        <f t="shared" si="17"/>
        <v>0</v>
      </c>
      <c r="J152" s="87">
        <f>IF($D152&gt;0,IFERROR(Параметры!$D$42*$H152/$H$2408,0),0)</f>
        <v>0</v>
      </c>
      <c r="K152" s="87">
        <f>IFERROR(ROUND($N152*Параметры!$D$36,2),0)</f>
        <v>0</v>
      </c>
      <c r="L152" s="87">
        <f t="shared" si="18"/>
        <v>0</v>
      </c>
      <c r="M152" s="87">
        <f t="shared" si="19"/>
        <v>0</v>
      </c>
      <c r="N152" s="107" t="str">
        <f t="shared" si="20"/>
        <v/>
      </c>
    </row>
    <row r="153" spans="2:14" x14ac:dyDescent="0.25">
      <c r="B153" s="82">
        <f>SUBTOTAL(103,$D$8:D153)</f>
        <v>146</v>
      </c>
      <c r="C153" s="83" t="s">
        <v>161</v>
      </c>
      <c r="D153" s="84">
        <v>0</v>
      </c>
      <c r="E153" s="85" t="str">
        <f t="shared" si="15"/>
        <v/>
      </c>
      <c r="F153" s="106" t="str">
        <f t="shared" si="21"/>
        <v/>
      </c>
      <c r="G153" s="86"/>
      <c r="H153" s="107">
        <f t="shared" si="16"/>
        <v>0</v>
      </c>
      <c r="I153" s="107">
        <f t="shared" si="17"/>
        <v>0</v>
      </c>
      <c r="J153" s="87">
        <f>IF($D153&gt;0,IFERROR(Параметры!$D$42*$H153/$H$2408,0),0)</f>
        <v>0</v>
      </c>
      <c r="K153" s="87">
        <f>IFERROR(ROUND($N153*Параметры!$D$36,2),0)</f>
        <v>0</v>
      </c>
      <c r="L153" s="87">
        <f t="shared" si="18"/>
        <v>0</v>
      </c>
      <c r="M153" s="87">
        <f t="shared" si="19"/>
        <v>0</v>
      </c>
      <c r="N153" s="107" t="str">
        <f t="shared" si="20"/>
        <v/>
      </c>
    </row>
    <row r="154" spans="2:14" x14ac:dyDescent="0.25">
      <c r="B154" s="82">
        <f>SUBTOTAL(103,$D$8:D154)</f>
        <v>147</v>
      </c>
      <c r="C154" s="83" t="s">
        <v>162</v>
      </c>
      <c r="D154" s="84">
        <v>0</v>
      </c>
      <c r="E154" s="85" t="str">
        <f t="shared" si="15"/>
        <v/>
      </c>
      <c r="F154" s="106" t="str">
        <f t="shared" si="21"/>
        <v/>
      </c>
      <c r="G154" s="86"/>
      <c r="H154" s="107">
        <f t="shared" si="16"/>
        <v>0</v>
      </c>
      <c r="I154" s="107">
        <f t="shared" si="17"/>
        <v>0</v>
      </c>
      <c r="J154" s="87">
        <f>IF($D154&gt;0,IFERROR(Параметры!$D$42*$H154/$H$2408,0),0)</f>
        <v>0</v>
      </c>
      <c r="K154" s="87">
        <f>IFERROR(ROUND($N154*Параметры!$D$36,2),0)</f>
        <v>0</v>
      </c>
      <c r="L154" s="87">
        <f t="shared" si="18"/>
        <v>0</v>
      </c>
      <c r="M154" s="87">
        <f t="shared" si="19"/>
        <v>0</v>
      </c>
      <c r="N154" s="107" t="str">
        <f t="shared" si="20"/>
        <v/>
      </c>
    </row>
    <row r="155" spans="2:14" x14ac:dyDescent="0.25">
      <c r="B155" s="82">
        <f>SUBTOTAL(103,$D$8:D155)</f>
        <v>148</v>
      </c>
      <c r="C155" s="83" t="s">
        <v>163</v>
      </c>
      <c r="D155" s="84">
        <v>0</v>
      </c>
      <c r="E155" s="85" t="str">
        <f t="shared" si="15"/>
        <v/>
      </c>
      <c r="F155" s="106" t="str">
        <f t="shared" si="21"/>
        <v/>
      </c>
      <c r="G155" s="86"/>
      <c r="H155" s="107">
        <f t="shared" si="16"/>
        <v>0</v>
      </c>
      <c r="I155" s="107">
        <f t="shared" si="17"/>
        <v>0</v>
      </c>
      <c r="J155" s="87">
        <f>IF($D155&gt;0,IFERROR(Параметры!$D$42*$H155/$H$2408,0),0)</f>
        <v>0</v>
      </c>
      <c r="K155" s="87">
        <f>IFERROR(ROUND($N155*Параметры!$D$36,2),0)</f>
        <v>0</v>
      </c>
      <c r="L155" s="87">
        <f t="shared" si="18"/>
        <v>0</v>
      </c>
      <c r="M155" s="87">
        <f t="shared" si="19"/>
        <v>0</v>
      </c>
      <c r="N155" s="107" t="str">
        <f t="shared" si="20"/>
        <v/>
      </c>
    </row>
    <row r="156" spans="2:14" x14ac:dyDescent="0.25">
      <c r="B156" s="82">
        <f>SUBTOTAL(103,$D$8:D156)</f>
        <v>149</v>
      </c>
      <c r="C156" s="83" t="s">
        <v>164</v>
      </c>
      <c r="D156" s="84">
        <v>0</v>
      </c>
      <c r="E156" s="85" t="str">
        <f t="shared" si="15"/>
        <v/>
      </c>
      <c r="F156" s="106" t="str">
        <f t="shared" si="21"/>
        <v/>
      </c>
      <c r="G156" s="86"/>
      <c r="H156" s="107">
        <f t="shared" si="16"/>
        <v>0</v>
      </c>
      <c r="I156" s="107">
        <f t="shared" si="17"/>
        <v>0</v>
      </c>
      <c r="J156" s="87">
        <f>IF($D156&gt;0,IFERROR(Параметры!$D$42*$H156/$H$2408,0),0)</f>
        <v>0</v>
      </c>
      <c r="K156" s="87">
        <f>IFERROR(ROUND($N156*Параметры!$D$36,2),0)</f>
        <v>0</v>
      </c>
      <c r="L156" s="87">
        <f t="shared" si="18"/>
        <v>0</v>
      </c>
      <c r="M156" s="87">
        <f t="shared" si="19"/>
        <v>0</v>
      </c>
      <c r="N156" s="107" t="str">
        <f t="shared" si="20"/>
        <v/>
      </c>
    </row>
    <row r="157" spans="2:14" x14ac:dyDescent="0.25">
      <c r="B157" s="82">
        <f>SUBTOTAL(103,$D$8:D157)</f>
        <v>150</v>
      </c>
      <c r="C157" s="83" t="s">
        <v>165</v>
      </c>
      <c r="D157" s="84">
        <v>0</v>
      </c>
      <c r="E157" s="85" t="str">
        <f t="shared" si="15"/>
        <v/>
      </c>
      <c r="F157" s="106" t="str">
        <f t="shared" si="21"/>
        <v/>
      </c>
      <c r="G157" s="86"/>
      <c r="H157" s="107">
        <f t="shared" si="16"/>
        <v>0</v>
      </c>
      <c r="I157" s="107">
        <f t="shared" si="17"/>
        <v>0</v>
      </c>
      <c r="J157" s="87">
        <f>IF($D157&gt;0,IFERROR(Параметры!$D$42*$H157/$H$2408,0),0)</f>
        <v>0</v>
      </c>
      <c r="K157" s="87">
        <f>IFERROR(ROUND($N157*Параметры!$D$36,2),0)</f>
        <v>0</v>
      </c>
      <c r="L157" s="87">
        <f t="shared" si="18"/>
        <v>0</v>
      </c>
      <c r="M157" s="87">
        <f t="shared" si="19"/>
        <v>0</v>
      </c>
      <c r="N157" s="107" t="str">
        <f t="shared" si="20"/>
        <v/>
      </c>
    </row>
    <row r="158" spans="2:14" x14ac:dyDescent="0.25">
      <c r="B158" s="82">
        <f>SUBTOTAL(103,$D$8:D158)</f>
        <v>151</v>
      </c>
      <c r="C158" s="83" t="s">
        <v>166</v>
      </c>
      <c r="D158" s="84">
        <v>0</v>
      </c>
      <c r="E158" s="85" t="str">
        <f t="shared" si="15"/>
        <v/>
      </c>
      <c r="F158" s="106" t="str">
        <f t="shared" si="21"/>
        <v/>
      </c>
      <c r="G158" s="86"/>
      <c r="H158" s="107">
        <f t="shared" si="16"/>
        <v>0</v>
      </c>
      <c r="I158" s="107">
        <f t="shared" si="17"/>
        <v>0</v>
      </c>
      <c r="J158" s="87">
        <f>IF($D158&gt;0,IFERROR(Параметры!$D$42*$H158/$H$2408,0),0)</f>
        <v>0</v>
      </c>
      <c r="K158" s="87">
        <f>IFERROR(ROUND($N158*Параметры!$D$36,2),0)</f>
        <v>0</v>
      </c>
      <c r="L158" s="87">
        <f t="shared" si="18"/>
        <v>0</v>
      </c>
      <c r="M158" s="87">
        <f t="shared" si="19"/>
        <v>0</v>
      </c>
      <c r="N158" s="107" t="str">
        <f t="shared" si="20"/>
        <v/>
      </c>
    </row>
    <row r="159" spans="2:14" x14ac:dyDescent="0.25">
      <c r="B159" s="82">
        <f>SUBTOTAL(103,$D$8:D159)</f>
        <v>152</v>
      </c>
      <c r="C159" s="83" t="s">
        <v>167</v>
      </c>
      <c r="D159" s="84">
        <v>0</v>
      </c>
      <c r="E159" s="85" t="str">
        <f t="shared" si="15"/>
        <v/>
      </c>
      <c r="F159" s="106" t="str">
        <f t="shared" si="21"/>
        <v/>
      </c>
      <c r="G159" s="86"/>
      <c r="H159" s="107">
        <f t="shared" si="16"/>
        <v>0</v>
      </c>
      <c r="I159" s="107">
        <f t="shared" si="17"/>
        <v>0</v>
      </c>
      <c r="J159" s="87">
        <f>IF($D159&gt;0,IFERROR(Параметры!$D$42*$H159/$H$2408,0),0)</f>
        <v>0</v>
      </c>
      <c r="K159" s="87">
        <f>IFERROR(ROUND($N159*Параметры!$D$36,2),0)</f>
        <v>0</v>
      </c>
      <c r="L159" s="87">
        <f t="shared" si="18"/>
        <v>0</v>
      </c>
      <c r="M159" s="87">
        <f t="shared" si="19"/>
        <v>0</v>
      </c>
      <c r="N159" s="107" t="str">
        <f t="shared" si="20"/>
        <v/>
      </c>
    </row>
    <row r="160" spans="2:14" x14ac:dyDescent="0.25">
      <c r="B160" s="82">
        <f>SUBTOTAL(103,$D$8:D160)</f>
        <v>153</v>
      </c>
      <c r="C160" s="83" t="s">
        <v>168</v>
      </c>
      <c r="D160" s="84">
        <v>0</v>
      </c>
      <c r="E160" s="85" t="str">
        <f t="shared" si="15"/>
        <v/>
      </c>
      <c r="F160" s="106" t="str">
        <f t="shared" si="21"/>
        <v/>
      </c>
      <c r="G160" s="86"/>
      <c r="H160" s="107">
        <f t="shared" si="16"/>
        <v>0</v>
      </c>
      <c r="I160" s="107">
        <f t="shared" si="17"/>
        <v>0</v>
      </c>
      <c r="J160" s="87">
        <f>IF($D160&gt;0,IFERROR(Параметры!$D$42*$H160/$H$2408,0),0)</f>
        <v>0</v>
      </c>
      <c r="K160" s="87">
        <f>IFERROR(ROUND($N160*Параметры!$D$36,2),0)</f>
        <v>0</v>
      </c>
      <c r="L160" s="87">
        <f t="shared" si="18"/>
        <v>0</v>
      </c>
      <c r="M160" s="87">
        <f t="shared" si="19"/>
        <v>0</v>
      </c>
      <c r="N160" s="107" t="str">
        <f t="shared" si="20"/>
        <v/>
      </c>
    </row>
    <row r="161" spans="2:14" x14ac:dyDescent="0.25">
      <c r="B161" s="82">
        <f>SUBTOTAL(103,$D$8:D161)</f>
        <v>154</v>
      </c>
      <c r="C161" s="83" t="s">
        <v>169</v>
      </c>
      <c r="D161" s="84">
        <v>0</v>
      </c>
      <c r="E161" s="85" t="str">
        <f t="shared" si="15"/>
        <v/>
      </c>
      <c r="F161" s="106" t="str">
        <f t="shared" si="21"/>
        <v/>
      </c>
      <c r="G161" s="86"/>
      <c r="H161" s="107">
        <f t="shared" si="16"/>
        <v>0</v>
      </c>
      <c r="I161" s="107">
        <f t="shared" si="17"/>
        <v>0</v>
      </c>
      <c r="J161" s="87">
        <f>IF($D161&gt;0,IFERROR(Параметры!$D$42*$H161/$H$2408,0),0)</f>
        <v>0</v>
      </c>
      <c r="K161" s="87">
        <f>IFERROR(ROUND($N161*Параметры!$D$36,2),0)</f>
        <v>0</v>
      </c>
      <c r="L161" s="87">
        <f t="shared" si="18"/>
        <v>0</v>
      </c>
      <c r="M161" s="87">
        <f t="shared" si="19"/>
        <v>0</v>
      </c>
      <c r="N161" s="107" t="str">
        <f t="shared" si="20"/>
        <v/>
      </c>
    </row>
    <row r="162" spans="2:14" x14ac:dyDescent="0.25">
      <c r="B162" s="82">
        <f>SUBTOTAL(103,$D$8:D162)</f>
        <v>155</v>
      </c>
      <c r="C162" s="83" t="s">
        <v>170</v>
      </c>
      <c r="D162" s="84">
        <v>0</v>
      </c>
      <c r="E162" s="85" t="str">
        <f t="shared" si="15"/>
        <v/>
      </c>
      <c r="F162" s="106" t="str">
        <f t="shared" si="21"/>
        <v/>
      </c>
      <c r="G162" s="86"/>
      <c r="H162" s="107">
        <f t="shared" si="16"/>
        <v>0</v>
      </c>
      <c r="I162" s="107">
        <f t="shared" si="17"/>
        <v>0</v>
      </c>
      <c r="J162" s="87">
        <f>IF($D162&gt;0,IFERROR(Параметры!$D$42*$H162/$H$2408,0),0)</f>
        <v>0</v>
      </c>
      <c r="K162" s="87">
        <f>IFERROR(ROUND($N162*Параметры!$D$36,2),0)</f>
        <v>0</v>
      </c>
      <c r="L162" s="87">
        <f t="shared" si="18"/>
        <v>0</v>
      </c>
      <c r="M162" s="87">
        <f t="shared" si="19"/>
        <v>0</v>
      </c>
      <c r="N162" s="107" t="str">
        <f t="shared" si="20"/>
        <v/>
      </c>
    </row>
    <row r="163" spans="2:14" x14ac:dyDescent="0.25">
      <c r="B163" s="82">
        <f>SUBTOTAL(103,$D$8:D163)</f>
        <v>156</v>
      </c>
      <c r="C163" s="83" t="s">
        <v>171</v>
      </c>
      <c r="D163" s="84">
        <v>0</v>
      </c>
      <c r="E163" s="85" t="str">
        <f t="shared" si="15"/>
        <v/>
      </c>
      <c r="F163" s="106" t="str">
        <f t="shared" si="21"/>
        <v/>
      </c>
      <c r="G163" s="86"/>
      <c r="H163" s="107">
        <f t="shared" si="16"/>
        <v>0</v>
      </c>
      <c r="I163" s="107">
        <f t="shared" si="17"/>
        <v>0</v>
      </c>
      <c r="J163" s="87">
        <f>IF($D163&gt;0,IFERROR(Параметры!$D$42*$H163/$H$2408,0),0)</f>
        <v>0</v>
      </c>
      <c r="K163" s="87">
        <f>IFERROR(ROUND($N163*Параметры!$D$36,2),0)</f>
        <v>0</v>
      </c>
      <c r="L163" s="87">
        <f t="shared" si="18"/>
        <v>0</v>
      </c>
      <c r="M163" s="87">
        <f t="shared" si="19"/>
        <v>0</v>
      </c>
      <c r="N163" s="107" t="str">
        <f t="shared" si="20"/>
        <v/>
      </c>
    </row>
    <row r="164" spans="2:14" x14ac:dyDescent="0.25">
      <c r="B164" s="82">
        <f>SUBTOTAL(103,$D$8:D164)</f>
        <v>157</v>
      </c>
      <c r="C164" s="83" t="s">
        <v>172</v>
      </c>
      <c r="D164" s="84">
        <v>0</v>
      </c>
      <c r="E164" s="85" t="str">
        <f t="shared" si="15"/>
        <v/>
      </c>
      <c r="F164" s="106" t="str">
        <f t="shared" si="21"/>
        <v/>
      </c>
      <c r="G164" s="86"/>
      <c r="H164" s="107">
        <f t="shared" si="16"/>
        <v>0</v>
      </c>
      <c r="I164" s="107">
        <f t="shared" si="17"/>
        <v>0</v>
      </c>
      <c r="J164" s="87">
        <f>IF($D164&gt;0,IFERROR(Параметры!$D$42*$H164/$H$2408,0),0)</f>
        <v>0</v>
      </c>
      <c r="K164" s="87">
        <f>IFERROR(ROUND($N164*Параметры!$D$36,2),0)</f>
        <v>0</v>
      </c>
      <c r="L164" s="87">
        <f t="shared" si="18"/>
        <v>0</v>
      </c>
      <c r="M164" s="87">
        <f t="shared" si="19"/>
        <v>0</v>
      </c>
      <c r="N164" s="107" t="str">
        <f t="shared" si="20"/>
        <v/>
      </c>
    </row>
    <row r="165" spans="2:14" x14ac:dyDescent="0.25">
      <c r="B165" s="82">
        <f>SUBTOTAL(103,$D$8:D165)</f>
        <v>158</v>
      </c>
      <c r="C165" s="83" t="s">
        <v>173</v>
      </c>
      <c r="D165" s="84">
        <v>0</v>
      </c>
      <c r="E165" s="85" t="str">
        <f t="shared" si="15"/>
        <v/>
      </c>
      <c r="F165" s="106" t="str">
        <f t="shared" si="21"/>
        <v/>
      </c>
      <c r="G165" s="86"/>
      <c r="H165" s="107">
        <f t="shared" si="16"/>
        <v>0</v>
      </c>
      <c r="I165" s="107">
        <f t="shared" si="17"/>
        <v>0</v>
      </c>
      <c r="J165" s="87">
        <f>IF($D165&gt;0,IFERROR(Параметры!$D$42*$H165/$H$2408,0),0)</f>
        <v>0</v>
      </c>
      <c r="K165" s="87">
        <f>IFERROR(ROUND($N165*Параметры!$D$36,2),0)</f>
        <v>0</v>
      </c>
      <c r="L165" s="87">
        <f t="shared" si="18"/>
        <v>0</v>
      </c>
      <c r="M165" s="87">
        <f t="shared" si="19"/>
        <v>0</v>
      </c>
      <c r="N165" s="107" t="str">
        <f t="shared" si="20"/>
        <v/>
      </c>
    </row>
    <row r="166" spans="2:14" x14ac:dyDescent="0.25">
      <c r="B166" s="82">
        <f>SUBTOTAL(103,$D$8:D166)</f>
        <v>159</v>
      </c>
      <c r="C166" s="83" t="s">
        <v>174</v>
      </c>
      <c r="D166" s="84">
        <v>0</v>
      </c>
      <c r="E166" s="85" t="str">
        <f t="shared" si="15"/>
        <v/>
      </c>
      <c r="F166" s="106" t="str">
        <f t="shared" si="21"/>
        <v/>
      </c>
      <c r="G166" s="86"/>
      <c r="H166" s="107">
        <f t="shared" si="16"/>
        <v>0</v>
      </c>
      <c r="I166" s="107">
        <f t="shared" si="17"/>
        <v>0</v>
      </c>
      <c r="J166" s="87">
        <f>IF($D166&gt;0,IFERROR(Параметры!$D$42*$H166/$H$2408,0),0)</f>
        <v>0</v>
      </c>
      <c r="K166" s="87">
        <f>IFERROR(ROUND($N166*Параметры!$D$36,2),0)</f>
        <v>0</v>
      </c>
      <c r="L166" s="87">
        <f t="shared" si="18"/>
        <v>0</v>
      </c>
      <c r="M166" s="87">
        <f t="shared" si="19"/>
        <v>0</v>
      </c>
      <c r="N166" s="107" t="str">
        <f t="shared" si="20"/>
        <v/>
      </c>
    </row>
    <row r="167" spans="2:14" x14ac:dyDescent="0.25">
      <c r="B167" s="82">
        <f>SUBTOTAL(103,$D$8:D167)</f>
        <v>160</v>
      </c>
      <c r="C167" s="83" t="s">
        <v>175</v>
      </c>
      <c r="D167" s="84">
        <v>0</v>
      </c>
      <c r="E167" s="85" t="str">
        <f t="shared" si="15"/>
        <v/>
      </c>
      <c r="F167" s="106" t="str">
        <f t="shared" si="21"/>
        <v/>
      </c>
      <c r="G167" s="86"/>
      <c r="H167" s="107">
        <f t="shared" si="16"/>
        <v>0</v>
      </c>
      <c r="I167" s="107">
        <f t="shared" si="17"/>
        <v>0</v>
      </c>
      <c r="J167" s="87">
        <f>IF($D167&gt;0,IFERROR(Параметры!$D$42*$H167/$H$2408,0),0)</f>
        <v>0</v>
      </c>
      <c r="K167" s="87">
        <f>IFERROR(ROUND($N167*Параметры!$D$36,2),0)</f>
        <v>0</v>
      </c>
      <c r="L167" s="87">
        <f t="shared" si="18"/>
        <v>0</v>
      </c>
      <c r="M167" s="87">
        <f t="shared" si="19"/>
        <v>0</v>
      </c>
      <c r="N167" s="107" t="str">
        <f t="shared" si="20"/>
        <v/>
      </c>
    </row>
    <row r="168" spans="2:14" x14ac:dyDescent="0.25">
      <c r="B168" s="82">
        <f>SUBTOTAL(103,$D$8:D168)</f>
        <v>161</v>
      </c>
      <c r="C168" s="83" t="s">
        <v>176</v>
      </c>
      <c r="D168" s="84">
        <v>0</v>
      </c>
      <c r="E168" s="85" t="str">
        <f t="shared" si="15"/>
        <v/>
      </c>
      <c r="F168" s="106" t="str">
        <f t="shared" si="21"/>
        <v/>
      </c>
      <c r="G168" s="86"/>
      <c r="H168" s="107">
        <f t="shared" si="16"/>
        <v>0</v>
      </c>
      <c r="I168" s="107">
        <f t="shared" si="17"/>
        <v>0</v>
      </c>
      <c r="J168" s="87">
        <f>IF($D168&gt;0,IFERROR(Параметры!$D$42*$H168/$H$2408,0),0)</f>
        <v>0</v>
      </c>
      <c r="K168" s="87">
        <f>IFERROR(ROUND($N168*Параметры!$D$36,2),0)</f>
        <v>0</v>
      </c>
      <c r="L168" s="87">
        <f t="shared" si="18"/>
        <v>0</v>
      </c>
      <c r="M168" s="87">
        <f t="shared" si="19"/>
        <v>0</v>
      </c>
      <c r="N168" s="107" t="str">
        <f t="shared" si="20"/>
        <v/>
      </c>
    </row>
    <row r="169" spans="2:14" x14ac:dyDescent="0.25">
      <c r="B169" s="82">
        <f>SUBTOTAL(103,$D$8:D169)</f>
        <v>162</v>
      </c>
      <c r="C169" s="83" t="s">
        <v>177</v>
      </c>
      <c r="D169" s="84">
        <v>0</v>
      </c>
      <c r="E169" s="85" t="str">
        <f t="shared" si="15"/>
        <v/>
      </c>
      <c r="F169" s="106" t="str">
        <f t="shared" si="21"/>
        <v/>
      </c>
      <c r="G169" s="86"/>
      <c r="H169" s="107">
        <f t="shared" si="16"/>
        <v>0</v>
      </c>
      <c r="I169" s="107">
        <f t="shared" si="17"/>
        <v>0</v>
      </c>
      <c r="J169" s="87">
        <f>IF($D169&gt;0,IFERROR(Параметры!$D$42*$H169/$H$2408,0),0)</f>
        <v>0</v>
      </c>
      <c r="K169" s="87">
        <f>IFERROR(ROUND($N169*Параметры!$D$36,2),0)</f>
        <v>0</v>
      </c>
      <c r="L169" s="87">
        <f t="shared" si="18"/>
        <v>0</v>
      </c>
      <c r="M169" s="87">
        <f t="shared" si="19"/>
        <v>0</v>
      </c>
      <c r="N169" s="107" t="str">
        <f t="shared" si="20"/>
        <v/>
      </c>
    </row>
    <row r="170" spans="2:14" x14ac:dyDescent="0.25">
      <c r="B170" s="82">
        <f>SUBTOTAL(103,$D$8:D170)</f>
        <v>163</v>
      </c>
      <c r="C170" s="83" t="s">
        <v>178</v>
      </c>
      <c r="D170" s="84">
        <v>0</v>
      </c>
      <c r="E170" s="85" t="str">
        <f t="shared" si="15"/>
        <v/>
      </c>
      <c r="F170" s="106" t="str">
        <f t="shared" si="21"/>
        <v/>
      </c>
      <c r="G170" s="86"/>
      <c r="H170" s="107">
        <f t="shared" si="16"/>
        <v>0</v>
      </c>
      <c r="I170" s="107">
        <f t="shared" si="17"/>
        <v>0</v>
      </c>
      <c r="J170" s="87">
        <f>IF($D170&gt;0,IFERROR(Параметры!$D$42*$H170/$H$2408,0),0)</f>
        <v>0</v>
      </c>
      <c r="K170" s="87">
        <f>IFERROR(ROUND($N170*Параметры!$D$36,2),0)</f>
        <v>0</v>
      </c>
      <c r="L170" s="87">
        <f t="shared" si="18"/>
        <v>0</v>
      </c>
      <c r="M170" s="87">
        <f t="shared" si="19"/>
        <v>0</v>
      </c>
      <c r="N170" s="107" t="str">
        <f t="shared" si="20"/>
        <v/>
      </c>
    </row>
    <row r="171" spans="2:14" x14ac:dyDescent="0.25">
      <c r="B171" s="82">
        <f>SUBTOTAL(103,$D$8:D171)</f>
        <v>164</v>
      </c>
      <c r="C171" s="83" t="s">
        <v>179</v>
      </c>
      <c r="D171" s="84">
        <v>0</v>
      </c>
      <c r="E171" s="85" t="str">
        <f t="shared" si="15"/>
        <v/>
      </c>
      <c r="F171" s="106" t="str">
        <f t="shared" si="21"/>
        <v/>
      </c>
      <c r="G171" s="86"/>
      <c r="H171" s="107">
        <f t="shared" si="16"/>
        <v>0</v>
      </c>
      <c r="I171" s="107">
        <f t="shared" si="17"/>
        <v>0</v>
      </c>
      <c r="J171" s="87">
        <f>IF($D171&gt;0,IFERROR(Параметры!$D$42*$H171/$H$2408,0),0)</f>
        <v>0</v>
      </c>
      <c r="K171" s="87">
        <f>IFERROR(ROUND($N171*Параметры!$D$36,2),0)</f>
        <v>0</v>
      </c>
      <c r="L171" s="87">
        <f t="shared" si="18"/>
        <v>0</v>
      </c>
      <c r="M171" s="87">
        <f t="shared" si="19"/>
        <v>0</v>
      </c>
      <c r="N171" s="107" t="str">
        <f t="shared" si="20"/>
        <v/>
      </c>
    </row>
    <row r="172" spans="2:14" x14ac:dyDescent="0.25">
      <c r="B172" s="82">
        <f>SUBTOTAL(103,$D$8:D172)</f>
        <v>165</v>
      </c>
      <c r="C172" s="83" t="s">
        <v>180</v>
      </c>
      <c r="D172" s="84">
        <v>0</v>
      </c>
      <c r="E172" s="85" t="str">
        <f t="shared" si="15"/>
        <v/>
      </c>
      <c r="F172" s="106" t="str">
        <f t="shared" si="21"/>
        <v/>
      </c>
      <c r="G172" s="86"/>
      <c r="H172" s="107">
        <f t="shared" si="16"/>
        <v>0</v>
      </c>
      <c r="I172" s="107">
        <f t="shared" si="17"/>
        <v>0</v>
      </c>
      <c r="J172" s="87">
        <f>IF($D172&gt;0,IFERROR(Параметры!$D$42*$H172/$H$2408,0),0)</f>
        <v>0</v>
      </c>
      <c r="K172" s="87">
        <f>IFERROR(ROUND($N172*Параметры!$D$36,2),0)</f>
        <v>0</v>
      </c>
      <c r="L172" s="87">
        <f t="shared" si="18"/>
        <v>0</v>
      </c>
      <c r="M172" s="87">
        <f t="shared" si="19"/>
        <v>0</v>
      </c>
      <c r="N172" s="107" t="str">
        <f t="shared" si="20"/>
        <v/>
      </c>
    </row>
    <row r="173" spans="2:14" x14ac:dyDescent="0.25">
      <c r="B173" s="82">
        <f>SUBTOTAL(103,$D$8:D173)</f>
        <v>166</v>
      </c>
      <c r="C173" s="83" t="s">
        <v>181</v>
      </c>
      <c r="D173" s="84">
        <v>0</v>
      </c>
      <c r="E173" s="85" t="str">
        <f t="shared" si="15"/>
        <v/>
      </c>
      <c r="F173" s="106" t="str">
        <f t="shared" si="21"/>
        <v/>
      </c>
      <c r="G173" s="86"/>
      <c r="H173" s="107">
        <f t="shared" si="16"/>
        <v>0</v>
      </c>
      <c r="I173" s="107">
        <f t="shared" si="17"/>
        <v>0</v>
      </c>
      <c r="J173" s="87">
        <f>IF($D173&gt;0,IFERROR(Параметры!$D$42*$H173/$H$2408,0),0)</f>
        <v>0</v>
      </c>
      <c r="K173" s="87">
        <f>IFERROR(ROUND($N173*Параметры!$D$36,2),0)</f>
        <v>0</v>
      </c>
      <c r="L173" s="87">
        <f t="shared" si="18"/>
        <v>0</v>
      </c>
      <c r="M173" s="87">
        <f t="shared" si="19"/>
        <v>0</v>
      </c>
      <c r="N173" s="107" t="str">
        <f t="shared" si="20"/>
        <v/>
      </c>
    </row>
    <row r="174" spans="2:14" x14ac:dyDescent="0.25">
      <c r="B174" s="82">
        <f>SUBTOTAL(103,$D$8:D174)</f>
        <v>167</v>
      </c>
      <c r="C174" s="83" t="s">
        <v>182</v>
      </c>
      <c r="D174" s="84">
        <v>0</v>
      </c>
      <c r="E174" s="85" t="str">
        <f t="shared" si="15"/>
        <v/>
      </c>
      <c r="F174" s="106" t="str">
        <f t="shared" si="21"/>
        <v/>
      </c>
      <c r="G174" s="86"/>
      <c r="H174" s="107">
        <f t="shared" si="16"/>
        <v>0</v>
      </c>
      <c r="I174" s="107">
        <f t="shared" si="17"/>
        <v>0</v>
      </c>
      <c r="J174" s="87">
        <f>IF($D174&gt;0,IFERROR(Параметры!$D$42*$H174/$H$2408,0),0)</f>
        <v>0</v>
      </c>
      <c r="K174" s="87">
        <f>IFERROR(ROUND($N174*Параметры!$D$36,2),0)</f>
        <v>0</v>
      </c>
      <c r="L174" s="87">
        <f t="shared" si="18"/>
        <v>0</v>
      </c>
      <c r="M174" s="87">
        <f t="shared" si="19"/>
        <v>0</v>
      </c>
      <c r="N174" s="107" t="str">
        <f t="shared" si="20"/>
        <v/>
      </c>
    </row>
    <row r="175" spans="2:14" x14ac:dyDescent="0.25">
      <c r="B175" s="82">
        <f>SUBTOTAL(103,$D$8:D175)</f>
        <v>168</v>
      </c>
      <c r="C175" s="83" t="s">
        <v>183</v>
      </c>
      <c r="D175" s="84">
        <v>0</v>
      </c>
      <c r="E175" s="85" t="str">
        <f t="shared" si="15"/>
        <v/>
      </c>
      <c r="F175" s="106" t="str">
        <f t="shared" si="21"/>
        <v/>
      </c>
      <c r="G175" s="86"/>
      <c r="H175" s="107">
        <f t="shared" si="16"/>
        <v>0</v>
      </c>
      <c r="I175" s="107">
        <f t="shared" si="17"/>
        <v>0</v>
      </c>
      <c r="J175" s="87">
        <f>IF($D175&gt;0,IFERROR(Параметры!$D$42*$H175/$H$2408,0),0)</f>
        <v>0</v>
      </c>
      <c r="K175" s="87">
        <f>IFERROR(ROUND($N175*Параметры!$D$36,2),0)</f>
        <v>0</v>
      </c>
      <c r="L175" s="87">
        <f t="shared" si="18"/>
        <v>0</v>
      </c>
      <c r="M175" s="87">
        <f t="shared" si="19"/>
        <v>0</v>
      </c>
      <c r="N175" s="107" t="str">
        <f t="shared" si="20"/>
        <v/>
      </c>
    </row>
    <row r="176" spans="2:14" x14ac:dyDescent="0.25">
      <c r="B176" s="82">
        <f>SUBTOTAL(103,$D$8:D176)</f>
        <v>169</v>
      </c>
      <c r="C176" s="83" t="s">
        <v>184</v>
      </c>
      <c r="D176" s="84">
        <v>0</v>
      </c>
      <c r="E176" s="85" t="str">
        <f t="shared" si="15"/>
        <v/>
      </c>
      <c r="F176" s="106" t="str">
        <f t="shared" si="21"/>
        <v/>
      </c>
      <c r="G176" s="86"/>
      <c r="H176" s="107">
        <f t="shared" si="16"/>
        <v>0</v>
      </c>
      <c r="I176" s="107">
        <f t="shared" si="17"/>
        <v>0</v>
      </c>
      <c r="J176" s="87">
        <f>IF($D176&gt;0,IFERROR(Параметры!$D$42*$H176/$H$2408,0),0)</f>
        <v>0</v>
      </c>
      <c r="K176" s="87">
        <f>IFERROR(ROUND($N176*Параметры!$D$36,2),0)</f>
        <v>0</v>
      </c>
      <c r="L176" s="87">
        <f t="shared" si="18"/>
        <v>0</v>
      </c>
      <c r="M176" s="87">
        <f t="shared" si="19"/>
        <v>0</v>
      </c>
      <c r="N176" s="107" t="str">
        <f t="shared" si="20"/>
        <v/>
      </c>
    </row>
    <row r="177" spans="2:14" x14ac:dyDescent="0.25">
      <c r="B177" s="82">
        <f>SUBTOTAL(103,$D$8:D177)</f>
        <v>170</v>
      </c>
      <c r="C177" s="83" t="s">
        <v>185</v>
      </c>
      <c r="D177" s="84">
        <v>0</v>
      </c>
      <c r="E177" s="85" t="str">
        <f t="shared" si="15"/>
        <v/>
      </c>
      <c r="F177" s="106" t="str">
        <f t="shared" si="21"/>
        <v/>
      </c>
      <c r="G177" s="86"/>
      <c r="H177" s="107">
        <f t="shared" si="16"/>
        <v>0</v>
      </c>
      <c r="I177" s="107">
        <f t="shared" si="17"/>
        <v>0</v>
      </c>
      <c r="J177" s="87">
        <f>IF($D177&gt;0,IFERROR(Параметры!$D$42*$H177/$H$2408,0),0)</f>
        <v>0</v>
      </c>
      <c r="K177" s="87">
        <f>IFERROR(ROUND($N177*Параметры!$D$36,2),0)</f>
        <v>0</v>
      </c>
      <c r="L177" s="87">
        <f t="shared" si="18"/>
        <v>0</v>
      </c>
      <c r="M177" s="87">
        <f t="shared" si="19"/>
        <v>0</v>
      </c>
      <c r="N177" s="107" t="str">
        <f t="shared" si="20"/>
        <v/>
      </c>
    </row>
    <row r="178" spans="2:14" x14ac:dyDescent="0.25">
      <c r="B178" s="82">
        <f>SUBTOTAL(103,$D$8:D178)</f>
        <v>171</v>
      </c>
      <c r="C178" s="83" t="s">
        <v>186</v>
      </c>
      <c r="D178" s="84">
        <v>0</v>
      </c>
      <c r="E178" s="85" t="str">
        <f t="shared" si="15"/>
        <v/>
      </c>
      <c r="F178" s="106" t="str">
        <f t="shared" si="21"/>
        <v/>
      </c>
      <c r="G178" s="86"/>
      <c r="H178" s="107">
        <f t="shared" si="16"/>
        <v>0</v>
      </c>
      <c r="I178" s="107">
        <f t="shared" si="17"/>
        <v>0</v>
      </c>
      <c r="J178" s="87">
        <f>IF($D178&gt;0,IFERROR(Параметры!$D$42*$H178/$H$2408,0),0)</f>
        <v>0</v>
      </c>
      <c r="K178" s="87">
        <f>IFERROR(ROUND($N178*Параметры!$D$36,2),0)</f>
        <v>0</v>
      </c>
      <c r="L178" s="87">
        <f t="shared" si="18"/>
        <v>0</v>
      </c>
      <c r="M178" s="87">
        <f t="shared" si="19"/>
        <v>0</v>
      </c>
      <c r="N178" s="107" t="str">
        <f t="shared" si="20"/>
        <v/>
      </c>
    </row>
    <row r="179" spans="2:14" x14ac:dyDescent="0.25">
      <c r="B179" s="82">
        <f>SUBTOTAL(103,$D$8:D179)</f>
        <v>172</v>
      </c>
      <c r="C179" s="83" t="s">
        <v>187</v>
      </c>
      <c r="D179" s="84">
        <v>0</v>
      </c>
      <c r="E179" s="85" t="str">
        <f t="shared" si="15"/>
        <v/>
      </c>
      <c r="F179" s="106" t="str">
        <f t="shared" si="21"/>
        <v/>
      </c>
      <c r="G179" s="86"/>
      <c r="H179" s="107">
        <f t="shared" si="16"/>
        <v>0</v>
      </c>
      <c r="I179" s="107">
        <f t="shared" si="17"/>
        <v>0</v>
      </c>
      <c r="J179" s="87">
        <f>IF($D179&gt;0,IFERROR(Параметры!$D$42*$H179/$H$2408,0),0)</f>
        <v>0</v>
      </c>
      <c r="K179" s="87">
        <f>IFERROR(ROUND($N179*Параметры!$D$36,2),0)</f>
        <v>0</v>
      </c>
      <c r="L179" s="87">
        <f t="shared" si="18"/>
        <v>0</v>
      </c>
      <c r="M179" s="87">
        <f t="shared" si="19"/>
        <v>0</v>
      </c>
      <c r="N179" s="107" t="str">
        <f t="shared" si="20"/>
        <v/>
      </c>
    </row>
    <row r="180" spans="2:14" x14ac:dyDescent="0.25">
      <c r="B180" s="82">
        <f>SUBTOTAL(103,$D$8:D180)</f>
        <v>173</v>
      </c>
      <c r="C180" s="83" t="s">
        <v>188</v>
      </c>
      <c r="D180" s="84">
        <v>0</v>
      </c>
      <c r="E180" s="85" t="str">
        <f t="shared" si="15"/>
        <v/>
      </c>
      <c r="F180" s="106" t="str">
        <f t="shared" si="21"/>
        <v/>
      </c>
      <c r="G180" s="86"/>
      <c r="H180" s="107">
        <f t="shared" si="16"/>
        <v>0</v>
      </c>
      <c r="I180" s="107">
        <f t="shared" si="17"/>
        <v>0</v>
      </c>
      <c r="J180" s="87">
        <f>IF($D180&gt;0,IFERROR(Параметры!$D$42*$H180/$H$2408,0),0)</f>
        <v>0</v>
      </c>
      <c r="K180" s="87">
        <f>IFERROR(ROUND($N180*Параметры!$D$36,2),0)</f>
        <v>0</v>
      </c>
      <c r="L180" s="87">
        <f t="shared" si="18"/>
        <v>0</v>
      </c>
      <c r="M180" s="87">
        <f t="shared" si="19"/>
        <v>0</v>
      </c>
      <c r="N180" s="107" t="str">
        <f t="shared" si="20"/>
        <v/>
      </c>
    </row>
    <row r="181" spans="2:14" x14ac:dyDescent="0.25">
      <c r="B181" s="82">
        <f>SUBTOTAL(103,$D$8:D181)</f>
        <v>174</v>
      </c>
      <c r="C181" s="83" t="s">
        <v>189</v>
      </c>
      <c r="D181" s="84">
        <v>0</v>
      </c>
      <c r="E181" s="85" t="str">
        <f t="shared" si="15"/>
        <v/>
      </c>
      <c r="F181" s="106" t="str">
        <f t="shared" si="21"/>
        <v/>
      </c>
      <c r="G181" s="86"/>
      <c r="H181" s="107">
        <f t="shared" si="16"/>
        <v>0</v>
      </c>
      <c r="I181" s="107">
        <f t="shared" si="17"/>
        <v>0</v>
      </c>
      <c r="J181" s="87">
        <f>IF($D181&gt;0,IFERROR(Параметры!$D$42*$H181/$H$2408,0),0)</f>
        <v>0</v>
      </c>
      <c r="K181" s="87">
        <f>IFERROR(ROUND($N181*Параметры!$D$36,2),0)</f>
        <v>0</v>
      </c>
      <c r="L181" s="87">
        <f t="shared" si="18"/>
        <v>0</v>
      </c>
      <c r="M181" s="87">
        <f t="shared" si="19"/>
        <v>0</v>
      </c>
      <c r="N181" s="107" t="str">
        <f t="shared" si="20"/>
        <v/>
      </c>
    </row>
    <row r="182" spans="2:14" x14ac:dyDescent="0.25">
      <c r="B182" s="82">
        <f>SUBTOTAL(103,$D$8:D182)</f>
        <v>175</v>
      </c>
      <c r="C182" s="83" t="s">
        <v>190</v>
      </c>
      <c r="D182" s="84">
        <v>0</v>
      </c>
      <c r="E182" s="85" t="str">
        <f t="shared" si="15"/>
        <v/>
      </c>
      <c r="F182" s="106" t="str">
        <f t="shared" si="21"/>
        <v/>
      </c>
      <c r="G182" s="86"/>
      <c r="H182" s="107">
        <f t="shared" si="16"/>
        <v>0</v>
      </c>
      <c r="I182" s="107">
        <f t="shared" si="17"/>
        <v>0</v>
      </c>
      <c r="J182" s="87">
        <f>IF($D182&gt;0,IFERROR(Параметры!$D$42*$H182/$H$2408,0),0)</f>
        <v>0</v>
      </c>
      <c r="K182" s="87">
        <f>IFERROR(ROUND($N182*Параметры!$D$36,2),0)</f>
        <v>0</v>
      </c>
      <c r="L182" s="87">
        <f t="shared" si="18"/>
        <v>0</v>
      </c>
      <c r="M182" s="87">
        <f t="shared" si="19"/>
        <v>0</v>
      </c>
      <c r="N182" s="107" t="str">
        <f t="shared" si="20"/>
        <v/>
      </c>
    </row>
    <row r="183" spans="2:14" x14ac:dyDescent="0.25">
      <c r="B183" s="82">
        <f>SUBTOTAL(103,$D$8:D183)</f>
        <v>176</v>
      </c>
      <c r="C183" s="83" t="s">
        <v>191</v>
      </c>
      <c r="D183" s="84">
        <v>0</v>
      </c>
      <c r="E183" s="85" t="str">
        <f t="shared" si="15"/>
        <v/>
      </c>
      <c r="F183" s="106" t="str">
        <f t="shared" si="21"/>
        <v/>
      </c>
      <c r="G183" s="86"/>
      <c r="H183" s="107">
        <f t="shared" si="16"/>
        <v>0</v>
      </c>
      <c r="I183" s="107">
        <f t="shared" si="17"/>
        <v>0</v>
      </c>
      <c r="J183" s="87">
        <f>IF($D183&gt;0,IFERROR(Параметры!$D$42*$H183/$H$2408,0),0)</f>
        <v>0</v>
      </c>
      <c r="K183" s="87">
        <f>IFERROR(ROUND($N183*Параметры!$D$36,2),0)</f>
        <v>0</v>
      </c>
      <c r="L183" s="87">
        <f t="shared" si="18"/>
        <v>0</v>
      </c>
      <c r="M183" s="87">
        <f t="shared" si="19"/>
        <v>0</v>
      </c>
      <c r="N183" s="107" t="str">
        <f t="shared" si="20"/>
        <v/>
      </c>
    </row>
    <row r="184" spans="2:14" x14ac:dyDescent="0.25">
      <c r="B184" s="82">
        <f>SUBTOTAL(103,$D$8:D184)</f>
        <v>177</v>
      </c>
      <c r="C184" s="83" t="s">
        <v>192</v>
      </c>
      <c r="D184" s="84">
        <v>0</v>
      </c>
      <c r="E184" s="85" t="str">
        <f t="shared" si="15"/>
        <v/>
      </c>
      <c r="F184" s="106" t="str">
        <f t="shared" si="21"/>
        <v/>
      </c>
      <c r="G184" s="86"/>
      <c r="H184" s="107">
        <f t="shared" si="16"/>
        <v>0</v>
      </c>
      <c r="I184" s="107">
        <f t="shared" si="17"/>
        <v>0</v>
      </c>
      <c r="J184" s="87">
        <f>IF($D184&gt;0,IFERROR(Параметры!$D$42*$H184/$H$2408,0),0)</f>
        <v>0</v>
      </c>
      <c r="K184" s="87">
        <f>IFERROR(ROUND($N184*Параметры!$D$36,2),0)</f>
        <v>0</v>
      </c>
      <c r="L184" s="87">
        <f t="shared" si="18"/>
        <v>0</v>
      </c>
      <c r="M184" s="87">
        <f t="shared" si="19"/>
        <v>0</v>
      </c>
      <c r="N184" s="107" t="str">
        <f t="shared" si="20"/>
        <v/>
      </c>
    </row>
    <row r="185" spans="2:14" x14ac:dyDescent="0.25">
      <c r="B185" s="82">
        <f>SUBTOTAL(103,$D$8:D185)</f>
        <v>178</v>
      </c>
      <c r="C185" s="83" t="s">
        <v>193</v>
      </c>
      <c r="D185" s="84">
        <v>0</v>
      </c>
      <c r="E185" s="85" t="str">
        <f t="shared" si="15"/>
        <v/>
      </c>
      <c r="F185" s="106" t="str">
        <f t="shared" si="21"/>
        <v/>
      </c>
      <c r="G185" s="86"/>
      <c r="H185" s="107">
        <f t="shared" si="16"/>
        <v>0</v>
      </c>
      <c r="I185" s="107">
        <f t="shared" si="17"/>
        <v>0</v>
      </c>
      <c r="J185" s="87">
        <f>IF($D185&gt;0,IFERROR(Параметры!$D$42*$H185/$H$2408,0),0)</f>
        <v>0</v>
      </c>
      <c r="K185" s="87">
        <f>IFERROR(ROUND($N185*Параметры!$D$36,2),0)</f>
        <v>0</v>
      </c>
      <c r="L185" s="87">
        <f t="shared" si="18"/>
        <v>0</v>
      </c>
      <c r="M185" s="87">
        <f t="shared" si="19"/>
        <v>0</v>
      </c>
      <c r="N185" s="107" t="str">
        <f t="shared" si="20"/>
        <v/>
      </c>
    </row>
    <row r="186" spans="2:14" x14ac:dyDescent="0.25">
      <c r="B186" s="82">
        <f>SUBTOTAL(103,$D$8:D186)</f>
        <v>179</v>
      </c>
      <c r="C186" s="83" t="s">
        <v>194</v>
      </c>
      <c r="D186" s="84">
        <v>0</v>
      </c>
      <c r="E186" s="85" t="str">
        <f t="shared" si="15"/>
        <v/>
      </c>
      <c r="F186" s="106" t="str">
        <f t="shared" si="21"/>
        <v/>
      </c>
      <c r="G186" s="86"/>
      <c r="H186" s="107">
        <f t="shared" si="16"/>
        <v>0</v>
      </c>
      <c r="I186" s="107">
        <f t="shared" si="17"/>
        <v>0</v>
      </c>
      <c r="J186" s="87">
        <f>IF($D186&gt;0,IFERROR(Параметры!$D$42*$H186/$H$2408,0),0)</f>
        <v>0</v>
      </c>
      <c r="K186" s="87">
        <f>IFERROR(ROUND($N186*Параметры!$D$36,2),0)</f>
        <v>0</v>
      </c>
      <c r="L186" s="87">
        <f t="shared" si="18"/>
        <v>0</v>
      </c>
      <c r="M186" s="87">
        <f t="shared" si="19"/>
        <v>0</v>
      </c>
      <c r="N186" s="107" t="str">
        <f t="shared" si="20"/>
        <v/>
      </c>
    </row>
    <row r="187" spans="2:14" x14ac:dyDescent="0.25">
      <c r="B187" s="82">
        <f>SUBTOTAL(103,$D$8:D187)</f>
        <v>180</v>
      </c>
      <c r="C187" s="83" t="s">
        <v>195</v>
      </c>
      <c r="D187" s="84">
        <v>0</v>
      </c>
      <c r="E187" s="85" t="str">
        <f t="shared" si="15"/>
        <v/>
      </c>
      <c r="F187" s="106" t="str">
        <f t="shared" si="21"/>
        <v/>
      </c>
      <c r="G187" s="86"/>
      <c r="H187" s="107">
        <f t="shared" si="16"/>
        <v>0</v>
      </c>
      <c r="I187" s="107">
        <f t="shared" si="17"/>
        <v>0</v>
      </c>
      <c r="J187" s="87">
        <f>IF($D187&gt;0,IFERROR(Параметры!$D$42*$H187/$H$2408,0),0)</f>
        <v>0</v>
      </c>
      <c r="K187" s="87">
        <f>IFERROR(ROUND($N187*Параметры!$D$36,2),0)</f>
        <v>0</v>
      </c>
      <c r="L187" s="87">
        <f t="shared" si="18"/>
        <v>0</v>
      </c>
      <c r="M187" s="87">
        <f t="shared" si="19"/>
        <v>0</v>
      </c>
      <c r="N187" s="107" t="str">
        <f t="shared" si="20"/>
        <v/>
      </c>
    </row>
    <row r="188" spans="2:14" x14ac:dyDescent="0.25">
      <c r="B188" s="82">
        <f>SUBTOTAL(103,$D$8:D188)</f>
        <v>181</v>
      </c>
      <c r="C188" s="83" t="s">
        <v>196</v>
      </c>
      <c r="D188" s="84">
        <f t="array" ref="D188:D247">TRANSPOSE('Зарядная карта'!$C$8:$BJ$8)</f>
        <v>0</v>
      </c>
      <c r="E188" s="85" t="str">
        <f t="shared" si="15"/>
        <v/>
      </c>
      <c r="F188" s="106" t="str">
        <f t="shared" si="21"/>
        <v/>
      </c>
      <c r="G188" s="86"/>
      <c r="H188" s="107">
        <f t="shared" si="16"/>
        <v>0</v>
      </c>
      <c r="I188" s="107">
        <f t="shared" si="17"/>
        <v>0</v>
      </c>
      <c r="J188" s="87">
        <f>IF($D188&gt;0,IFERROR(Параметры!$D$42*$H188/$H$2408,0),0)</f>
        <v>0</v>
      </c>
      <c r="K188" s="87">
        <f>IFERROR(ROUND($N188*Параметры!$D$36,2),0)</f>
        <v>0</v>
      </c>
      <c r="L188" s="87">
        <f t="shared" si="18"/>
        <v>0</v>
      </c>
      <c r="M188" s="87">
        <f t="shared" si="19"/>
        <v>0</v>
      </c>
      <c r="N188" s="107" t="str">
        <f t="shared" si="20"/>
        <v/>
      </c>
    </row>
    <row r="189" spans="2:14" x14ac:dyDescent="0.25">
      <c r="B189" s="82">
        <f>SUBTOTAL(103,$D$8:D189)</f>
        <v>182</v>
      </c>
      <c r="C189" s="83" t="s">
        <v>197</v>
      </c>
      <c r="D189" s="84">
        <v>0</v>
      </c>
      <c r="E189" s="85" t="str">
        <f t="shared" si="15"/>
        <v/>
      </c>
      <c r="F189" s="106" t="str">
        <f t="shared" si="21"/>
        <v/>
      </c>
      <c r="G189" s="86"/>
      <c r="H189" s="107">
        <f t="shared" si="16"/>
        <v>0</v>
      </c>
      <c r="I189" s="107">
        <f t="shared" si="17"/>
        <v>0</v>
      </c>
      <c r="J189" s="87">
        <f>IF($D189&gt;0,IFERROR(Параметры!$D$42*$H189/$H$2408,0),0)</f>
        <v>0</v>
      </c>
      <c r="K189" s="87">
        <f>IFERROR(ROUND($N189*Параметры!$D$36,2),0)</f>
        <v>0</v>
      </c>
      <c r="L189" s="87">
        <f t="shared" si="18"/>
        <v>0</v>
      </c>
      <c r="M189" s="87">
        <f t="shared" si="19"/>
        <v>0</v>
      </c>
      <c r="N189" s="107" t="str">
        <f t="shared" si="20"/>
        <v/>
      </c>
    </row>
    <row r="190" spans="2:14" x14ac:dyDescent="0.25">
      <c r="B190" s="82">
        <f>SUBTOTAL(103,$D$8:D190)</f>
        <v>183</v>
      </c>
      <c r="C190" s="83" t="s">
        <v>198</v>
      </c>
      <c r="D190" s="84">
        <v>0</v>
      </c>
      <c r="E190" s="85" t="str">
        <f t="shared" si="15"/>
        <v/>
      </c>
      <c r="F190" s="106" t="str">
        <f t="shared" si="21"/>
        <v/>
      </c>
      <c r="G190" s="86"/>
      <c r="H190" s="107">
        <f t="shared" si="16"/>
        <v>0</v>
      </c>
      <c r="I190" s="107">
        <f t="shared" si="17"/>
        <v>0</v>
      </c>
      <c r="J190" s="87">
        <f>IF($D190&gt;0,IFERROR(Параметры!$D$42*$H190/$H$2408,0),0)</f>
        <v>0</v>
      </c>
      <c r="K190" s="87">
        <f>IFERROR(ROUND($N190*Параметры!$D$36,2),0)</f>
        <v>0</v>
      </c>
      <c r="L190" s="87">
        <f t="shared" si="18"/>
        <v>0</v>
      </c>
      <c r="M190" s="87">
        <f t="shared" si="19"/>
        <v>0</v>
      </c>
      <c r="N190" s="107" t="str">
        <f t="shared" si="20"/>
        <v/>
      </c>
    </row>
    <row r="191" spans="2:14" x14ac:dyDescent="0.25">
      <c r="B191" s="82">
        <f>SUBTOTAL(103,$D$8:D191)</f>
        <v>184</v>
      </c>
      <c r="C191" s="83" t="s">
        <v>199</v>
      </c>
      <c r="D191" s="84">
        <v>0</v>
      </c>
      <c r="E191" s="85" t="str">
        <f t="shared" si="15"/>
        <v/>
      </c>
      <c r="F191" s="106" t="str">
        <f t="shared" si="21"/>
        <v/>
      </c>
      <c r="G191" s="86"/>
      <c r="H191" s="107">
        <f t="shared" si="16"/>
        <v>0</v>
      </c>
      <c r="I191" s="107">
        <f t="shared" si="17"/>
        <v>0</v>
      </c>
      <c r="J191" s="87">
        <f>IF($D191&gt;0,IFERROR(Параметры!$D$42*$H191/$H$2408,0),0)</f>
        <v>0</v>
      </c>
      <c r="K191" s="87">
        <f>IFERROR(ROUND($N191*Параметры!$D$36,2),0)</f>
        <v>0</v>
      </c>
      <c r="L191" s="87">
        <f t="shared" si="18"/>
        <v>0</v>
      </c>
      <c r="M191" s="87">
        <f t="shared" si="19"/>
        <v>0</v>
      </c>
      <c r="N191" s="107" t="str">
        <f t="shared" si="20"/>
        <v/>
      </c>
    </row>
    <row r="192" spans="2:14" x14ac:dyDescent="0.25">
      <c r="B192" s="82">
        <f>SUBTOTAL(103,$D$8:D192)</f>
        <v>185</v>
      </c>
      <c r="C192" s="83" t="s">
        <v>200</v>
      </c>
      <c r="D192" s="84">
        <v>0</v>
      </c>
      <c r="E192" s="85" t="str">
        <f t="shared" si="15"/>
        <v/>
      </c>
      <c r="F192" s="106" t="str">
        <f t="shared" si="21"/>
        <v/>
      </c>
      <c r="G192" s="86"/>
      <c r="H192" s="107">
        <f t="shared" si="16"/>
        <v>0</v>
      </c>
      <c r="I192" s="107">
        <f t="shared" si="17"/>
        <v>0</v>
      </c>
      <c r="J192" s="87">
        <f>IF($D192&gt;0,IFERROR(Параметры!$D$42*$H192/$H$2408,0),0)</f>
        <v>0</v>
      </c>
      <c r="K192" s="87">
        <f>IFERROR(ROUND($N192*Параметры!$D$36,2),0)</f>
        <v>0</v>
      </c>
      <c r="L192" s="87">
        <f t="shared" si="18"/>
        <v>0</v>
      </c>
      <c r="M192" s="87">
        <f t="shared" si="19"/>
        <v>0</v>
      </c>
      <c r="N192" s="107" t="str">
        <f t="shared" si="20"/>
        <v/>
      </c>
    </row>
    <row r="193" spans="2:14" x14ac:dyDescent="0.25">
      <c r="B193" s="82">
        <f>SUBTOTAL(103,$D$8:D193)</f>
        <v>186</v>
      </c>
      <c r="C193" s="83" t="s">
        <v>201</v>
      </c>
      <c r="D193" s="84">
        <v>0</v>
      </c>
      <c r="E193" s="85" t="str">
        <f t="shared" si="15"/>
        <v/>
      </c>
      <c r="F193" s="106" t="str">
        <f t="shared" si="21"/>
        <v/>
      </c>
      <c r="G193" s="86"/>
      <c r="H193" s="107">
        <f t="shared" si="16"/>
        <v>0</v>
      </c>
      <c r="I193" s="107">
        <f t="shared" si="17"/>
        <v>0</v>
      </c>
      <c r="J193" s="87">
        <f>IF($D193&gt;0,IFERROR(Параметры!$D$42*$H193/$H$2408,0),0)</f>
        <v>0</v>
      </c>
      <c r="K193" s="87">
        <f>IFERROR(ROUND($N193*Параметры!$D$36,2),0)</f>
        <v>0</v>
      </c>
      <c r="L193" s="87">
        <f t="shared" si="18"/>
        <v>0</v>
      </c>
      <c r="M193" s="87">
        <f t="shared" si="19"/>
        <v>0</v>
      </c>
      <c r="N193" s="107" t="str">
        <f t="shared" si="20"/>
        <v/>
      </c>
    </row>
    <row r="194" spans="2:14" x14ac:dyDescent="0.25">
      <c r="B194" s="82">
        <f>SUBTOTAL(103,$D$8:D194)</f>
        <v>187</v>
      </c>
      <c r="C194" s="83" t="s">
        <v>202</v>
      </c>
      <c r="D194" s="84">
        <v>0</v>
      </c>
      <c r="E194" s="85" t="str">
        <f t="shared" si="15"/>
        <v/>
      </c>
      <c r="F194" s="106" t="str">
        <f t="shared" si="21"/>
        <v/>
      </c>
      <c r="G194" s="86"/>
      <c r="H194" s="107">
        <f t="shared" si="16"/>
        <v>0</v>
      </c>
      <c r="I194" s="107">
        <f t="shared" si="17"/>
        <v>0</v>
      </c>
      <c r="J194" s="87">
        <f>IF($D194&gt;0,IFERROR(Параметры!$D$42*$H194/$H$2408,0),0)</f>
        <v>0</v>
      </c>
      <c r="K194" s="87">
        <f>IFERROR(ROUND($N194*Параметры!$D$36,2),0)</f>
        <v>0</v>
      </c>
      <c r="L194" s="87">
        <f t="shared" si="18"/>
        <v>0</v>
      </c>
      <c r="M194" s="87">
        <f t="shared" si="19"/>
        <v>0</v>
      </c>
      <c r="N194" s="107" t="str">
        <f t="shared" si="20"/>
        <v/>
      </c>
    </row>
    <row r="195" spans="2:14" x14ac:dyDescent="0.25">
      <c r="B195" s="82">
        <f>SUBTOTAL(103,$D$8:D195)</f>
        <v>188</v>
      </c>
      <c r="C195" s="83" t="s">
        <v>203</v>
      </c>
      <c r="D195" s="84">
        <v>0</v>
      </c>
      <c r="E195" s="85" t="str">
        <f t="shared" si="15"/>
        <v/>
      </c>
      <c r="F195" s="106" t="str">
        <f t="shared" si="21"/>
        <v/>
      </c>
      <c r="G195" s="86"/>
      <c r="H195" s="107">
        <f t="shared" si="16"/>
        <v>0</v>
      </c>
      <c r="I195" s="107">
        <f t="shared" si="17"/>
        <v>0</v>
      </c>
      <c r="J195" s="87">
        <f>IF($D195&gt;0,IFERROR(Параметры!$D$42*$H195/$H$2408,0),0)</f>
        <v>0</v>
      </c>
      <c r="K195" s="87">
        <f>IFERROR(ROUND($N195*Параметры!$D$36,2),0)</f>
        <v>0</v>
      </c>
      <c r="L195" s="87">
        <f t="shared" si="18"/>
        <v>0</v>
      </c>
      <c r="M195" s="87">
        <f t="shared" si="19"/>
        <v>0</v>
      </c>
      <c r="N195" s="107" t="str">
        <f t="shared" si="20"/>
        <v/>
      </c>
    </row>
    <row r="196" spans="2:14" x14ac:dyDescent="0.25">
      <c r="B196" s="82">
        <f>SUBTOTAL(103,$D$8:D196)</f>
        <v>189</v>
      </c>
      <c r="C196" s="83" t="s">
        <v>204</v>
      </c>
      <c r="D196" s="84">
        <v>0</v>
      </c>
      <c r="E196" s="85" t="str">
        <f t="shared" si="15"/>
        <v/>
      </c>
      <c r="F196" s="106" t="str">
        <f t="shared" si="21"/>
        <v/>
      </c>
      <c r="G196" s="86"/>
      <c r="H196" s="107">
        <f t="shared" si="16"/>
        <v>0</v>
      </c>
      <c r="I196" s="107">
        <f t="shared" si="17"/>
        <v>0</v>
      </c>
      <c r="J196" s="87">
        <f>IF($D196&gt;0,IFERROR(Параметры!$D$42*$H196/$H$2408,0),0)</f>
        <v>0</v>
      </c>
      <c r="K196" s="87">
        <f>IFERROR(ROUND($N196*Параметры!$D$36,2),0)</f>
        <v>0</v>
      </c>
      <c r="L196" s="87">
        <f t="shared" si="18"/>
        <v>0</v>
      </c>
      <c r="M196" s="87">
        <f t="shared" si="19"/>
        <v>0</v>
      </c>
      <c r="N196" s="107" t="str">
        <f t="shared" si="20"/>
        <v/>
      </c>
    </row>
    <row r="197" spans="2:14" x14ac:dyDescent="0.25">
      <c r="B197" s="82">
        <f>SUBTOTAL(103,$D$8:D197)</f>
        <v>190</v>
      </c>
      <c r="C197" s="83" t="s">
        <v>205</v>
      </c>
      <c r="D197" s="84">
        <v>0</v>
      </c>
      <c r="E197" s="85" t="str">
        <f t="shared" si="15"/>
        <v/>
      </c>
      <c r="F197" s="106" t="str">
        <f t="shared" si="21"/>
        <v/>
      </c>
      <c r="G197" s="86"/>
      <c r="H197" s="107">
        <f t="shared" si="16"/>
        <v>0</v>
      </c>
      <c r="I197" s="107">
        <f t="shared" si="17"/>
        <v>0</v>
      </c>
      <c r="J197" s="87">
        <f>IF($D197&gt;0,IFERROR(Параметры!$D$42*$H197/$H$2408,0),0)</f>
        <v>0</v>
      </c>
      <c r="K197" s="87">
        <f>IFERROR(ROUND($N197*Параметры!$D$36,2),0)</f>
        <v>0</v>
      </c>
      <c r="L197" s="87">
        <f t="shared" si="18"/>
        <v>0</v>
      </c>
      <c r="M197" s="87">
        <f t="shared" si="19"/>
        <v>0</v>
      </c>
      <c r="N197" s="107" t="str">
        <f t="shared" si="20"/>
        <v/>
      </c>
    </row>
    <row r="198" spans="2:14" x14ac:dyDescent="0.25">
      <c r="B198" s="82">
        <f>SUBTOTAL(103,$D$8:D198)</f>
        <v>191</v>
      </c>
      <c r="C198" s="83" t="s">
        <v>206</v>
      </c>
      <c r="D198" s="84">
        <v>0</v>
      </c>
      <c r="E198" s="85" t="str">
        <f t="shared" si="15"/>
        <v/>
      </c>
      <c r="F198" s="106" t="str">
        <f t="shared" si="21"/>
        <v/>
      </c>
      <c r="G198" s="86"/>
      <c r="H198" s="107">
        <f t="shared" si="16"/>
        <v>0</v>
      </c>
      <c r="I198" s="107">
        <f t="shared" si="17"/>
        <v>0</v>
      </c>
      <c r="J198" s="87">
        <f>IF($D198&gt;0,IFERROR(Параметры!$D$42*$H198/$H$2408,0),0)</f>
        <v>0</v>
      </c>
      <c r="K198" s="87">
        <f>IFERROR(ROUND($N198*Параметры!$D$36,2),0)</f>
        <v>0</v>
      </c>
      <c r="L198" s="87">
        <f t="shared" si="18"/>
        <v>0</v>
      </c>
      <c r="M198" s="87">
        <f t="shared" si="19"/>
        <v>0</v>
      </c>
      <c r="N198" s="107" t="str">
        <f t="shared" si="20"/>
        <v/>
      </c>
    </row>
    <row r="199" spans="2:14" x14ac:dyDescent="0.25">
      <c r="B199" s="82">
        <f>SUBTOTAL(103,$D$8:D199)</f>
        <v>192</v>
      </c>
      <c r="C199" s="83" t="s">
        <v>207</v>
      </c>
      <c r="D199" s="84">
        <v>0</v>
      </c>
      <c r="E199" s="85" t="str">
        <f t="shared" si="15"/>
        <v/>
      </c>
      <c r="F199" s="106" t="str">
        <f t="shared" si="21"/>
        <v/>
      </c>
      <c r="G199" s="86"/>
      <c r="H199" s="107">
        <f t="shared" si="16"/>
        <v>0</v>
      </c>
      <c r="I199" s="107">
        <f t="shared" si="17"/>
        <v>0</v>
      </c>
      <c r="J199" s="87">
        <f>IF($D199&gt;0,IFERROR(Параметры!$D$42*$H199/$H$2408,0),0)</f>
        <v>0</v>
      </c>
      <c r="K199" s="87">
        <f>IFERROR(ROUND($N199*Параметры!$D$36,2),0)</f>
        <v>0</v>
      </c>
      <c r="L199" s="87">
        <f t="shared" si="18"/>
        <v>0</v>
      </c>
      <c r="M199" s="87">
        <f t="shared" si="19"/>
        <v>0</v>
      </c>
      <c r="N199" s="107" t="str">
        <f t="shared" si="20"/>
        <v/>
      </c>
    </row>
    <row r="200" spans="2:14" x14ac:dyDescent="0.25">
      <c r="B200" s="82">
        <f>SUBTOTAL(103,$D$8:D200)</f>
        <v>193</v>
      </c>
      <c r="C200" s="83" t="s">
        <v>208</v>
      </c>
      <c r="D200" s="84">
        <v>0</v>
      </c>
      <c r="E200" s="85" t="str">
        <f t="shared" ref="E200:E263" si="22">IF($D200&lt;1,"",$K200+$L200)</f>
        <v/>
      </c>
      <c r="F200" s="106" t="str">
        <f t="shared" si="21"/>
        <v/>
      </c>
      <c r="G200" s="86"/>
      <c r="H200" s="107">
        <f t="shared" ref="H200:H263" si="23">IF($D200&gt;0,$D200*КИС,0)</f>
        <v>0</v>
      </c>
      <c r="I200" s="107">
        <f t="shared" ref="I200:I263" si="24">IF($D200&gt;0,$D200-$H200,0)</f>
        <v>0</v>
      </c>
      <c r="J200" s="87">
        <f>IF($D200&gt;0,IFERROR(Параметры!$D$42*$H200/$H$2408,0),0)</f>
        <v>0</v>
      </c>
      <c r="K200" s="87">
        <f>IFERROR(ROUND($N200*Параметры!$D$36,2),0)</f>
        <v>0</v>
      </c>
      <c r="L200" s="87">
        <f t="shared" ref="L200:L263" si="25">IF($K200&gt;0,$K200*0.055,0)</f>
        <v>0</v>
      </c>
      <c r="M200" s="87">
        <f t="shared" ref="M200:M263" si="26">IFERROR($L200/Плотность_ДТ,0)</f>
        <v>0</v>
      </c>
      <c r="N200" s="107" t="str">
        <f t="shared" ref="N200:N263" si="27">IF($D200&gt;0,MAX(0,$D200-IF($F200="",0,$F200)),"")</f>
        <v/>
      </c>
    </row>
    <row r="201" spans="2:14" x14ac:dyDescent="0.25">
      <c r="B201" s="82">
        <f>SUBTOTAL(103,$D$8:D201)</f>
        <v>194</v>
      </c>
      <c r="C201" s="83" t="s">
        <v>209</v>
      </c>
      <c r="D201" s="84">
        <v>0</v>
      </c>
      <c r="E201" s="85" t="str">
        <f t="shared" si="22"/>
        <v/>
      </c>
      <c r="F201" s="106" t="str">
        <f t="shared" si="21"/>
        <v/>
      </c>
      <c r="G201" s="86"/>
      <c r="H201" s="107">
        <f t="shared" si="23"/>
        <v>0</v>
      </c>
      <c r="I201" s="107">
        <f t="shared" si="24"/>
        <v>0</v>
      </c>
      <c r="J201" s="87">
        <f>IF($D201&gt;0,IFERROR(Параметры!$D$42*$H201/$H$2408,0),0)</f>
        <v>0</v>
      </c>
      <c r="K201" s="87">
        <f>IFERROR(ROUND($N201*Параметры!$D$36,2),0)</f>
        <v>0</v>
      </c>
      <c r="L201" s="87">
        <f t="shared" si="25"/>
        <v>0</v>
      </c>
      <c r="M201" s="87">
        <f t="shared" si="26"/>
        <v>0</v>
      </c>
      <c r="N201" s="107" t="str">
        <f t="shared" si="27"/>
        <v/>
      </c>
    </row>
    <row r="202" spans="2:14" x14ac:dyDescent="0.25">
      <c r="B202" s="82">
        <f>SUBTOTAL(103,$D$8:D202)</f>
        <v>195</v>
      </c>
      <c r="C202" s="83" t="s">
        <v>210</v>
      </c>
      <c r="D202" s="84">
        <v>0</v>
      </c>
      <c r="E202" s="85" t="str">
        <f t="shared" si="22"/>
        <v/>
      </c>
      <c r="F202" s="106" t="str">
        <f t="shared" si="21"/>
        <v/>
      </c>
      <c r="G202" s="86"/>
      <c r="H202" s="107">
        <f t="shared" si="23"/>
        <v>0</v>
      </c>
      <c r="I202" s="107">
        <f t="shared" si="24"/>
        <v>0</v>
      </c>
      <c r="J202" s="87">
        <f>IF($D202&gt;0,IFERROR(Параметры!$D$42*$H202/$H$2408,0),0)</f>
        <v>0</v>
      </c>
      <c r="K202" s="87">
        <f>IFERROR(ROUND($N202*Параметры!$D$36,2),0)</f>
        <v>0</v>
      </c>
      <c r="L202" s="87">
        <f t="shared" si="25"/>
        <v>0</v>
      </c>
      <c r="M202" s="87">
        <f t="shared" si="26"/>
        <v>0</v>
      </c>
      <c r="N202" s="107" t="str">
        <f t="shared" si="27"/>
        <v/>
      </c>
    </row>
    <row r="203" spans="2:14" x14ac:dyDescent="0.25">
      <c r="B203" s="82">
        <f>SUBTOTAL(103,$D$8:D203)</f>
        <v>196</v>
      </c>
      <c r="C203" s="83" t="s">
        <v>211</v>
      </c>
      <c r="D203" s="84">
        <v>0</v>
      </c>
      <c r="E203" s="85" t="str">
        <f t="shared" si="22"/>
        <v/>
      </c>
      <c r="F203" s="106" t="str">
        <f t="shared" ref="F203:F266" si="28">IF(D203&gt;0,2,"")</f>
        <v/>
      </c>
      <c r="G203" s="86"/>
      <c r="H203" s="107">
        <f t="shared" si="23"/>
        <v>0</v>
      </c>
      <c r="I203" s="107">
        <f t="shared" si="24"/>
        <v>0</v>
      </c>
      <c r="J203" s="87">
        <f>IF($D203&gt;0,IFERROR(Параметры!$D$42*$H203/$H$2408,0),0)</f>
        <v>0</v>
      </c>
      <c r="K203" s="87">
        <f>IFERROR(ROUND($N203*Параметры!$D$36,2),0)</f>
        <v>0</v>
      </c>
      <c r="L203" s="87">
        <f t="shared" si="25"/>
        <v>0</v>
      </c>
      <c r="M203" s="87">
        <f t="shared" si="26"/>
        <v>0</v>
      </c>
      <c r="N203" s="107" t="str">
        <f t="shared" si="27"/>
        <v/>
      </c>
    </row>
    <row r="204" spans="2:14" x14ac:dyDescent="0.25">
      <c r="B204" s="82">
        <f>SUBTOTAL(103,$D$8:D204)</f>
        <v>197</v>
      </c>
      <c r="C204" s="83" t="s">
        <v>212</v>
      </c>
      <c r="D204" s="84">
        <v>0</v>
      </c>
      <c r="E204" s="85" t="str">
        <f t="shared" si="22"/>
        <v/>
      </c>
      <c r="F204" s="106" t="str">
        <f t="shared" si="28"/>
        <v/>
      </c>
      <c r="G204" s="86"/>
      <c r="H204" s="107">
        <f t="shared" si="23"/>
        <v>0</v>
      </c>
      <c r="I204" s="107">
        <f t="shared" si="24"/>
        <v>0</v>
      </c>
      <c r="J204" s="87">
        <f>IF($D204&gt;0,IFERROR(Параметры!$D$42*$H204/$H$2408,0),0)</f>
        <v>0</v>
      </c>
      <c r="K204" s="87">
        <f>IFERROR(ROUND($N204*Параметры!$D$36,2),0)</f>
        <v>0</v>
      </c>
      <c r="L204" s="87">
        <f t="shared" si="25"/>
        <v>0</v>
      </c>
      <c r="M204" s="87">
        <f t="shared" si="26"/>
        <v>0</v>
      </c>
      <c r="N204" s="107" t="str">
        <f t="shared" si="27"/>
        <v/>
      </c>
    </row>
    <row r="205" spans="2:14" x14ac:dyDescent="0.25">
      <c r="B205" s="82">
        <f>SUBTOTAL(103,$D$8:D205)</f>
        <v>198</v>
      </c>
      <c r="C205" s="83" t="s">
        <v>213</v>
      </c>
      <c r="D205" s="84">
        <v>0</v>
      </c>
      <c r="E205" s="85" t="str">
        <f t="shared" si="22"/>
        <v/>
      </c>
      <c r="F205" s="106" t="str">
        <f t="shared" si="28"/>
        <v/>
      </c>
      <c r="G205" s="86"/>
      <c r="H205" s="107">
        <f t="shared" si="23"/>
        <v>0</v>
      </c>
      <c r="I205" s="107">
        <f t="shared" si="24"/>
        <v>0</v>
      </c>
      <c r="J205" s="87">
        <f>IF($D205&gt;0,IFERROR(Параметры!$D$42*$H205/$H$2408,0),0)</f>
        <v>0</v>
      </c>
      <c r="K205" s="87">
        <f>IFERROR(ROUND($N205*Параметры!$D$36,2),0)</f>
        <v>0</v>
      </c>
      <c r="L205" s="87">
        <f t="shared" si="25"/>
        <v>0</v>
      </c>
      <c r="M205" s="87">
        <f t="shared" si="26"/>
        <v>0</v>
      </c>
      <c r="N205" s="107" t="str">
        <f t="shared" si="27"/>
        <v/>
      </c>
    </row>
    <row r="206" spans="2:14" x14ac:dyDescent="0.25">
      <c r="B206" s="82">
        <f>SUBTOTAL(103,$D$8:D206)</f>
        <v>199</v>
      </c>
      <c r="C206" s="83" t="s">
        <v>214</v>
      </c>
      <c r="D206" s="84">
        <v>0</v>
      </c>
      <c r="E206" s="85" t="str">
        <f t="shared" si="22"/>
        <v/>
      </c>
      <c r="F206" s="106" t="str">
        <f t="shared" si="28"/>
        <v/>
      </c>
      <c r="G206" s="86"/>
      <c r="H206" s="107">
        <f t="shared" si="23"/>
        <v>0</v>
      </c>
      <c r="I206" s="107">
        <f t="shared" si="24"/>
        <v>0</v>
      </c>
      <c r="J206" s="87">
        <f>IF($D206&gt;0,IFERROR(Параметры!$D$42*$H206/$H$2408,0),0)</f>
        <v>0</v>
      </c>
      <c r="K206" s="87">
        <f>IFERROR(ROUND($N206*Параметры!$D$36,2),0)</f>
        <v>0</v>
      </c>
      <c r="L206" s="87">
        <f t="shared" si="25"/>
        <v>0</v>
      </c>
      <c r="M206" s="87">
        <f t="shared" si="26"/>
        <v>0</v>
      </c>
      <c r="N206" s="107" t="str">
        <f t="shared" si="27"/>
        <v/>
      </c>
    </row>
    <row r="207" spans="2:14" x14ac:dyDescent="0.25">
      <c r="B207" s="82">
        <f>SUBTOTAL(103,$D$8:D207)</f>
        <v>200</v>
      </c>
      <c r="C207" s="83" t="s">
        <v>215</v>
      </c>
      <c r="D207" s="84">
        <v>0</v>
      </c>
      <c r="E207" s="85" t="str">
        <f t="shared" si="22"/>
        <v/>
      </c>
      <c r="F207" s="106" t="str">
        <f t="shared" si="28"/>
        <v/>
      </c>
      <c r="G207" s="86"/>
      <c r="H207" s="107">
        <f t="shared" si="23"/>
        <v>0</v>
      </c>
      <c r="I207" s="107">
        <f t="shared" si="24"/>
        <v>0</v>
      </c>
      <c r="J207" s="87">
        <f>IF($D207&gt;0,IFERROR(Параметры!$D$42*$H207/$H$2408,0),0)</f>
        <v>0</v>
      </c>
      <c r="K207" s="87">
        <f>IFERROR(ROUND($N207*Параметры!$D$36,2),0)</f>
        <v>0</v>
      </c>
      <c r="L207" s="87">
        <f t="shared" si="25"/>
        <v>0</v>
      </c>
      <c r="M207" s="87">
        <f t="shared" si="26"/>
        <v>0</v>
      </c>
      <c r="N207" s="107" t="str">
        <f t="shared" si="27"/>
        <v/>
      </c>
    </row>
    <row r="208" spans="2:14" x14ac:dyDescent="0.25">
      <c r="B208" s="82">
        <f>SUBTOTAL(103,$D$8:D208)</f>
        <v>201</v>
      </c>
      <c r="C208" s="83" t="s">
        <v>216</v>
      </c>
      <c r="D208" s="84">
        <v>0</v>
      </c>
      <c r="E208" s="85" t="str">
        <f t="shared" si="22"/>
        <v/>
      </c>
      <c r="F208" s="106" t="str">
        <f t="shared" si="28"/>
        <v/>
      </c>
      <c r="G208" s="86"/>
      <c r="H208" s="107">
        <f t="shared" si="23"/>
        <v>0</v>
      </c>
      <c r="I208" s="107">
        <f t="shared" si="24"/>
        <v>0</v>
      </c>
      <c r="J208" s="87">
        <f>IF($D208&gt;0,IFERROR(Параметры!$D$42*$H208/$H$2408,0),0)</f>
        <v>0</v>
      </c>
      <c r="K208" s="87">
        <f>IFERROR(ROUND($N208*Параметры!$D$36,2),0)</f>
        <v>0</v>
      </c>
      <c r="L208" s="87">
        <f t="shared" si="25"/>
        <v>0</v>
      </c>
      <c r="M208" s="87">
        <f t="shared" si="26"/>
        <v>0</v>
      </c>
      <c r="N208" s="107" t="str">
        <f t="shared" si="27"/>
        <v/>
      </c>
    </row>
    <row r="209" spans="2:14" x14ac:dyDescent="0.25">
      <c r="B209" s="82">
        <f>SUBTOTAL(103,$D$8:D209)</f>
        <v>202</v>
      </c>
      <c r="C209" s="83" t="s">
        <v>217</v>
      </c>
      <c r="D209" s="84">
        <v>0</v>
      </c>
      <c r="E209" s="85" t="str">
        <f t="shared" si="22"/>
        <v/>
      </c>
      <c r="F209" s="106" t="str">
        <f t="shared" si="28"/>
        <v/>
      </c>
      <c r="G209" s="86"/>
      <c r="H209" s="107">
        <f t="shared" si="23"/>
        <v>0</v>
      </c>
      <c r="I209" s="107">
        <f t="shared" si="24"/>
        <v>0</v>
      </c>
      <c r="J209" s="87">
        <f>IF($D209&gt;0,IFERROR(Параметры!$D$42*$H209/$H$2408,0),0)</f>
        <v>0</v>
      </c>
      <c r="K209" s="87">
        <f>IFERROR(ROUND($N209*Параметры!$D$36,2),0)</f>
        <v>0</v>
      </c>
      <c r="L209" s="87">
        <f t="shared" si="25"/>
        <v>0</v>
      </c>
      <c r="M209" s="87">
        <f t="shared" si="26"/>
        <v>0</v>
      </c>
      <c r="N209" s="107" t="str">
        <f t="shared" si="27"/>
        <v/>
      </c>
    </row>
    <row r="210" spans="2:14" x14ac:dyDescent="0.25">
      <c r="B210" s="82">
        <f>SUBTOTAL(103,$D$8:D210)</f>
        <v>203</v>
      </c>
      <c r="C210" s="83" t="s">
        <v>218</v>
      </c>
      <c r="D210" s="84">
        <v>0</v>
      </c>
      <c r="E210" s="85" t="str">
        <f t="shared" si="22"/>
        <v/>
      </c>
      <c r="F210" s="106" t="str">
        <f t="shared" si="28"/>
        <v/>
      </c>
      <c r="G210" s="86"/>
      <c r="H210" s="107">
        <f t="shared" si="23"/>
        <v>0</v>
      </c>
      <c r="I210" s="107">
        <f t="shared" si="24"/>
        <v>0</v>
      </c>
      <c r="J210" s="87">
        <f>IF($D210&gt;0,IFERROR(Параметры!$D$42*$H210/$H$2408,0),0)</f>
        <v>0</v>
      </c>
      <c r="K210" s="87">
        <f>IFERROR(ROUND($N210*Параметры!$D$36,2),0)</f>
        <v>0</v>
      </c>
      <c r="L210" s="87">
        <f t="shared" si="25"/>
        <v>0</v>
      </c>
      <c r="M210" s="87">
        <f t="shared" si="26"/>
        <v>0</v>
      </c>
      <c r="N210" s="107" t="str">
        <f t="shared" si="27"/>
        <v/>
      </c>
    </row>
    <row r="211" spans="2:14" x14ac:dyDescent="0.25">
      <c r="B211" s="82">
        <f>SUBTOTAL(103,$D$8:D211)</f>
        <v>204</v>
      </c>
      <c r="C211" s="83" t="s">
        <v>219</v>
      </c>
      <c r="D211" s="84">
        <v>0</v>
      </c>
      <c r="E211" s="85" t="str">
        <f t="shared" si="22"/>
        <v/>
      </c>
      <c r="F211" s="106" t="str">
        <f t="shared" si="28"/>
        <v/>
      </c>
      <c r="G211" s="86"/>
      <c r="H211" s="107">
        <f t="shared" si="23"/>
        <v>0</v>
      </c>
      <c r="I211" s="107">
        <f t="shared" si="24"/>
        <v>0</v>
      </c>
      <c r="J211" s="87">
        <f>IF($D211&gt;0,IFERROR(Параметры!$D$42*$H211/$H$2408,0),0)</f>
        <v>0</v>
      </c>
      <c r="K211" s="87">
        <f>IFERROR(ROUND($N211*Параметры!$D$36,2),0)</f>
        <v>0</v>
      </c>
      <c r="L211" s="87">
        <f t="shared" si="25"/>
        <v>0</v>
      </c>
      <c r="M211" s="87">
        <f t="shared" si="26"/>
        <v>0</v>
      </c>
      <c r="N211" s="107" t="str">
        <f t="shared" si="27"/>
        <v/>
      </c>
    </row>
    <row r="212" spans="2:14" x14ac:dyDescent="0.25">
      <c r="B212" s="82">
        <f>SUBTOTAL(103,$D$8:D212)</f>
        <v>205</v>
      </c>
      <c r="C212" s="83" t="s">
        <v>220</v>
      </c>
      <c r="D212" s="84">
        <v>0</v>
      </c>
      <c r="E212" s="85" t="str">
        <f t="shared" si="22"/>
        <v/>
      </c>
      <c r="F212" s="106" t="str">
        <f t="shared" si="28"/>
        <v/>
      </c>
      <c r="G212" s="86"/>
      <c r="H212" s="107">
        <f t="shared" si="23"/>
        <v>0</v>
      </c>
      <c r="I212" s="107">
        <f t="shared" si="24"/>
        <v>0</v>
      </c>
      <c r="J212" s="87">
        <f>IF($D212&gt;0,IFERROR(Параметры!$D$42*$H212/$H$2408,0),0)</f>
        <v>0</v>
      </c>
      <c r="K212" s="87">
        <f>IFERROR(ROUND($N212*Параметры!$D$36,2),0)</f>
        <v>0</v>
      </c>
      <c r="L212" s="87">
        <f t="shared" si="25"/>
        <v>0</v>
      </c>
      <c r="M212" s="87">
        <f t="shared" si="26"/>
        <v>0</v>
      </c>
      <c r="N212" s="107" t="str">
        <f t="shared" si="27"/>
        <v/>
      </c>
    </row>
    <row r="213" spans="2:14" x14ac:dyDescent="0.25">
      <c r="B213" s="82">
        <f>SUBTOTAL(103,$D$8:D213)</f>
        <v>206</v>
      </c>
      <c r="C213" s="83" t="s">
        <v>221</v>
      </c>
      <c r="D213" s="84">
        <v>0</v>
      </c>
      <c r="E213" s="85" t="str">
        <f t="shared" si="22"/>
        <v/>
      </c>
      <c r="F213" s="106" t="str">
        <f t="shared" si="28"/>
        <v/>
      </c>
      <c r="G213" s="86"/>
      <c r="H213" s="107">
        <f t="shared" si="23"/>
        <v>0</v>
      </c>
      <c r="I213" s="107">
        <f t="shared" si="24"/>
        <v>0</v>
      </c>
      <c r="J213" s="87">
        <f>IF($D213&gt;0,IFERROR(Параметры!$D$42*$H213/$H$2408,0),0)</f>
        <v>0</v>
      </c>
      <c r="K213" s="87">
        <f>IFERROR(ROUND($N213*Параметры!$D$36,2),0)</f>
        <v>0</v>
      </c>
      <c r="L213" s="87">
        <f t="shared" si="25"/>
        <v>0</v>
      </c>
      <c r="M213" s="87">
        <f t="shared" si="26"/>
        <v>0</v>
      </c>
      <c r="N213" s="107" t="str">
        <f t="shared" si="27"/>
        <v/>
      </c>
    </row>
    <row r="214" spans="2:14" x14ac:dyDescent="0.25">
      <c r="B214" s="82">
        <f>SUBTOTAL(103,$D$8:D214)</f>
        <v>207</v>
      </c>
      <c r="C214" s="83" t="s">
        <v>222</v>
      </c>
      <c r="D214" s="84">
        <v>0</v>
      </c>
      <c r="E214" s="85" t="str">
        <f t="shared" si="22"/>
        <v/>
      </c>
      <c r="F214" s="106" t="str">
        <f t="shared" si="28"/>
        <v/>
      </c>
      <c r="G214" s="86"/>
      <c r="H214" s="107">
        <f t="shared" si="23"/>
        <v>0</v>
      </c>
      <c r="I214" s="107">
        <f t="shared" si="24"/>
        <v>0</v>
      </c>
      <c r="J214" s="87">
        <f>IF($D214&gt;0,IFERROR(Параметры!$D$42*$H214/$H$2408,0),0)</f>
        <v>0</v>
      </c>
      <c r="K214" s="87">
        <f>IFERROR(ROUND($N214*Параметры!$D$36,2),0)</f>
        <v>0</v>
      </c>
      <c r="L214" s="87">
        <f t="shared" si="25"/>
        <v>0</v>
      </c>
      <c r="M214" s="87">
        <f t="shared" si="26"/>
        <v>0</v>
      </c>
      <c r="N214" s="107" t="str">
        <f t="shared" si="27"/>
        <v/>
      </c>
    </row>
    <row r="215" spans="2:14" x14ac:dyDescent="0.25">
      <c r="B215" s="82">
        <f>SUBTOTAL(103,$D$8:D215)</f>
        <v>208</v>
      </c>
      <c r="C215" s="83" t="s">
        <v>223</v>
      </c>
      <c r="D215" s="84">
        <v>0</v>
      </c>
      <c r="E215" s="85" t="str">
        <f t="shared" si="22"/>
        <v/>
      </c>
      <c r="F215" s="106" t="str">
        <f t="shared" si="28"/>
        <v/>
      </c>
      <c r="G215" s="86"/>
      <c r="H215" s="107">
        <f t="shared" si="23"/>
        <v>0</v>
      </c>
      <c r="I215" s="107">
        <f t="shared" si="24"/>
        <v>0</v>
      </c>
      <c r="J215" s="87">
        <f>IF($D215&gt;0,IFERROR(Параметры!$D$42*$H215/$H$2408,0),0)</f>
        <v>0</v>
      </c>
      <c r="K215" s="87">
        <f>IFERROR(ROUND($N215*Параметры!$D$36,2),0)</f>
        <v>0</v>
      </c>
      <c r="L215" s="87">
        <f t="shared" si="25"/>
        <v>0</v>
      </c>
      <c r="M215" s="87">
        <f t="shared" si="26"/>
        <v>0</v>
      </c>
      <c r="N215" s="107" t="str">
        <f t="shared" si="27"/>
        <v/>
      </c>
    </row>
    <row r="216" spans="2:14" x14ac:dyDescent="0.25">
      <c r="B216" s="82">
        <f>SUBTOTAL(103,$D$8:D216)</f>
        <v>209</v>
      </c>
      <c r="C216" s="83" t="s">
        <v>224</v>
      </c>
      <c r="D216" s="84">
        <v>0</v>
      </c>
      <c r="E216" s="85" t="str">
        <f t="shared" si="22"/>
        <v/>
      </c>
      <c r="F216" s="106" t="str">
        <f t="shared" si="28"/>
        <v/>
      </c>
      <c r="G216" s="86"/>
      <c r="H216" s="107">
        <f t="shared" si="23"/>
        <v>0</v>
      </c>
      <c r="I216" s="107">
        <f t="shared" si="24"/>
        <v>0</v>
      </c>
      <c r="J216" s="87">
        <f>IF($D216&gt;0,IFERROR(Параметры!$D$42*$H216/$H$2408,0),0)</f>
        <v>0</v>
      </c>
      <c r="K216" s="87">
        <f>IFERROR(ROUND($N216*Параметры!$D$36,2),0)</f>
        <v>0</v>
      </c>
      <c r="L216" s="87">
        <f t="shared" si="25"/>
        <v>0</v>
      </c>
      <c r="M216" s="87">
        <f t="shared" si="26"/>
        <v>0</v>
      </c>
      <c r="N216" s="107" t="str">
        <f t="shared" si="27"/>
        <v/>
      </c>
    </row>
    <row r="217" spans="2:14" x14ac:dyDescent="0.25">
      <c r="B217" s="82">
        <f>SUBTOTAL(103,$D$8:D217)</f>
        <v>210</v>
      </c>
      <c r="C217" s="83" t="s">
        <v>225</v>
      </c>
      <c r="D217" s="84">
        <v>0</v>
      </c>
      <c r="E217" s="85" t="str">
        <f t="shared" si="22"/>
        <v/>
      </c>
      <c r="F217" s="106" t="str">
        <f t="shared" si="28"/>
        <v/>
      </c>
      <c r="G217" s="86"/>
      <c r="H217" s="107">
        <f t="shared" si="23"/>
        <v>0</v>
      </c>
      <c r="I217" s="107">
        <f t="shared" si="24"/>
        <v>0</v>
      </c>
      <c r="J217" s="87">
        <f>IF($D217&gt;0,IFERROR(Параметры!$D$42*$H217/$H$2408,0),0)</f>
        <v>0</v>
      </c>
      <c r="K217" s="87">
        <f>IFERROR(ROUND($N217*Параметры!$D$36,2),0)</f>
        <v>0</v>
      </c>
      <c r="L217" s="87">
        <f t="shared" si="25"/>
        <v>0</v>
      </c>
      <c r="M217" s="87">
        <f t="shared" si="26"/>
        <v>0</v>
      </c>
      <c r="N217" s="107" t="str">
        <f t="shared" si="27"/>
        <v/>
      </c>
    </row>
    <row r="218" spans="2:14" x14ac:dyDescent="0.25">
      <c r="B218" s="82">
        <f>SUBTOTAL(103,$D$8:D218)</f>
        <v>211</v>
      </c>
      <c r="C218" s="83" t="s">
        <v>226</v>
      </c>
      <c r="D218" s="84">
        <v>0</v>
      </c>
      <c r="E218" s="85" t="str">
        <f t="shared" si="22"/>
        <v/>
      </c>
      <c r="F218" s="106" t="str">
        <f t="shared" si="28"/>
        <v/>
      </c>
      <c r="G218" s="86"/>
      <c r="H218" s="107">
        <f t="shared" si="23"/>
        <v>0</v>
      </c>
      <c r="I218" s="107">
        <f t="shared" si="24"/>
        <v>0</v>
      </c>
      <c r="J218" s="87">
        <f>IF($D218&gt;0,IFERROR(Параметры!$D$42*$H218/$H$2408,0),0)</f>
        <v>0</v>
      </c>
      <c r="K218" s="87">
        <f>IFERROR(ROUND($N218*Параметры!$D$36,2),0)</f>
        <v>0</v>
      </c>
      <c r="L218" s="87">
        <f t="shared" si="25"/>
        <v>0</v>
      </c>
      <c r="M218" s="87">
        <f t="shared" si="26"/>
        <v>0</v>
      </c>
      <c r="N218" s="107" t="str">
        <f t="shared" si="27"/>
        <v/>
      </c>
    </row>
    <row r="219" spans="2:14" x14ac:dyDescent="0.25">
      <c r="B219" s="82">
        <f>SUBTOTAL(103,$D$8:D219)</f>
        <v>212</v>
      </c>
      <c r="C219" s="83" t="s">
        <v>227</v>
      </c>
      <c r="D219" s="84">
        <v>0</v>
      </c>
      <c r="E219" s="85" t="str">
        <f t="shared" si="22"/>
        <v/>
      </c>
      <c r="F219" s="106" t="str">
        <f t="shared" si="28"/>
        <v/>
      </c>
      <c r="G219" s="86"/>
      <c r="H219" s="107">
        <f t="shared" si="23"/>
        <v>0</v>
      </c>
      <c r="I219" s="107">
        <f t="shared" si="24"/>
        <v>0</v>
      </c>
      <c r="J219" s="87">
        <f>IF($D219&gt;0,IFERROR(Параметры!$D$42*$H219/$H$2408,0),0)</f>
        <v>0</v>
      </c>
      <c r="K219" s="87">
        <f>IFERROR(ROUND($N219*Параметры!$D$36,2),0)</f>
        <v>0</v>
      </c>
      <c r="L219" s="87">
        <f t="shared" si="25"/>
        <v>0</v>
      </c>
      <c r="M219" s="87">
        <f t="shared" si="26"/>
        <v>0</v>
      </c>
      <c r="N219" s="107" t="str">
        <f t="shared" si="27"/>
        <v/>
      </c>
    </row>
    <row r="220" spans="2:14" x14ac:dyDescent="0.25">
      <c r="B220" s="82">
        <f>SUBTOTAL(103,$D$8:D220)</f>
        <v>213</v>
      </c>
      <c r="C220" s="83" t="s">
        <v>228</v>
      </c>
      <c r="D220" s="84">
        <v>0</v>
      </c>
      <c r="E220" s="85" t="str">
        <f t="shared" si="22"/>
        <v/>
      </c>
      <c r="F220" s="106" t="str">
        <f t="shared" si="28"/>
        <v/>
      </c>
      <c r="G220" s="86"/>
      <c r="H220" s="107">
        <f t="shared" si="23"/>
        <v>0</v>
      </c>
      <c r="I220" s="107">
        <f t="shared" si="24"/>
        <v>0</v>
      </c>
      <c r="J220" s="87">
        <f>IF($D220&gt;0,IFERROR(Параметры!$D$42*$H220/$H$2408,0),0)</f>
        <v>0</v>
      </c>
      <c r="K220" s="87">
        <f>IFERROR(ROUND($N220*Параметры!$D$36,2),0)</f>
        <v>0</v>
      </c>
      <c r="L220" s="87">
        <f t="shared" si="25"/>
        <v>0</v>
      </c>
      <c r="M220" s="87">
        <f t="shared" si="26"/>
        <v>0</v>
      </c>
      <c r="N220" s="107" t="str">
        <f t="shared" si="27"/>
        <v/>
      </c>
    </row>
    <row r="221" spans="2:14" x14ac:dyDescent="0.25">
      <c r="B221" s="82">
        <f>SUBTOTAL(103,$D$8:D221)</f>
        <v>214</v>
      </c>
      <c r="C221" s="83" t="s">
        <v>229</v>
      </c>
      <c r="D221" s="84">
        <v>0</v>
      </c>
      <c r="E221" s="85" t="str">
        <f t="shared" si="22"/>
        <v/>
      </c>
      <c r="F221" s="106" t="str">
        <f t="shared" si="28"/>
        <v/>
      </c>
      <c r="G221" s="86"/>
      <c r="H221" s="107">
        <f t="shared" si="23"/>
        <v>0</v>
      </c>
      <c r="I221" s="107">
        <f t="shared" si="24"/>
        <v>0</v>
      </c>
      <c r="J221" s="87">
        <f>IF($D221&gt;0,IFERROR(Параметры!$D$42*$H221/$H$2408,0),0)</f>
        <v>0</v>
      </c>
      <c r="K221" s="87">
        <f>IFERROR(ROUND($N221*Параметры!$D$36,2),0)</f>
        <v>0</v>
      </c>
      <c r="L221" s="87">
        <f t="shared" si="25"/>
        <v>0</v>
      </c>
      <c r="M221" s="87">
        <f t="shared" si="26"/>
        <v>0</v>
      </c>
      <c r="N221" s="107" t="str">
        <f t="shared" si="27"/>
        <v/>
      </c>
    </row>
    <row r="222" spans="2:14" x14ac:dyDescent="0.25">
      <c r="B222" s="82">
        <f>SUBTOTAL(103,$D$8:D222)</f>
        <v>215</v>
      </c>
      <c r="C222" s="83" t="s">
        <v>230</v>
      </c>
      <c r="D222" s="84">
        <v>0</v>
      </c>
      <c r="E222" s="85" t="str">
        <f t="shared" si="22"/>
        <v/>
      </c>
      <c r="F222" s="106" t="str">
        <f t="shared" si="28"/>
        <v/>
      </c>
      <c r="G222" s="86"/>
      <c r="H222" s="107">
        <f t="shared" si="23"/>
        <v>0</v>
      </c>
      <c r="I222" s="107">
        <f t="shared" si="24"/>
        <v>0</v>
      </c>
      <c r="J222" s="87">
        <f>IF($D222&gt;0,IFERROR(Параметры!$D$42*$H222/$H$2408,0),0)</f>
        <v>0</v>
      </c>
      <c r="K222" s="87">
        <f>IFERROR(ROUND($N222*Параметры!$D$36,2),0)</f>
        <v>0</v>
      </c>
      <c r="L222" s="87">
        <f t="shared" si="25"/>
        <v>0</v>
      </c>
      <c r="M222" s="87">
        <f t="shared" si="26"/>
        <v>0</v>
      </c>
      <c r="N222" s="107" t="str">
        <f t="shared" si="27"/>
        <v/>
      </c>
    </row>
    <row r="223" spans="2:14" x14ac:dyDescent="0.25">
      <c r="B223" s="82">
        <f>SUBTOTAL(103,$D$8:D223)</f>
        <v>216</v>
      </c>
      <c r="C223" s="83" t="s">
        <v>231</v>
      </c>
      <c r="D223" s="84">
        <v>0</v>
      </c>
      <c r="E223" s="85" t="str">
        <f t="shared" si="22"/>
        <v/>
      </c>
      <c r="F223" s="106" t="str">
        <f t="shared" si="28"/>
        <v/>
      </c>
      <c r="G223" s="86"/>
      <c r="H223" s="107">
        <f t="shared" si="23"/>
        <v>0</v>
      </c>
      <c r="I223" s="107">
        <f t="shared" si="24"/>
        <v>0</v>
      </c>
      <c r="J223" s="87">
        <f>IF($D223&gt;0,IFERROR(Параметры!$D$42*$H223/$H$2408,0),0)</f>
        <v>0</v>
      </c>
      <c r="K223" s="87">
        <f>IFERROR(ROUND($N223*Параметры!$D$36,2),0)</f>
        <v>0</v>
      </c>
      <c r="L223" s="87">
        <f t="shared" si="25"/>
        <v>0</v>
      </c>
      <c r="M223" s="87">
        <f t="shared" si="26"/>
        <v>0</v>
      </c>
      <c r="N223" s="107" t="str">
        <f t="shared" si="27"/>
        <v/>
      </c>
    </row>
    <row r="224" spans="2:14" x14ac:dyDescent="0.25">
      <c r="B224" s="82">
        <f>SUBTOTAL(103,$D$8:D224)</f>
        <v>217</v>
      </c>
      <c r="C224" s="83" t="s">
        <v>232</v>
      </c>
      <c r="D224" s="84">
        <v>0</v>
      </c>
      <c r="E224" s="85" t="str">
        <f t="shared" si="22"/>
        <v/>
      </c>
      <c r="F224" s="106" t="str">
        <f t="shared" si="28"/>
        <v/>
      </c>
      <c r="G224" s="86"/>
      <c r="H224" s="107">
        <f t="shared" si="23"/>
        <v>0</v>
      </c>
      <c r="I224" s="107">
        <f t="shared" si="24"/>
        <v>0</v>
      </c>
      <c r="J224" s="87">
        <f>IF($D224&gt;0,IFERROR(Параметры!$D$42*$H224/$H$2408,0),0)</f>
        <v>0</v>
      </c>
      <c r="K224" s="87">
        <f>IFERROR(ROUND($N224*Параметры!$D$36,2),0)</f>
        <v>0</v>
      </c>
      <c r="L224" s="87">
        <f t="shared" si="25"/>
        <v>0</v>
      </c>
      <c r="M224" s="87">
        <f t="shared" si="26"/>
        <v>0</v>
      </c>
      <c r="N224" s="107" t="str">
        <f t="shared" si="27"/>
        <v/>
      </c>
    </row>
    <row r="225" spans="2:14" x14ac:dyDescent="0.25">
      <c r="B225" s="82">
        <f>SUBTOTAL(103,$D$8:D225)</f>
        <v>218</v>
      </c>
      <c r="C225" s="83" t="s">
        <v>233</v>
      </c>
      <c r="D225" s="84">
        <v>0</v>
      </c>
      <c r="E225" s="85" t="str">
        <f t="shared" si="22"/>
        <v/>
      </c>
      <c r="F225" s="106" t="str">
        <f t="shared" si="28"/>
        <v/>
      </c>
      <c r="G225" s="86"/>
      <c r="H225" s="107">
        <f t="shared" si="23"/>
        <v>0</v>
      </c>
      <c r="I225" s="107">
        <f t="shared" si="24"/>
        <v>0</v>
      </c>
      <c r="J225" s="87">
        <f>IF($D225&gt;0,IFERROR(Параметры!$D$42*$H225/$H$2408,0),0)</f>
        <v>0</v>
      </c>
      <c r="K225" s="87">
        <f>IFERROR(ROUND($N225*Параметры!$D$36,2),0)</f>
        <v>0</v>
      </c>
      <c r="L225" s="87">
        <f t="shared" si="25"/>
        <v>0</v>
      </c>
      <c r="M225" s="87">
        <f t="shared" si="26"/>
        <v>0</v>
      </c>
      <c r="N225" s="107" t="str">
        <f t="shared" si="27"/>
        <v/>
      </c>
    </row>
    <row r="226" spans="2:14" x14ac:dyDescent="0.25">
      <c r="B226" s="82">
        <f>SUBTOTAL(103,$D$8:D226)</f>
        <v>219</v>
      </c>
      <c r="C226" s="83" t="s">
        <v>234</v>
      </c>
      <c r="D226" s="84">
        <v>0</v>
      </c>
      <c r="E226" s="85" t="str">
        <f t="shared" si="22"/>
        <v/>
      </c>
      <c r="F226" s="106" t="str">
        <f t="shared" si="28"/>
        <v/>
      </c>
      <c r="G226" s="86"/>
      <c r="H226" s="107">
        <f t="shared" si="23"/>
        <v>0</v>
      </c>
      <c r="I226" s="107">
        <f t="shared" si="24"/>
        <v>0</v>
      </c>
      <c r="J226" s="87">
        <f>IF($D226&gt;0,IFERROR(Параметры!$D$42*$H226/$H$2408,0),0)</f>
        <v>0</v>
      </c>
      <c r="K226" s="87">
        <f>IFERROR(ROUND($N226*Параметры!$D$36,2),0)</f>
        <v>0</v>
      </c>
      <c r="L226" s="87">
        <f t="shared" si="25"/>
        <v>0</v>
      </c>
      <c r="M226" s="87">
        <f t="shared" si="26"/>
        <v>0</v>
      </c>
      <c r="N226" s="107" t="str">
        <f t="shared" si="27"/>
        <v/>
      </c>
    </row>
    <row r="227" spans="2:14" x14ac:dyDescent="0.25">
      <c r="B227" s="82">
        <f>SUBTOTAL(103,$D$8:D227)</f>
        <v>220</v>
      </c>
      <c r="C227" s="83" t="s">
        <v>235</v>
      </c>
      <c r="D227" s="84">
        <v>0</v>
      </c>
      <c r="E227" s="85" t="str">
        <f t="shared" si="22"/>
        <v/>
      </c>
      <c r="F227" s="106" t="str">
        <f t="shared" si="28"/>
        <v/>
      </c>
      <c r="G227" s="86"/>
      <c r="H227" s="107">
        <f t="shared" si="23"/>
        <v>0</v>
      </c>
      <c r="I227" s="107">
        <f t="shared" si="24"/>
        <v>0</v>
      </c>
      <c r="J227" s="87">
        <f>IF($D227&gt;0,IFERROR(Параметры!$D$42*$H227/$H$2408,0),0)</f>
        <v>0</v>
      </c>
      <c r="K227" s="87">
        <f>IFERROR(ROUND($N227*Параметры!$D$36,2),0)</f>
        <v>0</v>
      </c>
      <c r="L227" s="87">
        <f t="shared" si="25"/>
        <v>0</v>
      </c>
      <c r="M227" s="87">
        <f t="shared" si="26"/>
        <v>0</v>
      </c>
      <c r="N227" s="107" t="str">
        <f t="shared" si="27"/>
        <v/>
      </c>
    </row>
    <row r="228" spans="2:14" x14ac:dyDescent="0.25">
      <c r="B228" s="82">
        <f>SUBTOTAL(103,$D$8:D228)</f>
        <v>221</v>
      </c>
      <c r="C228" s="83" t="s">
        <v>236</v>
      </c>
      <c r="D228" s="84">
        <v>0</v>
      </c>
      <c r="E228" s="85" t="str">
        <f t="shared" si="22"/>
        <v/>
      </c>
      <c r="F228" s="106" t="str">
        <f t="shared" si="28"/>
        <v/>
      </c>
      <c r="G228" s="86"/>
      <c r="H228" s="107">
        <f t="shared" si="23"/>
        <v>0</v>
      </c>
      <c r="I228" s="107">
        <f t="shared" si="24"/>
        <v>0</v>
      </c>
      <c r="J228" s="87">
        <f>IF($D228&gt;0,IFERROR(Параметры!$D$42*$H228/$H$2408,0),0)</f>
        <v>0</v>
      </c>
      <c r="K228" s="87">
        <f>IFERROR(ROUND($N228*Параметры!$D$36,2),0)</f>
        <v>0</v>
      </c>
      <c r="L228" s="87">
        <f t="shared" si="25"/>
        <v>0</v>
      </c>
      <c r="M228" s="87">
        <f t="shared" si="26"/>
        <v>0</v>
      </c>
      <c r="N228" s="107" t="str">
        <f t="shared" si="27"/>
        <v/>
      </c>
    </row>
    <row r="229" spans="2:14" x14ac:dyDescent="0.25">
      <c r="B229" s="82">
        <f>SUBTOTAL(103,$D$8:D229)</f>
        <v>222</v>
      </c>
      <c r="C229" s="83" t="s">
        <v>237</v>
      </c>
      <c r="D229" s="84">
        <v>0</v>
      </c>
      <c r="E229" s="85" t="str">
        <f t="shared" si="22"/>
        <v/>
      </c>
      <c r="F229" s="106" t="str">
        <f t="shared" si="28"/>
        <v/>
      </c>
      <c r="G229" s="86"/>
      <c r="H229" s="107">
        <f t="shared" si="23"/>
        <v>0</v>
      </c>
      <c r="I229" s="107">
        <f t="shared" si="24"/>
        <v>0</v>
      </c>
      <c r="J229" s="87">
        <f>IF($D229&gt;0,IFERROR(Параметры!$D$42*$H229/$H$2408,0),0)</f>
        <v>0</v>
      </c>
      <c r="K229" s="87">
        <f>IFERROR(ROUND($N229*Параметры!$D$36,2),0)</f>
        <v>0</v>
      </c>
      <c r="L229" s="87">
        <f t="shared" si="25"/>
        <v>0</v>
      </c>
      <c r="M229" s="87">
        <f t="shared" si="26"/>
        <v>0</v>
      </c>
      <c r="N229" s="107" t="str">
        <f t="shared" si="27"/>
        <v/>
      </c>
    </row>
    <row r="230" spans="2:14" x14ac:dyDescent="0.25">
      <c r="B230" s="82">
        <f>SUBTOTAL(103,$D$8:D230)</f>
        <v>223</v>
      </c>
      <c r="C230" s="83" t="s">
        <v>238</v>
      </c>
      <c r="D230" s="84">
        <v>0</v>
      </c>
      <c r="E230" s="85" t="str">
        <f t="shared" si="22"/>
        <v/>
      </c>
      <c r="F230" s="106" t="str">
        <f t="shared" si="28"/>
        <v/>
      </c>
      <c r="G230" s="86"/>
      <c r="H230" s="107">
        <f t="shared" si="23"/>
        <v>0</v>
      </c>
      <c r="I230" s="107">
        <f t="shared" si="24"/>
        <v>0</v>
      </c>
      <c r="J230" s="87">
        <f>IF($D230&gt;0,IFERROR(Параметры!$D$42*$H230/$H$2408,0),0)</f>
        <v>0</v>
      </c>
      <c r="K230" s="87">
        <f>IFERROR(ROUND($N230*Параметры!$D$36,2),0)</f>
        <v>0</v>
      </c>
      <c r="L230" s="87">
        <f t="shared" si="25"/>
        <v>0</v>
      </c>
      <c r="M230" s="87">
        <f t="shared" si="26"/>
        <v>0</v>
      </c>
      <c r="N230" s="107" t="str">
        <f t="shared" si="27"/>
        <v/>
      </c>
    </row>
    <row r="231" spans="2:14" x14ac:dyDescent="0.25">
      <c r="B231" s="82">
        <f>SUBTOTAL(103,$D$8:D231)</f>
        <v>224</v>
      </c>
      <c r="C231" s="83" t="s">
        <v>239</v>
      </c>
      <c r="D231" s="84">
        <v>0</v>
      </c>
      <c r="E231" s="85" t="str">
        <f t="shared" si="22"/>
        <v/>
      </c>
      <c r="F231" s="106" t="str">
        <f t="shared" si="28"/>
        <v/>
      </c>
      <c r="G231" s="86"/>
      <c r="H231" s="107">
        <f t="shared" si="23"/>
        <v>0</v>
      </c>
      <c r="I231" s="107">
        <f t="shared" si="24"/>
        <v>0</v>
      </c>
      <c r="J231" s="87">
        <f>IF($D231&gt;0,IFERROR(Параметры!$D$42*$H231/$H$2408,0),0)</f>
        <v>0</v>
      </c>
      <c r="K231" s="87">
        <f>IFERROR(ROUND($N231*Параметры!$D$36,2),0)</f>
        <v>0</v>
      </c>
      <c r="L231" s="87">
        <f t="shared" si="25"/>
        <v>0</v>
      </c>
      <c r="M231" s="87">
        <f t="shared" si="26"/>
        <v>0</v>
      </c>
      <c r="N231" s="107" t="str">
        <f t="shared" si="27"/>
        <v/>
      </c>
    </row>
    <row r="232" spans="2:14" x14ac:dyDescent="0.25">
      <c r="B232" s="82">
        <f>SUBTOTAL(103,$D$8:D232)</f>
        <v>225</v>
      </c>
      <c r="C232" s="83" t="s">
        <v>240</v>
      </c>
      <c r="D232" s="84">
        <v>0</v>
      </c>
      <c r="E232" s="85" t="str">
        <f t="shared" si="22"/>
        <v/>
      </c>
      <c r="F232" s="106" t="str">
        <f t="shared" si="28"/>
        <v/>
      </c>
      <c r="G232" s="86"/>
      <c r="H232" s="107">
        <f t="shared" si="23"/>
        <v>0</v>
      </c>
      <c r="I232" s="107">
        <f t="shared" si="24"/>
        <v>0</v>
      </c>
      <c r="J232" s="87">
        <f>IF($D232&gt;0,IFERROR(Параметры!$D$42*$H232/$H$2408,0),0)</f>
        <v>0</v>
      </c>
      <c r="K232" s="87">
        <f>IFERROR(ROUND($N232*Параметры!$D$36,2),0)</f>
        <v>0</v>
      </c>
      <c r="L232" s="87">
        <f t="shared" si="25"/>
        <v>0</v>
      </c>
      <c r="M232" s="87">
        <f t="shared" si="26"/>
        <v>0</v>
      </c>
      <c r="N232" s="107" t="str">
        <f t="shared" si="27"/>
        <v/>
      </c>
    </row>
    <row r="233" spans="2:14" x14ac:dyDescent="0.25">
      <c r="B233" s="82">
        <f>SUBTOTAL(103,$D$8:D233)</f>
        <v>226</v>
      </c>
      <c r="C233" s="83" t="s">
        <v>241</v>
      </c>
      <c r="D233" s="84">
        <v>0</v>
      </c>
      <c r="E233" s="85" t="str">
        <f t="shared" si="22"/>
        <v/>
      </c>
      <c r="F233" s="106" t="str">
        <f t="shared" si="28"/>
        <v/>
      </c>
      <c r="G233" s="86"/>
      <c r="H233" s="107">
        <f t="shared" si="23"/>
        <v>0</v>
      </c>
      <c r="I233" s="107">
        <f t="shared" si="24"/>
        <v>0</v>
      </c>
      <c r="J233" s="87">
        <f>IF($D233&gt;0,IFERROR(Параметры!$D$42*$H233/$H$2408,0),0)</f>
        <v>0</v>
      </c>
      <c r="K233" s="87">
        <f>IFERROR(ROUND($N233*Параметры!$D$36,2),0)</f>
        <v>0</v>
      </c>
      <c r="L233" s="87">
        <f t="shared" si="25"/>
        <v>0</v>
      </c>
      <c r="M233" s="87">
        <f t="shared" si="26"/>
        <v>0</v>
      </c>
      <c r="N233" s="107" t="str">
        <f t="shared" si="27"/>
        <v/>
      </c>
    </row>
    <row r="234" spans="2:14" x14ac:dyDescent="0.25">
      <c r="B234" s="82">
        <f>SUBTOTAL(103,$D$8:D234)</f>
        <v>227</v>
      </c>
      <c r="C234" s="83" t="s">
        <v>242</v>
      </c>
      <c r="D234" s="84">
        <v>0</v>
      </c>
      <c r="E234" s="85" t="str">
        <f t="shared" si="22"/>
        <v/>
      </c>
      <c r="F234" s="106" t="str">
        <f t="shared" si="28"/>
        <v/>
      </c>
      <c r="G234" s="86"/>
      <c r="H234" s="107">
        <f t="shared" si="23"/>
        <v>0</v>
      </c>
      <c r="I234" s="107">
        <f t="shared" si="24"/>
        <v>0</v>
      </c>
      <c r="J234" s="87">
        <f>IF($D234&gt;0,IFERROR(Параметры!$D$42*$H234/$H$2408,0),0)</f>
        <v>0</v>
      </c>
      <c r="K234" s="87">
        <f>IFERROR(ROUND($N234*Параметры!$D$36,2),0)</f>
        <v>0</v>
      </c>
      <c r="L234" s="87">
        <f t="shared" si="25"/>
        <v>0</v>
      </c>
      <c r="M234" s="87">
        <f t="shared" si="26"/>
        <v>0</v>
      </c>
      <c r="N234" s="107" t="str">
        <f t="shared" si="27"/>
        <v/>
      </c>
    </row>
    <row r="235" spans="2:14" x14ac:dyDescent="0.25">
      <c r="B235" s="82">
        <f>SUBTOTAL(103,$D$8:D235)</f>
        <v>228</v>
      </c>
      <c r="C235" s="83" t="s">
        <v>243</v>
      </c>
      <c r="D235" s="84">
        <v>0</v>
      </c>
      <c r="E235" s="85" t="str">
        <f t="shared" si="22"/>
        <v/>
      </c>
      <c r="F235" s="106" t="str">
        <f t="shared" si="28"/>
        <v/>
      </c>
      <c r="G235" s="86"/>
      <c r="H235" s="107">
        <f t="shared" si="23"/>
        <v>0</v>
      </c>
      <c r="I235" s="107">
        <f t="shared" si="24"/>
        <v>0</v>
      </c>
      <c r="J235" s="87">
        <f>IF($D235&gt;0,IFERROR(Параметры!$D$42*$H235/$H$2408,0),0)</f>
        <v>0</v>
      </c>
      <c r="K235" s="87">
        <f>IFERROR(ROUND($N235*Параметры!$D$36,2),0)</f>
        <v>0</v>
      </c>
      <c r="L235" s="87">
        <f t="shared" si="25"/>
        <v>0</v>
      </c>
      <c r="M235" s="87">
        <f t="shared" si="26"/>
        <v>0</v>
      </c>
      <c r="N235" s="107" t="str">
        <f t="shared" si="27"/>
        <v/>
      </c>
    </row>
    <row r="236" spans="2:14" x14ac:dyDescent="0.25">
      <c r="B236" s="82">
        <f>SUBTOTAL(103,$D$8:D236)</f>
        <v>229</v>
      </c>
      <c r="C236" s="83" t="s">
        <v>244</v>
      </c>
      <c r="D236" s="84">
        <v>0</v>
      </c>
      <c r="E236" s="85" t="str">
        <f t="shared" si="22"/>
        <v/>
      </c>
      <c r="F236" s="106" t="str">
        <f t="shared" si="28"/>
        <v/>
      </c>
      <c r="G236" s="86"/>
      <c r="H236" s="107">
        <f t="shared" si="23"/>
        <v>0</v>
      </c>
      <c r="I236" s="107">
        <f t="shared" si="24"/>
        <v>0</v>
      </c>
      <c r="J236" s="87">
        <f>IF($D236&gt;0,IFERROR(Параметры!$D$42*$H236/$H$2408,0),0)</f>
        <v>0</v>
      </c>
      <c r="K236" s="87">
        <f>IFERROR(ROUND($N236*Параметры!$D$36,2),0)</f>
        <v>0</v>
      </c>
      <c r="L236" s="87">
        <f t="shared" si="25"/>
        <v>0</v>
      </c>
      <c r="M236" s="87">
        <f t="shared" si="26"/>
        <v>0</v>
      </c>
      <c r="N236" s="107" t="str">
        <f t="shared" si="27"/>
        <v/>
      </c>
    </row>
    <row r="237" spans="2:14" x14ac:dyDescent="0.25">
      <c r="B237" s="82">
        <f>SUBTOTAL(103,$D$8:D237)</f>
        <v>230</v>
      </c>
      <c r="C237" s="83" t="s">
        <v>245</v>
      </c>
      <c r="D237" s="84">
        <v>0</v>
      </c>
      <c r="E237" s="85" t="str">
        <f t="shared" si="22"/>
        <v/>
      </c>
      <c r="F237" s="106" t="str">
        <f t="shared" si="28"/>
        <v/>
      </c>
      <c r="G237" s="86"/>
      <c r="H237" s="107">
        <f t="shared" si="23"/>
        <v>0</v>
      </c>
      <c r="I237" s="107">
        <f t="shared" si="24"/>
        <v>0</v>
      </c>
      <c r="J237" s="87">
        <f>IF($D237&gt;0,IFERROR(Параметры!$D$42*$H237/$H$2408,0),0)</f>
        <v>0</v>
      </c>
      <c r="K237" s="87">
        <f>IFERROR(ROUND($N237*Параметры!$D$36,2),0)</f>
        <v>0</v>
      </c>
      <c r="L237" s="87">
        <f t="shared" si="25"/>
        <v>0</v>
      </c>
      <c r="M237" s="87">
        <f t="shared" si="26"/>
        <v>0</v>
      </c>
      <c r="N237" s="107" t="str">
        <f t="shared" si="27"/>
        <v/>
      </c>
    </row>
    <row r="238" spans="2:14" x14ac:dyDescent="0.25">
      <c r="B238" s="82">
        <f>SUBTOTAL(103,$D$8:D238)</f>
        <v>231</v>
      </c>
      <c r="C238" s="83" t="s">
        <v>246</v>
      </c>
      <c r="D238" s="84">
        <v>0</v>
      </c>
      <c r="E238" s="85" t="str">
        <f t="shared" si="22"/>
        <v/>
      </c>
      <c r="F238" s="106" t="str">
        <f t="shared" si="28"/>
        <v/>
      </c>
      <c r="G238" s="86"/>
      <c r="H238" s="107">
        <f t="shared" si="23"/>
        <v>0</v>
      </c>
      <c r="I238" s="107">
        <f t="shared" si="24"/>
        <v>0</v>
      </c>
      <c r="J238" s="87">
        <f>IF($D238&gt;0,IFERROR(Параметры!$D$42*$H238/$H$2408,0),0)</f>
        <v>0</v>
      </c>
      <c r="K238" s="87">
        <f>IFERROR(ROUND($N238*Параметры!$D$36,2),0)</f>
        <v>0</v>
      </c>
      <c r="L238" s="87">
        <f t="shared" si="25"/>
        <v>0</v>
      </c>
      <c r="M238" s="87">
        <f t="shared" si="26"/>
        <v>0</v>
      </c>
      <c r="N238" s="107" t="str">
        <f t="shared" si="27"/>
        <v/>
      </c>
    </row>
    <row r="239" spans="2:14" x14ac:dyDescent="0.25">
      <c r="B239" s="82">
        <f>SUBTOTAL(103,$D$8:D239)</f>
        <v>232</v>
      </c>
      <c r="C239" s="83" t="s">
        <v>247</v>
      </c>
      <c r="D239" s="84">
        <v>0</v>
      </c>
      <c r="E239" s="85" t="str">
        <f t="shared" si="22"/>
        <v/>
      </c>
      <c r="F239" s="106" t="str">
        <f t="shared" si="28"/>
        <v/>
      </c>
      <c r="G239" s="86"/>
      <c r="H239" s="107">
        <f t="shared" si="23"/>
        <v>0</v>
      </c>
      <c r="I239" s="107">
        <f t="shared" si="24"/>
        <v>0</v>
      </c>
      <c r="J239" s="87">
        <f>IF($D239&gt;0,IFERROR(Параметры!$D$42*$H239/$H$2408,0),0)</f>
        <v>0</v>
      </c>
      <c r="K239" s="87">
        <f>IFERROR(ROUND($N239*Параметры!$D$36,2),0)</f>
        <v>0</v>
      </c>
      <c r="L239" s="87">
        <f t="shared" si="25"/>
        <v>0</v>
      </c>
      <c r="M239" s="87">
        <f t="shared" si="26"/>
        <v>0</v>
      </c>
      <c r="N239" s="107" t="str">
        <f t="shared" si="27"/>
        <v/>
      </c>
    </row>
    <row r="240" spans="2:14" x14ac:dyDescent="0.25">
      <c r="B240" s="82">
        <f>SUBTOTAL(103,$D$8:D240)</f>
        <v>233</v>
      </c>
      <c r="C240" s="83" t="s">
        <v>248</v>
      </c>
      <c r="D240" s="84">
        <v>0</v>
      </c>
      <c r="E240" s="85" t="str">
        <f t="shared" si="22"/>
        <v/>
      </c>
      <c r="F240" s="106" t="str">
        <f t="shared" si="28"/>
        <v/>
      </c>
      <c r="G240" s="86"/>
      <c r="H240" s="107">
        <f t="shared" si="23"/>
        <v>0</v>
      </c>
      <c r="I240" s="107">
        <f t="shared" si="24"/>
        <v>0</v>
      </c>
      <c r="J240" s="87">
        <f>IF($D240&gt;0,IFERROR(Параметры!$D$42*$H240/$H$2408,0),0)</f>
        <v>0</v>
      </c>
      <c r="K240" s="87">
        <f>IFERROR(ROUND($N240*Параметры!$D$36,2),0)</f>
        <v>0</v>
      </c>
      <c r="L240" s="87">
        <f t="shared" si="25"/>
        <v>0</v>
      </c>
      <c r="M240" s="87">
        <f t="shared" si="26"/>
        <v>0</v>
      </c>
      <c r="N240" s="107" t="str">
        <f t="shared" si="27"/>
        <v/>
      </c>
    </row>
    <row r="241" spans="2:14" x14ac:dyDescent="0.25">
      <c r="B241" s="82">
        <f>SUBTOTAL(103,$D$8:D241)</f>
        <v>234</v>
      </c>
      <c r="C241" s="83" t="s">
        <v>249</v>
      </c>
      <c r="D241" s="84">
        <v>0</v>
      </c>
      <c r="E241" s="85" t="str">
        <f t="shared" si="22"/>
        <v/>
      </c>
      <c r="F241" s="106" t="str">
        <f t="shared" si="28"/>
        <v/>
      </c>
      <c r="G241" s="86"/>
      <c r="H241" s="107">
        <f t="shared" si="23"/>
        <v>0</v>
      </c>
      <c r="I241" s="107">
        <f t="shared" si="24"/>
        <v>0</v>
      </c>
      <c r="J241" s="87">
        <f>IF($D241&gt;0,IFERROR(Параметры!$D$42*$H241/$H$2408,0),0)</f>
        <v>0</v>
      </c>
      <c r="K241" s="87">
        <f>IFERROR(ROUND($N241*Параметры!$D$36,2),0)</f>
        <v>0</v>
      </c>
      <c r="L241" s="87">
        <f t="shared" si="25"/>
        <v>0</v>
      </c>
      <c r="M241" s="87">
        <f t="shared" si="26"/>
        <v>0</v>
      </c>
      <c r="N241" s="107" t="str">
        <f t="shared" si="27"/>
        <v/>
      </c>
    </row>
    <row r="242" spans="2:14" x14ac:dyDescent="0.25">
      <c r="B242" s="82">
        <f>SUBTOTAL(103,$D$8:D242)</f>
        <v>235</v>
      </c>
      <c r="C242" s="83" t="s">
        <v>250</v>
      </c>
      <c r="D242" s="84">
        <v>0</v>
      </c>
      <c r="E242" s="85" t="str">
        <f t="shared" si="22"/>
        <v/>
      </c>
      <c r="F242" s="106" t="str">
        <f t="shared" si="28"/>
        <v/>
      </c>
      <c r="G242" s="86"/>
      <c r="H242" s="107">
        <f t="shared" si="23"/>
        <v>0</v>
      </c>
      <c r="I242" s="107">
        <f t="shared" si="24"/>
        <v>0</v>
      </c>
      <c r="J242" s="87">
        <f>IF($D242&gt;0,IFERROR(Параметры!$D$42*$H242/$H$2408,0),0)</f>
        <v>0</v>
      </c>
      <c r="K242" s="87">
        <f>IFERROR(ROUND($N242*Параметры!$D$36,2),0)</f>
        <v>0</v>
      </c>
      <c r="L242" s="87">
        <f t="shared" si="25"/>
        <v>0</v>
      </c>
      <c r="M242" s="87">
        <f t="shared" si="26"/>
        <v>0</v>
      </c>
      <c r="N242" s="107" t="str">
        <f t="shared" si="27"/>
        <v/>
      </c>
    </row>
    <row r="243" spans="2:14" x14ac:dyDescent="0.25">
      <c r="B243" s="82">
        <f>SUBTOTAL(103,$D$8:D243)</f>
        <v>236</v>
      </c>
      <c r="C243" s="83" t="s">
        <v>251</v>
      </c>
      <c r="D243" s="84">
        <v>0</v>
      </c>
      <c r="E243" s="85" t="str">
        <f t="shared" si="22"/>
        <v/>
      </c>
      <c r="F243" s="106" t="str">
        <f t="shared" si="28"/>
        <v/>
      </c>
      <c r="G243" s="86"/>
      <c r="H243" s="107">
        <f t="shared" si="23"/>
        <v>0</v>
      </c>
      <c r="I243" s="107">
        <f t="shared" si="24"/>
        <v>0</v>
      </c>
      <c r="J243" s="87">
        <f>IF($D243&gt;0,IFERROR(Параметры!$D$42*$H243/$H$2408,0),0)</f>
        <v>0</v>
      </c>
      <c r="K243" s="87">
        <f>IFERROR(ROUND($N243*Параметры!$D$36,2),0)</f>
        <v>0</v>
      </c>
      <c r="L243" s="87">
        <f t="shared" si="25"/>
        <v>0</v>
      </c>
      <c r="M243" s="87">
        <f t="shared" si="26"/>
        <v>0</v>
      </c>
      <c r="N243" s="107" t="str">
        <f t="shared" si="27"/>
        <v/>
      </c>
    </row>
    <row r="244" spans="2:14" x14ac:dyDescent="0.25">
      <c r="B244" s="82">
        <f>SUBTOTAL(103,$D$8:D244)</f>
        <v>237</v>
      </c>
      <c r="C244" s="83" t="s">
        <v>252</v>
      </c>
      <c r="D244" s="84">
        <v>0</v>
      </c>
      <c r="E244" s="85" t="str">
        <f t="shared" si="22"/>
        <v/>
      </c>
      <c r="F244" s="106" t="str">
        <f t="shared" si="28"/>
        <v/>
      </c>
      <c r="G244" s="86"/>
      <c r="H244" s="107">
        <f t="shared" si="23"/>
        <v>0</v>
      </c>
      <c r="I244" s="107">
        <f t="shared" si="24"/>
        <v>0</v>
      </c>
      <c r="J244" s="87">
        <f>IF($D244&gt;0,IFERROR(Параметры!$D$42*$H244/$H$2408,0),0)</f>
        <v>0</v>
      </c>
      <c r="K244" s="87">
        <f>IFERROR(ROUND($N244*Параметры!$D$36,2),0)</f>
        <v>0</v>
      </c>
      <c r="L244" s="87">
        <f t="shared" si="25"/>
        <v>0</v>
      </c>
      <c r="M244" s="87">
        <f t="shared" si="26"/>
        <v>0</v>
      </c>
      <c r="N244" s="107" t="str">
        <f t="shared" si="27"/>
        <v/>
      </c>
    </row>
    <row r="245" spans="2:14" x14ac:dyDescent="0.25">
      <c r="B245" s="82">
        <f>SUBTOTAL(103,$D$8:D245)</f>
        <v>238</v>
      </c>
      <c r="C245" s="83" t="s">
        <v>253</v>
      </c>
      <c r="D245" s="84">
        <v>0</v>
      </c>
      <c r="E245" s="85" t="str">
        <f t="shared" si="22"/>
        <v/>
      </c>
      <c r="F245" s="106" t="str">
        <f t="shared" si="28"/>
        <v/>
      </c>
      <c r="G245" s="86"/>
      <c r="H245" s="107">
        <f t="shared" si="23"/>
        <v>0</v>
      </c>
      <c r="I245" s="107">
        <f t="shared" si="24"/>
        <v>0</v>
      </c>
      <c r="J245" s="87">
        <f>IF($D245&gt;0,IFERROR(Параметры!$D$42*$H245/$H$2408,0),0)</f>
        <v>0</v>
      </c>
      <c r="K245" s="87">
        <f>IFERROR(ROUND($N245*Параметры!$D$36,2),0)</f>
        <v>0</v>
      </c>
      <c r="L245" s="87">
        <f t="shared" si="25"/>
        <v>0</v>
      </c>
      <c r="M245" s="87">
        <f t="shared" si="26"/>
        <v>0</v>
      </c>
      <c r="N245" s="107" t="str">
        <f t="shared" si="27"/>
        <v/>
      </c>
    </row>
    <row r="246" spans="2:14" x14ac:dyDescent="0.25">
      <c r="B246" s="82">
        <f>SUBTOTAL(103,$D$8:D246)</f>
        <v>239</v>
      </c>
      <c r="C246" s="83" t="s">
        <v>254</v>
      </c>
      <c r="D246" s="84">
        <v>0</v>
      </c>
      <c r="E246" s="85" t="str">
        <f t="shared" si="22"/>
        <v/>
      </c>
      <c r="F246" s="106" t="str">
        <f t="shared" si="28"/>
        <v/>
      </c>
      <c r="G246" s="86"/>
      <c r="H246" s="107">
        <f t="shared" si="23"/>
        <v>0</v>
      </c>
      <c r="I246" s="107">
        <f t="shared" si="24"/>
        <v>0</v>
      </c>
      <c r="J246" s="87">
        <f>IF($D246&gt;0,IFERROR(Параметры!$D$42*$H246/$H$2408,0),0)</f>
        <v>0</v>
      </c>
      <c r="K246" s="87">
        <f>IFERROR(ROUND($N246*Параметры!$D$36,2),0)</f>
        <v>0</v>
      </c>
      <c r="L246" s="87">
        <f t="shared" si="25"/>
        <v>0</v>
      </c>
      <c r="M246" s="87">
        <f t="shared" si="26"/>
        <v>0</v>
      </c>
      <c r="N246" s="107" t="str">
        <f t="shared" si="27"/>
        <v/>
      </c>
    </row>
    <row r="247" spans="2:14" x14ac:dyDescent="0.25">
      <c r="B247" s="82">
        <f>SUBTOTAL(103,$D$8:D247)</f>
        <v>240</v>
      </c>
      <c r="C247" s="83" t="s">
        <v>255</v>
      </c>
      <c r="D247" s="84">
        <v>0</v>
      </c>
      <c r="E247" s="85" t="str">
        <f t="shared" si="22"/>
        <v/>
      </c>
      <c r="F247" s="106" t="str">
        <f t="shared" si="28"/>
        <v/>
      </c>
      <c r="G247" s="86"/>
      <c r="H247" s="107">
        <f t="shared" si="23"/>
        <v>0</v>
      </c>
      <c r="I247" s="107">
        <f t="shared" si="24"/>
        <v>0</v>
      </c>
      <c r="J247" s="87">
        <f>IF($D247&gt;0,IFERROR(Параметры!$D$42*$H247/$H$2408,0),0)</f>
        <v>0</v>
      </c>
      <c r="K247" s="87">
        <f>IFERROR(ROUND($N247*Параметры!$D$36,2),0)</f>
        <v>0</v>
      </c>
      <c r="L247" s="87">
        <f t="shared" si="25"/>
        <v>0</v>
      </c>
      <c r="M247" s="87">
        <f t="shared" si="26"/>
        <v>0</v>
      </c>
      <c r="N247" s="107" t="str">
        <f t="shared" si="27"/>
        <v/>
      </c>
    </row>
    <row r="248" spans="2:14" x14ac:dyDescent="0.25">
      <c r="B248" s="82">
        <f>SUBTOTAL(103,$D$8:D248)</f>
        <v>241</v>
      </c>
      <c r="C248" s="83" t="s">
        <v>256</v>
      </c>
      <c r="D248" s="84">
        <f t="array" ref="D248:D307">TRANSPOSE('Зарядная карта'!$C$9:$BJ$9)</f>
        <v>0</v>
      </c>
      <c r="E248" s="85" t="str">
        <f t="shared" si="22"/>
        <v/>
      </c>
      <c r="F248" s="106" t="str">
        <f t="shared" si="28"/>
        <v/>
      </c>
      <c r="G248" s="86"/>
      <c r="H248" s="107">
        <f t="shared" si="23"/>
        <v>0</v>
      </c>
      <c r="I248" s="107">
        <f t="shared" si="24"/>
        <v>0</v>
      </c>
      <c r="J248" s="87">
        <f>IF($D248&gt;0,IFERROR(Параметры!$D$42*$H248/$H$2408,0),0)</f>
        <v>0</v>
      </c>
      <c r="K248" s="87">
        <f>IFERROR(ROUND($N248*Параметры!$D$36,2),0)</f>
        <v>0</v>
      </c>
      <c r="L248" s="87">
        <f t="shared" si="25"/>
        <v>0</v>
      </c>
      <c r="M248" s="87">
        <f t="shared" si="26"/>
        <v>0</v>
      </c>
      <c r="N248" s="107" t="str">
        <f t="shared" si="27"/>
        <v/>
      </c>
    </row>
    <row r="249" spans="2:14" x14ac:dyDescent="0.25">
      <c r="B249" s="82">
        <f>SUBTOTAL(103,$D$8:D249)</f>
        <v>242</v>
      </c>
      <c r="C249" s="83" t="s">
        <v>257</v>
      </c>
      <c r="D249" s="84">
        <v>0</v>
      </c>
      <c r="E249" s="85" t="str">
        <f t="shared" si="22"/>
        <v/>
      </c>
      <c r="F249" s="106" t="str">
        <f t="shared" si="28"/>
        <v/>
      </c>
      <c r="G249" s="86"/>
      <c r="H249" s="107">
        <f t="shared" si="23"/>
        <v>0</v>
      </c>
      <c r="I249" s="107">
        <f t="shared" si="24"/>
        <v>0</v>
      </c>
      <c r="J249" s="87">
        <f>IF($D249&gt;0,IFERROR(Параметры!$D$42*$H249/$H$2408,0),0)</f>
        <v>0</v>
      </c>
      <c r="K249" s="87">
        <f>IFERROR(ROUND($N249*Параметры!$D$36,2),0)</f>
        <v>0</v>
      </c>
      <c r="L249" s="87">
        <f t="shared" si="25"/>
        <v>0</v>
      </c>
      <c r="M249" s="87">
        <f t="shared" si="26"/>
        <v>0</v>
      </c>
      <c r="N249" s="107" t="str">
        <f t="shared" si="27"/>
        <v/>
      </c>
    </row>
    <row r="250" spans="2:14" x14ac:dyDescent="0.25">
      <c r="B250" s="82">
        <f>SUBTOTAL(103,$D$8:D250)</f>
        <v>243</v>
      </c>
      <c r="C250" s="83" t="s">
        <v>258</v>
      </c>
      <c r="D250" s="84">
        <v>0</v>
      </c>
      <c r="E250" s="85" t="str">
        <f t="shared" si="22"/>
        <v/>
      </c>
      <c r="F250" s="106" t="str">
        <f t="shared" si="28"/>
        <v/>
      </c>
      <c r="G250" s="86"/>
      <c r="H250" s="107">
        <f t="shared" si="23"/>
        <v>0</v>
      </c>
      <c r="I250" s="107">
        <f t="shared" si="24"/>
        <v>0</v>
      </c>
      <c r="J250" s="87">
        <f>IF($D250&gt;0,IFERROR(Параметры!$D$42*$H250/$H$2408,0),0)</f>
        <v>0</v>
      </c>
      <c r="K250" s="87">
        <f>IFERROR(ROUND($N250*Параметры!$D$36,2),0)</f>
        <v>0</v>
      </c>
      <c r="L250" s="87">
        <f t="shared" si="25"/>
        <v>0</v>
      </c>
      <c r="M250" s="87">
        <f t="shared" si="26"/>
        <v>0</v>
      </c>
      <c r="N250" s="107" t="str">
        <f t="shared" si="27"/>
        <v/>
      </c>
    </row>
    <row r="251" spans="2:14" x14ac:dyDescent="0.25">
      <c r="B251" s="82">
        <f>SUBTOTAL(103,$D$8:D251)</f>
        <v>244</v>
      </c>
      <c r="C251" s="83" t="s">
        <v>259</v>
      </c>
      <c r="D251" s="84">
        <v>0</v>
      </c>
      <c r="E251" s="85" t="str">
        <f t="shared" si="22"/>
        <v/>
      </c>
      <c r="F251" s="106" t="str">
        <f t="shared" si="28"/>
        <v/>
      </c>
      <c r="G251" s="86"/>
      <c r="H251" s="107">
        <f t="shared" si="23"/>
        <v>0</v>
      </c>
      <c r="I251" s="107">
        <f t="shared" si="24"/>
        <v>0</v>
      </c>
      <c r="J251" s="87">
        <f>IF($D251&gt;0,IFERROR(Параметры!$D$42*$H251/$H$2408,0),0)</f>
        <v>0</v>
      </c>
      <c r="K251" s="87">
        <f>IFERROR(ROUND($N251*Параметры!$D$36,2),0)</f>
        <v>0</v>
      </c>
      <c r="L251" s="87">
        <f t="shared" si="25"/>
        <v>0</v>
      </c>
      <c r="M251" s="87">
        <f t="shared" si="26"/>
        <v>0</v>
      </c>
      <c r="N251" s="107" t="str">
        <f t="shared" si="27"/>
        <v/>
      </c>
    </row>
    <row r="252" spans="2:14" x14ac:dyDescent="0.25">
      <c r="B252" s="82">
        <f>SUBTOTAL(103,$D$8:D252)</f>
        <v>245</v>
      </c>
      <c r="C252" s="83" t="s">
        <v>260</v>
      </c>
      <c r="D252" s="84">
        <v>0</v>
      </c>
      <c r="E252" s="85" t="str">
        <f t="shared" si="22"/>
        <v/>
      </c>
      <c r="F252" s="106" t="str">
        <f t="shared" si="28"/>
        <v/>
      </c>
      <c r="G252" s="86"/>
      <c r="H252" s="107">
        <f t="shared" si="23"/>
        <v>0</v>
      </c>
      <c r="I252" s="107">
        <f t="shared" si="24"/>
        <v>0</v>
      </c>
      <c r="J252" s="87">
        <f>IF($D252&gt;0,IFERROR(Параметры!$D$42*$H252/$H$2408,0),0)</f>
        <v>0</v>
      </c>
      <c r="K252" s="87">
        <f>IFERROR(ROUND($N252*Параметры!$D$36,2),0)</f>
        <v>0</v>
      </c>
      <c r="L252" s="87">
        <f t="shared" si="25"/>
        <v>0</v>
      </c>
      <c r="M252" s="87">
        <f t="shared" si="26"/>
        <v>0</v>
      </c>
      <c r="N252" s="107" t="str">
        <f t="shared" si="27"/>
        <v/>
      </c>
    </row>
    <row r="253" spans="2:14" x14ac:dyDescent="0.25">
      <c r="B253" s="82">
        <f>SUBTOTAL(103,$D$8:D253)</f>
        <v>246</v>
      </c>
      <c r="C253" s="83" t="s">
        <v>261</v>
      </c>
      <c r="D253" s="84">
        <v>0</v>
      </c>
      <c r="E253" s="85" t="str">
        <f t="shared" si="22"/>
        <v/>
      </c>
      <c r="F253" s="106" t="str">
        <f t="shared" si="28"/>
        <v/>
      </c>
      <c r="G253" s="86"/>
      <c r="H253" s="107">
        <f t="shared" si="23"/>
        <v>0</v>
      </c>
      <c r="I253" s="107">
        <f t="shared" si="24"/>
        <v>0</v>
      </c>
      <c r="J253" s="87">
        <f>IF($D253&gt;0,IFERROR(Параметры!$D$42*$H253/$H$2408,0),0)</f>
        <v>0</v>
      </c>
      <c r="K253" s="87">
        <f>IFERROR(ROUND($N253*Параметры!$D$36,2),0)</f>
        <v>0</v>
      </c>
      <c r="L253" s="87">
        <f t="shared" si="25"/>
        <v>0</v>
      </c>
      <c r="M253" s="87">
        <f t="shared" si="26"/>
        <v>0</v>
      </c>
      <c r="N253" s="107" t="str">
        <f t="shared" si="27"/>
        <v/>
      </c>
    </row>
    <row r="254" spans="2:14" x14ac:dyDescent="0.25">
      <c r="B254" s="82">
        <f>SUBTOTAL(103,$D$8:D254)</f>
        <v>247</v>
      </c>
      <c r="C254" s="83" t="s">
        <v>262</v>
      </c>
      <c r="D254" s="84">
        <v>0</v>
      </c>
      <c r="E254" s="85" t="str">
        <f t="shared" si="22"/>
        <v/>
      </c>
      <c r="F254" s="106" t="str">
        <f t="shared" si="28"/>
        <v/>
      </c>
      <c r="G254" s="86"/>
      <c r="H254" s="107">
        <f t="shared" si="23"/>
        <v>0</v>
      </c>
      <c r="I254" s="107">
        <f t="shared" si="24"/>
        <v>0</v>
      </c>
      <c r="J254" s="87">
        <f>IF($D254&gt;0,IFERROR(Параметры!$D$42*$H254/$H$2408,0),0)</f>
        <v>0</v>
      </c>
      <c r="K254" s="87">
        <f>IFERROR(ROUND($N254*Параметры!$D$36,2),0)</f>
        <v>0</v>
      </c>
      <c r="L254" s="87">
        <f t="shared" si="25"/>
        <v>0</v>
      </c>
      <c r="M254" s="87">
        <f t="shared" si="26"/>
        <v>0</v>
      </c>
      <c r="N254" s="107" t="str">
        <f t="shared" si="27"/>
        <v/>
      </c>
    </row>
    <row r="255" spans="2:14" x14ac:dyDescent="0.25">
      <c r="B255" s="82">
        <f>SUBTOTAL(103,$D$8:D255)</f>
        <v>248</v>
      </c>
      <c r="C255" s="83" t="s">
        <v>263</v>
      </c>
      <c r="D255" s="84">
        <v>0</v>
      </c>
      <c r="E255" s="85" t="str">
        <f t="shared" si="22"/>
        <v/>
      </c>
      <c r="F255" s="106" t="str">
        <f t="shared" si="28"/>
        <v/>
      </c>
      <c r="G255" s="86"/>
      <c r="H255" s="107">
        <f t="shared" si="23"/>
        <v>0</v>
      </c>
      <c r="I255" s="107">
        <f t="shared" si="24"/>
        <v>0</v>
      </c>
      <c r="J255" s="87">
        <f>IF($D255&gt;0,IFERROR(Параметры!$D$42*$H255/$H$2408,0),0)</f>
        <v>0</v>
      </c>
      <c r="K255" s="87">
        <f>IFERROR(ROUND($N255*Параметры!$D$36,2),0)</f>
        <v>0</v>
      </c>
      <c r="L255" s="87">
        <f t="shared" si="25"/>
        <v>0</v>
      </c>
      <c r="M255" s="87">
        <f t="shared" si="26"/>
        <v>0</v>
      </c>
      <c r="N255" s="107" t="str">
        <f t="shared" si="27"/>
        <v/>
      </c>
    </row>
    <row r="256" spans="2:14" x14ac:dyDescent="0.25">
      <c r="B256" s="82">
        <f>SUBTOTAL(103,$D$8:D256)</f>
        <v>249</v>
      </c>
      <c r="C256" s="83" t="s">
        <v>264</v>
      </c>
      <c r="D256" s="84">
        <v>8</v>
      </c>
      <c r="E256" s="85">
        <f t="shared" si="22"/>
        <v>188.44409999999999</v>
      </c>
      <c r="F256" s="106">
        <f t="shared" si="28"/>
        <v>2</v>
      </c>
      <c r="G256" s="86"/>
      <c r="H256" s="107">
        <f t="shared" si="23"/>
        <v>6.88</v>
      </c>
      <c r="I256" s="107">
        <f t="shared" si="24"/>
        <v>1.1200000000000001</v>
      </c>
      <c r="J256" s="87">
        <f>IF($D256&gt;0,IFERROR(Параметры!$D$42*$H256/$H$2408,0),0)</f>
        <v>120.20791878172589</v>
      </c>
      <c r="K256" s="87">
        <f>IFERROR(ROUND($N256*Параметры!$D$36,2),0)</f>
        <v>178.62</v>
      </c>
      <c r="L256" s="87">
        <f t="shared" si="25"/>
        <v>9.8240999999999996</v>
      </c>
      <c r="M256" s="87">
        <f t="shared" si="26"/>
        <v>11.526237057460476</v>
      </c>
      <c r="N256" s="107">
        <f t="shared" si="27"/>
        <v>6</v>
      </c>
    </row>
    <row r="257" spans="2:14" x14ac:dyDescent="0.25">
      <c r="B257" s="82">
        <f>SUBTOTAL(103,$D$8:D257)</f>
        <v>250</v>
      </c>
      <c r="C257" s="83" t="s">
        <v>265</v>
      </c>
      <c r="D257" s="84">
        <v>8</v>
      </c>
      <c r="E257" s="85">
        <f t="shared" si="22"/>
        <v>188.44409999999999</v>
      </c>
      <c r="F257" s="106">
        <f t="shared" si="28"/>
        <v>2</v>
      </c>
      <c r="G257" s="86"/>
      <c r="H257" s="107">
        <f t="shared" si="23"/>
        <v>6.88</v>
      </c>
      <c r="I257" s="107">
        <f t="shared" si="24"/>
        <v>1.1200000000000001</v>
      </c>
      <c r="J257" s="87">
        <f>IF($D257&gt;0,IFERROR(Параметры!$D$42*$H257/$H$2408,0),0)</f>
        <v>120.20791878172589</v>
      </c>
      <c r="K257" s="87">
        <f>IFERROR(ROUND($N257*Параметры!$D$36,2),0)</f>
        <v>178.62</v>
      </c>
      <c r="L257" s="87">
        <f t="shared" si="25"/>
        <v>9.8240999999999996</v>
      </c>
      <c r="M257" s="87">
        <f t="shared" si="26"/>
        <v>11.526237057460476</v>
      </c>
      <c r="N257" s="107">
        <f t="shared" si="27"/>
        <v>6</v>
      </c>
    </row>
    <row r="258" spans="2:14" x14ac:dyDescent="0.25">
      <c r="B258" s="82">
        <f>SUBTOTAL(103,$D$8:D258)</f>
        <v>251</v>
      </c>
      <c r="C258" s="83" t="s">
        <v>266</v>
      </c>
      <c r="D258" s="84">
        <v>0</v>
      </c>
      <c r="E258" s="85" t="str">
        <f t="shared" si="22"/>
        <v/>
      </c>
      <c r="F258" s="106" t="str">
        <f t="shared" si="28"/>
        <v/>
      </c>
      <c r="G258" s="86"/>
      <c r="H258" s="107">
        <f t="shared" si="23"/>
        <v>0</v>
      </c>
      <c r="I258" s="107">
        <f t="shared" si="24"/>
        <v>0</v>
      </c>
      <c r="J258" s="87">
        <f>IF($D258&gt;0,IFERROR(Параметры!$D$42*$H258/$H$2408,0),0)</f>
        <v>0</v>
      </c>
      <c r="K258" s="87">
        <f>IFERROR(ROUND($N258*Параметры!$D$36,2),0)</f>
        <v>0</v>
      </c>
      <c r="L258" s="87">
        <f t="shared" si="25"/>
        <v>0</v>
      </c>
      <c r="M258" s="87">
        <f t="shared" si="26"/>
        <v>0</v>
      </c>
      <c r="N258" s="107" t="str">
        <f t="shared" si="27"/>
        <v/>
      </c>
    </row>
    <row r="259" spans="2:14" x14ac:dyDescent="0.25">
      <c r="B259" s="82">
        <f>SUBTOTAL(103,$D$8:D259)</f>
        <v>252</v>
      </c>
      <c r="C259" s="83" t="s">
        <v>267</v>
      </c>
      <c r="D259" s="84">
        <v>0</v>
      </c>
      <c r="E259" s="85" t="str">
        <f t="shared" si="22"/>
        <v/>
      </c>
      <c r="F259" s="106" t="str">
        <f t="shared" si="28"/>
        <v/>
      </c>
      <c r="G259" s="86"/>
      <c r="H259" s="107">
        <f t="shared" si="23"/>
        <v>0</v>
      </c>
      <c r="I259" s="107">
        <f t="shared" si="24"/>
        <v>0</v>
      </c>
      <c r="J259" s="87">
        <f>IF($D259&gt;0,IFERROR(Параметры!$D$42*$H259/$H$2408,0),0)</f>
        <v>0</v>
      </c>
      <c r="K259" s="87">
        <f>IFERROR(ROUND($N259*Параметры!$D$36,2),0)</f>
        <v>0</v>
      </c>
      <c r="L259" s="87">
        <f t="shared" si="25"/>
        <v>0</v>
      </c>
      <c r="M259" s="87">
        <f t="shared" si="26"/>
        <v>0</v>
      </c>
      <c r="N259" s="107" t="str">
        <f t="shared" si="27"/>
        <v/>
      </c>
    </row>
    <row r="260" spans="2:14" x14ac:dyDescent="0.25">
      <c r="B260" s="82">
        <f>SUBTOTAL(103,$D$8:D260)</f>
        <v>253</v>
      </c>
      <c r="C260" s="83" t="s">
        <v>268</v>
      </c>
      <c r="D260" s="84">
        <v>0</v>
      </c>
      <c r="E260" s="85" t="str">
        <f t="shared" si="22"/>
        <v/>
      </c>
      <c r="F260" s="106" t="str">
        <f t="shared" si="28"/>
        <v/>
      </c>
      <c r="G260" s="86"/>
      <c r="H260" s="107">
        <f t="shared" si="23"/>
        <v>0</v>
      </c>
      <c r="I260" s="107">
        <f t="shared" si="24"/>
        <v>0</v>
      </c>
      <c r="J260" s="87">
        <f>IF($D260&gt;0,IFERROR(Параметры!$D$42*$H260/$H$2408,0),0)</f>
        <v>0</v>
      </c>
      <c r="K260" s="87">
        <f>IFERROR(ROUND($N260*Параметры!$D$36,2),0)</f>
        <v>0</v>
      </c>
      <c r="L260" s="87">
        <f t="shared" si="25"/>
        <v>0</v>
      </c>
      <c r="M260" s="87">
        <f t="shared" si="26"/>
        <v>0</v>
      </c>
      <c r="N260" s="107" t="str">
        <f t="shared" si="27"/>
        <v/>
      </c>
    </row>
    <row r="261" spans="2:14" x14ac:dyDescent="0.25">
      <c r="B261" s="82">
        <f>SUBTOTAL(103,$D$8:D261)</f>
        <v>254</v>
      </c>
      <c r="C261" s="83" t="s">
        <v>269</v>
      </c>
      <c r="D261" s="84">
        <v>0</v>
      </c>
      <c r="E261" s="85" t="str">
        <f t="shared" si="22"/>
        <v/>
      </c>
      <c r="F261" s="106" t="str">
        <f t="shared" si="28"/>
        <v/>
      </c>
      <c r="G261" s="86"/>
      <c r="H261" s="107">
        <f t="shared" si="23"/>
        <v>0</v>
      </c>
      <c r="I261" s="107">
        <f t="shared" si="24"/>
        <v>0</v>
      </c>
      <c r="J261" s="87">
        <f>IF($D261&gt;0,IFERROR(Параметры!$D$42*$H261/$H$2408,0),0)</f>
        <v>0</v>
      </c>
      <c r="K261" s="87">
        <f>IFERROR(ROUND($N261*Параметры!$D$36,2),0)</f>
        <v>0</v>
      </c>
      <c r="L261" s="87">
        <f t="shared" si="25"/>
        <v>0</v>
      </c>
      <c r="M261" s="87">
        <f t="shared" si="26"/>
        <v>0</v>
      </c>
      <c r="N261" s="107" t="str">
        <f t="shared" si="27"/>
        <v/>
      </c>
    </row>
    <row r="262" spans="2:14" x14ac:dyDescent="0.25">
      <c r="B262" s="82">
        <f>SUBTOTAL(103,$D$8:D262)</f>
        <v>255</v>
      </c>
      <c r="C262" s="83" t="s">
        <v>270</v>
      </c>
      <c r="D262" s="84">
        <v>0</v>
      </c>
      <c r="E262" s="85" t="str">
        <f t="shared" si="22"/>
        <v/>
      </c>
      <c r="F262" s="106" t="str">
        <f t="shared" si="28"/>
        <v/>
      </c>
      <c r="G262" s="86"/>
      <c r="H262" s="107">
        <f t="shared" si="23"/>
        <v>0</v>
      </c>
      <c r="I262" s="107">
        <f t="shared" si="24"/>
        <v>0</v>
      </c>
      <c r="J262" s="87">
        <f>IF($D262&gt;0,IFERROR(Параметры!$D$42*$H262/$H$2408,0),0)</f>
        <v>0</v>
      </c>
      <c r="K262" s="87">
        <f>IFERROR(ROUND($N262*Параметры!$D$36,2),0)</f>
        <v>0</v>
      </c>
      <c r="L262" s="87">
        <f t="shared" si="25"/>
        <v>0</v>
      </c>
      <c r="M262" s="87">
        <f t="shared" si="26"/>
        <v>0</v>
      </c>
      <c r="N262" s="107" t="str">
        <f t="shared" si="27"/>
        <v/>
      </c>
    </row>
    <row r="263" spans="2:14" x14ac:dyDescent="0.25">
      <c r="B263" s="82">
        <f>SUBTOTAL(103,$D$8:D263)</f>
        <v>256</v>
      </c>
      <c r="C263" s="83" t="s">
        <v>271</v>
      </c>
      <c r="D263" s="84">
        <v>0</v>
      </c>
      <c r="E263" s="85" t="str">
        <f t="shared" si="22"/>
        <v/>
      </c>
      <c r="F263" s="106" t="str">
        <f t="shared" si="28"/>
        <v/>
      </c>
      <c r="G263" s="86"/>
      <c r="H263" s="107">
        <f t="shared" si="23"/>
        <v>0</v>
      </c>
      <c r="I263" s="107">
        <f t="shared" si="24"/>
        <v>0</v>
      </c>
      <c r="J263" s="87">
        <f>IF($D263&gt;0,IFERROR(Параметры!$D$42*$H263/$H$2408,0),0)</f>
        <v>0</v>
      </c>
      <c r="K263" s="87">
        <f>IFERROR(ROUND($N263*Параметры!$D$36,2),0)</f>
        <v>0</v>
      </c>
      <c r="L263" s="87">
        <f t="shared" si="25"/>
        <v>0</v>
      </c>
      <c r="M263" s="87">
        <f t="shared" si="26"/>
        <v>0</v>
      </c>
      <c r="N263" s="107" t="str">
        <f t="shared" si="27"/>
        <v/>
      </c>
    </row>
    <row r="264" spans="2:14" x14ac:dyDescent="0.25">
      <c r="B264" s="82">
        <f>SUBTOTAL(103,$D$8:D264)</f>
        <v>257</v>
      </c>
      <c r="C264" s="83" t="s">
        <v>272</v>
      </c>
      <c r="D264" s="84">
        <v>0</v>
      </c>
      <c r="E264" s="85" t="str">
        <f t="shared" ref="E264:E327" si="29">IF($D264&lt;1,"",$K264+$L264)</f>
        <v/>
      </c>
      <c r="F264" s="106" t="str">
        <f t="shared" si="28"/>
        <v/>
      </c>
      <c r="G264" s="86"/>
      <c r="H264" s="107">
        <f t="shared" ref="H264:H327" si="30">IF($D264&gt;0,$D264*КИС,0)</f>
        <v>0</v>
      </c>
      <c r="I264" s="107">
        <f t="shared" ref="I264:I327" si="31">IF($D264&gt;0,$D264-$H264,0)</f>
        <v>0</v>
      </c>
      <c r="J264" s="87">
        <f>IF($D264&gt;0,IFERROR(Параметры!$D$42*$H264/$H$2408,0),0)</f>
        <v>0</v>
      </c>
      <c r="K264" s="87">
        <f>IFERROR(ROUND($N264*Параметры!$D$36,2),0)</f>
        <v>0</v>
      </c>
      <c r="L264" s="87">
        <f t="shared" ref="L264:L327" si="32">IF($K264&gt;0,$K264*0.055,0)</f>
        <v>0</v>
      </c>
      <c r="M264" s="87">
        <f t="shared" ref="M264:M327" si="33">IFERROR($L264/Плотность_ДТ,0)</f>
        <v>0</v>
      </c>
      <c r="N264" s="107" t="str">
        <f t="shared" ref="N264:N327" si="34">IF($D264&gt;0,MAX(0,$D264-IF($F264="",0,$F264)),"")</f>
        <v/>
      </c>
    </row>
    <row r="265" spans="2:14" x14ac:dyDescent="0.25">
      <c r="B265" s="82">
        <f>SUBTOTAL(103,$D$8:D265)</f>
        <v>258</v>
      </c>
      <c r="C265" s="83" t="s">
        <v>273</v>
      </c>
      <c r="D265" s="84">
        <v>0</v>
      </c>
      <c r="E265" s="85" t="str">
        <f t="shared" si="29"/>
        <v/>
      </c>
      <c r="F265" s="106" t="str">
        <f t="shared" si="28"/>
        <v/>
      </c>
      <c r="G265" s="86"/>
      <c r="H265" s="107">
        <f t="shared" si="30"/>
        <v>0</v>
      </c>
      <c r="I265" s="107">
        <f t="shared" si="31"/>
        <v>0</v>
      </c>
      <c r="J265" s="87">
        <f>IF($D265&gt;0,IFERROR(Параметры!$D$42*$H265/$H$2408,0),0)</f>
        <v>0</v>
      </c>
      <c r="K265" s="87">
        <f>IFERROR(ROUND($N265*Параметры!$D$36,2),0)</f>
        <v>0</v>
      </c>
      <c r="L265" s="87">
        <f t="shared" si="32"/>
        <v>0</v>
      </c>
      <c r="M265" s="87">
        <f t="shared" si="33"/>
        <v>0</v>
      </c>
      <c r="N265" s="107" t="str">
        <f t="shared" si="34"/>
        <v/>
      </c>
    </row>
    <row r="266" spans="2:14" x14ac:dyDescent="0.25">
      <c r="B266" s="82">
        <f>SUBTOTAL(103,$D$8:D266)</f>
        <v>259</v>
      </c>
      <c r="C266" s="83" t="s">
        <v>274</v>
      </c>
      <c r="D266" s="84">
        <v>0</v>
      </c>
      <c r="E266" s="85" t="str">
        <f t="shared" si="29"/>
        <v/>
      </c>
      <c r="F266" s="106" t="str">
        <f t="shared" si="28"/>
        <v/>
      </c>
      <c r="G266" s="86"/>
      <c r="H266" s="107">
        <f t="shared" si="30"/>
        <v>0</v>
      </c>
      <c r="I266" s="107">
        <f t="shared" si="31"/>
        <v>0</v>
      </c>
      <c r="J266" s="87">
        <f>IF($D266&gt;0,IFERROR(Параметры!$D$42*$H266/$H$2408,0),0)</f>
        <v>0</v>
      </c>
      <c r="K266" s="87">
        <f>IFERROR(ROUND($N266*Параметры!$D$36,2),0)</f>
        <v>0</v>
      </c>
      <c r="L266" s="87">
        <f t="shared" si="32"/>
        <v>0</v>
      </c>
      <c r="M266" s="87">
        <f t="shared" si="33"/>
        <v>0</v>
      </c>
      <c r="N266" s="107" t="str">
        <f t="shared" si="34"/>
        <v/>
      </c>
    </row>
    <row r="267" spans="2:14" x14ac:dyDescent="0.25">
      <c r="B267" s="82">
        <f>SUBTOTAL(103,$D$8:D267)</f>
        <v>260</v>
      </c>
      <c r="C267" s="83" t="s">
        <v>275</v>
      </c>
      <c r="D267" s="84">
        <v>0</v>
      </c>
      <c r="E267" s="85" t="str">
        <f t="shared" si="29"/>
        <v/>
      </c>
      <c r="F267" s="106" t="str">
        <f t="shared" ref="F267:F330" si="35">IF(D267&gt;0,2,"")</f>
        <v/>
      </c>
      <c r="G267" s="86"/>
      <c r="H267" s="107">
        <f t="shared" si="30"/>
        <v>0</v>
      </c>
      <c r="I267" s="107">
        <f t="shared" si="31"/>
        <v>0</v>
      </c>
      <c r="J267" s="87">
        <f>IF($D267&gt;0,IFERROR(Параметры!$D$42*$H267/$H$2408,0),0)</f>
        <v>0</v>
      </c>
      <c r="K267" s="87">
        <f>IFERROR(ROUND($N267*Параметры!$D$36,2),0)</f>
        <v>0</v>
      </c>
      <c r="L267" s="87">
        <f t="shared" si="32"/>
        <v>0</v>
      </c>
      <c r="M267" s="87">
        <f t="shared" si="33"/>
        <v>0</v>
      </c>
      <c r="N267" s="107" t="str">
        <f t="shared" si="34"/>
        <v/>
      </c>
    </row>
    <row r="268" spans="2:14" x14ac:dyDescent="0.25">
      <c r="B268" s="82">
        <f>SUBTOTAL(103,$D$8:D268)</f>
        <v>261</v>
      </c>
      <c r="C268" s="83" t="s">
        <v>276</v>
      </c>
      <c r="D268" s="84">
        <v>0</v>
      </c>
      <c r="E268" s="85" t="str">
        <f t="shared" si="29"/>
        <v/>
      </c>
      <c r="F268" s="106" t="str">
        <f t="shared" si="35"/>
        <v/>
      </c>
      <c r="G268" s="86"/>
      <c r="H268" s="107">
        <f t="shared" si="30"/>
        <v>0</v>
      </c>
      <c r="I268" s="107">
        <f t="shared" si="31"/>
        <v>0</v>
      </c>
      <c r="J268" s="87">
        <f>IF($D268&gt;0,IFERROR(Параметры!$D$42*$H268/$H$2408,0),0)</f>
        <v>0</v>
      </c>
      <c r="K268" s="87">
        <f>IFERROR(ROUND($N268*Параметры!$D$36,2),0)</f>
        <v>0</v>
      </c>
      <c r="L268" s="87">
        <f t="shared" si="32"/>
        <v>0</v>
      </c>
      <c r="M268" s="87">
        <f t="shared" si="33"/>
        <v>0</v>
      </c>
      <c r="N268" s="107" t="str">
        <f t="shared" si="34"/>
        <v/>
      </c>
    </row>
    <row r="269" spans="2:14" x14ac:dyDescent="0.25">
      <c r="B269" s="82">
        <f>SUBTOTAL(103,$D$8:D269)</f>
        <v>262</v>
      </c>
      <c r="C269" s="83" t="s">
        <v>277</v>
      </c>
      <c r="D269" s="84">
        <v>0</v>
      </c>
      <c r="E269" s="85" t="str">
        <f t="shared" si="29"/>
        <v/>
      </c>
      <c r="F269" s="106" t="str">
        <f t="shared" si="35"/>
        <v/>
      </c>
      <c r="G269" s="86"/>
      <c r="H269" s="107">
        <f t="shared" si="30"/>
        <v>0</v>
      </c>
      <c r="I269" s="107">
        <f t="shared" si="31"/>
        <v>0</v>
      </c>
      <c r="J269" s="87">
        <f>IF($D269&gt;0,IFERROR(Параметры!$D$42*$H269/$H$2408,0),0)</f>
        <v>0</v>
      </c>
      <c r="K269" s="87">
        <f>IFERROR(ROUND($N269*Параметры!$D$36,2),0)</f>
        <v>0</v>
      </c>
      <c r="L269" s="87">
        <f t="shared" si="32"/>
        <v>0</v>
      </c>
      <c r="M269" s="87">
        <f t="shared" si="33"/>
        <v>0</v>
      </c>
      <c r="N269" s="107" t="str">
        <f t="shared" si="34"/>
        <v/>
      </c>
    </row>
    <row r="270" spans="2:14" x14ac:dyDescent="0.25">
      <c r="B270" s="82">
        <f>SUBTOTAL(103,$D$8:D270)</f>
        <v>263</v>
      </c>
      <c r="C270" s="83" t="s">
        <v>278</v>
      </c>
      <c r="D270" s="84">
        <v>0</v>
      </c>
      <c r="E270" s="85" t="str">
        <f t="shared" si="29"/>
        <v/>
      </c>
      <c r="F270" s="106" t="str">
        <f t="shared" si="35"/>
        <v/>
      </c>
      <c r="G270" s="86"/>
      <c r="H270" s="107">
        <f t="shared" si="30"/>
        <v>0</v>
      </c>
      <c r="I270" s="107">
        <f t="shared" si="31"/>
        <v>0</v>
      </c>
      <c r="J270" s="87">
        <f>IF($D270&gt;0,IFERROR(Параметры!$D$42*$H270/$H$2408,0),0)</f>
        <v>0</v>
      </c>
      <c r="K270" s="87">
        <f>IFERROR(ROUND($N270*Параметры!$D$36,2),0)</f>
        <v>0</v>
      </c>
      <c r="L270" s="87">
        <f t="shared" si="32"/>
        <v>0</v>
      </c>
      <c r="M270" s="87">
        <f t="shared" si="33"/>
        <v>0</v>
      </c>
      <c r="N270" s="107" t="str">
        <f t="shared" si="34"/>
        <v/>
      </c>
    </row>
    <row r="271" spans="2:14" x14ac:dyDescent="0.25">
      <c r="B271" s="82">
        <f>SUBTOTAL(103,$D$8:D271)</f>
        <v>264</v>
      </c>
      <c r="C271" s="83" t="s">
        <v>279</v>
      </c>
      <c r="D271" s="84">
        <v>0</v>
      </c>
      <c r="E271" s="85" t="str">
        <f t="shared" si="29"/>
        <v/>
      </c>
      <c r="F271" s="106" t="str">
        <f t="shared" si="35"/>
        <v/>
      </c>
      <c r="G271" s="86"/>
      <c r="H271" s="107">
        <f t="shared" si="30"/>
        <v>0</v>
      </c>
      <c r="I271" s="107">
        <f t="shared" si="31"/>
        <v>0</v>
      </c>
      <c r="J271" s="87">
        <f>IF($D271&gt;0,IFERROR(Параметры!$D$42*$H271/$H$2408,0),0)</f>
        <v>0</v>
      </c>
      <c r="K271" s="87">
        <f>IFERROR(ROUND($N271*Параметры!$D$36,2),0)</f>
        <v>0</v>
      </c>
      <c r="L271" s="87">
        <f t="shared" si="32"/>
        <v>0</v>
      </c>
      <c r="M271" s="87">
        <f t="shared" si="33"/>
        <v>0</v>
      </c>
      <c r="N271" s="107" t="str">
        <f t="shared" si="34"/>
        <v/>
      </c>
    </row>
    <row r="272" spans="2:14" x14ac:dyDescent="0.25">
      <c r="B272" s="82">
        <f>SUBTOTAL(103,$D$8:D272)</f>
        <v>265</v>
      </c>
      <c r="C272" s="83" t="s">
        <v>280</v>
      </c>
      <c r="D272" s="84">
        <v>0</v>
      </c>
      <c r="E272" s="85" t="str">
        <f t="shared" si="29"/>
        <v/>
      </c>
      <c r="F272" s="106" t="str">
        <f t="shared" si="35"/>
        <v/>
      </c>
      <c r="G272" s="86"/>
      <c r="H272" s="107">
        <f t="shared" si="30"/>
        <v>0</v>
      </c>
      <c r="I272" s="107">
        <f t="shared" si="31"/>
        <v>0</v>
      </c>
      <c r="J272" s="87">
        <f>IF($D272&gt;0,IFERROR(Параметры!$D$42*$H272/$H$2408,0),0)</f>
        <v>0</v>
      </c>
      <c r="K272" s="87">
        <f>IFERROR(ROUND($N272*Параметры!$D$36,2),0)</f>
        <v>0</v>
      </c>
      <c r="L272" s="87">
        <f t="shared" si="32"/>
        <v>0</v>
      </c>
      <c r="M272" s="87">
        <f t="shared" si="33"/>
        <v>0</v>
      </c>
      <c r="N272" s="107" t="str">
        <f t="shared" si="34"/>
        <v/>
      </c>
    </row>
    <row r="273" spans="2:14" x14ac:dyDescent="0.25">
      <c r="B273" s="82">
        <f>SUBTOTAL(103,$D$8:D273)</f>
        <v>266</v>
      </c>
      <c r="C273" s="83" t="s">
        <v>281</v>
      </c>
      <c r="D273" s="84">
        <v>0</v>
      </c>
      <c r="E273" s="85" t="str">
        <f t="shared" si="29"/>
        <v/>
      </c>
      <c r="F273" s="106" t="str">
        <f t="shared" si="35"/>
        <v/>
      </c>
      <c r="G273" s="86"/>
      <c r="H273" s="107">
        <f t="shared" si="30"/>
        <v>0</v>
      </c>
      <c r="I273" s="107">
        <f t="shared" si="31"/>
        <v>0</v>
      </c>
      <c r="J273" s="87">
        <f>IF($D273&gt;0,IFERROR(Параметры!$D$42*$H273/$H$2408,0),0)</f>
        <v>0</v>
      </c>
      <c r="K273" s="87">
        <f>IFERROR(ROUND($N273*Параметры!$D$36,2),0)</f>
        <v>0</v>
      </c>
      <c r="L273" s="87">
        <f t="shared" si="32"/>
        <v>0</v>
      </c>
      <c r="M273" s="87">
        <f t="shared" si="33"/>
        <v>0</v>
      </c>
      <c r="N273" s="107" t="str">
        <f t="shared" si="34"/>
        <v/>
      </c>
    </row>
    <row r="274" spans="2:14" x14ac:dyDescent="0.25">
      <c r="B274" s="82">
        <f>SUBTOTAL(103,$D$8:D274)</f>
        <v>267</v>
      </c>
      <c r="C274" s="83" t="s">
        <v>282</v>
      </c>
      <c r="D274" s="84">
        <v>0</v>
      </c>
      <c r="E274" s="85" t="str">
        <f t="shared" si="29"/>
        <v/>
      </c>
      <c r="F274" s="106" t="str">
        <f t="shared" si="35"/>
        <v/>
      </c>
      <c r="G274" s="86"/>
      <c r="H274" s="107">
        <f t="shared" si="30"/>
        <v>0</v>
      </c>
      <c r="I274" s="107">
        <f t="shared" si="31"/>
        <v>0</v>
      </c>
      <c r="J274" s="87">
        <f>IF($D274&gt;0,IFERROR(Параметры!$D$42*$H274/$H$2408,0),0)</f>
        <v>0</v>
      </c>
      <c r="K274" s="87">
        <f>IFERROR(ROUND($N274*Параметры!$D$36,2),0)</f>
        <v>0</v>
      </c>
      <c r="L274" s="87">
        <f t="shared" si="32"/>
        <v>0</v>
      </c>
      <c r="M274" s="87">
        <f t="shared" si="33"/>
        <v>0</v>
      </c>
      <c r="N274" s="107" t="str">
        <f t="shared" si="34"/>
        <v/>
      </c>
    </row>
    <row r="275" spans="2:14" x14ac:dyDescent="0.25">
      <c r="B275" s="82">
        <f>SUBTOTAL(103,$D$8:D275)</f>
        <v>268</v>
      </c>
      <c r="C275" s="83" t="s">
        <v>283</v>
      </c>
      <c r="D275" s="84">
        <v>0</v>
      </c>
      <c r="E275" s="85" t="str">
        <f t="shared" si="29"/>
        <v/>
      </c>
      <c r="F275" s="106" t="str">
        <f t="shared" si="35"/>
        <v/>
      </c>
      <c r="G275" s="86"/>
      <c r="H275" s="107">
        <f t="shared" si="30"/>
        <v>0</v>
      </c>
      <c r="I275" s="107">
        <f t="shared" si="31"/>
        <v>0</v>
      </c>
      <c r="J275" s="87">
        <f>IF($D275&gt;0,IFERROR(Параметры!$D$42*$H275/$H$2408,0),0)</f>
        <v>0</v>
      </c>
      <c r="K275" s="87">
        <f>IFERROR(ROUND($N275*Параметры!$D$36,2),0)</f>
        <v>0</v>
      </c>
      <c r="L275" s="87">
        <f t="shared" si="32"/>
        <v>0</v>
      </c>
      <c r="M275" s="87">
        <f t="shared" si="33"/>
        <v>0</v>
      </c>
      <c r="N275" s="107" t="str">
        <f t="shared" si="34"/>
        <v/>
      </c>
    </row>
    <row r="276" spans="2:14" x14ac:dyDescent="0.25">
      <c r="B276" s="82">
        <f>SUBTOTAL(103,$D$8:D276)</f>
        <v>269</v>
      </c>
      <c r="C276" s="83" t="s">
        <v>284</v>
      </c>
      <c r="D276" s="84">
        <v>0</v>
      </c>
      <c r="E276" s="85" t="str">
        <f t="shared" si="29"/>
        <v/>
      </c>
      <c r="F276" s="106" t="str">
        <f t="shared" si="35"/>
        <v/>
      </c>
      <c r="G276" s="86"/>
      <c r="H276" s="107">
        <f t="shared" si="30"/>
        <v>0</v>
      </c>
      <c r="I276" s="107">
        <f t="shared" si="31"/>
        <v>0</v>
      </c>
      <c r="J276" s="87">
        <f>IF($D276&gt;0,IFERROR(Параметры!$D$42*$H276/$H$2408,0),0)</f>
        <v>0</v>
      </c>
      <c r="K276" s="87">
        <f>IFERROR(ROUND($N276*Параметры!$D$36,2),0)</f>
        <v>0</v>
      </c>
      <c r="L276" s="87">
        <f t="shared" si="32"/>
        <v>0</v>
      </c>
      <c r="M276" s="87">
        <f t="shared" si="33"/>
        <v>0</v>
      </c>
      <c r="N276" s="107" t="str">
        <f t="shared" si="34"/>
        <v/>
      </c>
    </row>
    <row r="277" spans="2:14" x14ac:dyDescent="0.25">
      <c r="B277" s="82">
        <f>SUBTOTAL(103,$D$8:D277)</f>
        <v>270</v>
      </c>
      <c r="C277" s="83" t="s">
        <v>285</v>
      </c>
      <c r="D277" s="84">
        <v>0</v>
      </c>
      <c r="E277" s="85" t="str">
        <f t="shared" si="29"/>
        <v/>
      </c>
      <c r="F277" s="106" t="str">
        <f t="shared" si="35"/>
        <v/>
      </c>
      <c r="G277" s="86"/>
      <c r="H277" s="107">
        <f t="shared" si="30"/>
        <v>0</v>
      </c>
      <c r="I277" s="107">
        <f t="shared" si="31"/>
        <v>0</v>
      </c>
      <c r="J277" s="87">
        <f>IF($D277&gt;0,IFERROR(Параметры!$D$42*$H277/$H$2408,0),0)</f>
        <v>0</v>
      </c>
      <c r="K277" s="87">
        <f>IFERROR(ROUND($N277*Параметры!$D$36,2),0)</f>
        <v>0</v>
      </c>
      <c r="L277" s="87">
        <f t="shared" si="32"/>
        <v>0</v>
      </c>
      <c r="M277" s="87">
        <f t="shared" si="33"/>
        <v>0</v>
      </c>
      <c r="N277" s="107" t="str">
        <f t="shared" si="34"/>
        <v/>
      </c>
    </row>
    <row r="278" spans="2:14" x14ac:dyDescent="0.25">
      <c r="B278" s="82">
        <f>SUBTOTAL(103,$D$8:D278)</f>
        <v>271</v>
      </c>
      <c r="C278" s="83" t="s">
        <v>286</v>
      </c>
      <c r="D278" s="84">
        <v>0</v>
      </c>
      <c r="E278" s="85" t="str">
        <f t="shared" si="29"/>
        <v/>
      </c>
      <c r="F278" s="106" t="str">
        <f t="shared" si="35"/>
        <v/>
      </c>
      <c r="G278" s="86"/>
      <c r="H278" s="107">
        <f t="shared" si="30"/>
        <v>0</v>
      </c>
      <c r="I278" s="107">
        <f t="shared" si="31"/>
        <v>0</v>
      </c>
      <c r="J278" s="87">
        <f>IF($D278&gt;0,IFERROR(Параметры!$D$42*$H278/$H$2408,0),0)</f>
        <v>0</v>
      </c>
      <c r="K278" s="87">
        <f>IFERROR(ROUND($N278*Параметры!$D$36,2),0)</f>
        <v>0</v>
      </c>
      <c r="L278" s="87">
        <f t="shared" si="32"/>
        <v>0</v>
      </c>
      <c r="M278" s="87">
        <f t="shared" si="33"/>
        <v>0</v>
      </c>
      <c r="N278" s="107" t="str">
        <f t="shared" si="34"/>
        <v/>
      </c>
    </row>
    <row r="279" spans="2:14" x14ac:dyDescent="0.25">
      <c r="B279" s="82">
        <f>SUBTOTAL(103,$D$8:D279)</f>
        <v>272</v>
      </c>
      <c r="C279" s="83" t="s">
        <v>287</v>
      </c>
      <c r="D279" s="84">
        <v>0</v>
      </c>
      <c r="E279" s="85" t="str">
        <f t="shared" si="29"/>
        <v/>
      </c>
      <c r="F279" s="106" t="str">
        <f t="shared" si="35"/>
        <v/>
      </c>
      <c r="G279" s="86"/>
      <c r="H279" s="107">
        <f t="shared" si="30"/>
        <v>0</v>
      </c>
      <c r="I279" s="107">
        <f t="shared" si="31"/>
        <v>0</v>
      </c>
      <c r="J279" s="87">
        <f>IF($D279&gt;0,IFERROR(Параметры!$D$42*$H279/$H$2408,0),0)</f>
        <v>0</v>
      </c>
      <c r="K279" s="87">
        <f>IFERROR(ROUND($N279*Параметры!$D$36,2),0)</f>
        <v>0</v>
      </c>
      <c r="L279" s="87">
        <f t="shared" si="32"/>
        <v>0</v>
      </c>
      <c r="M279" s="87">
        <f t="shared" si="33"/>
        <v>0</v>
      </c>
      <c r="N279" s="107" t="str">
        <f t="shared" si="34"/>
        <v/>
      </c>
    </row>
    <row r="280" spans="2:14" x14ac:dyDescent="0.25">
      <c r="B280" s="82">
        <f>SUBTOTAL(103,$D$8:D280)</f>
        <v>273</v>
      </c>
      <c r="C280" s="83" t="s">
        <v>288</v>
      </c>
      <c r="D280" s="84">
        <v>0</v>
      </c>
      <c r="E280" s="85" t="str">
        <f t="shared" si="29"/>
        <v/>
      </c>
      <c r="F280" s="106" t="str">
        <f t="shared" si="35"/>
        <v/>
      </c>
      <c r="G280" s="86"/>
      <c r="H280" s="107">
        <f t="shared" si="30"/>
        <v>0</v>
      </c>
      <c r="I280" s="107">
        <f t="shared" si="31"/>
        <v>0</v>
      </c>
      <c r="J280" s="87">
        <f>IF($D280&gt;0,IFERROR(Параметры!$D$42*$H280/$H$2408,0),0)</f>
        <v>0</v>
      </c>
      <c r="K280" s="87">
        <f>IFERROR(ROUND($N280*Параметры!$D$36,2),0)</f>
        <v>0</v>
      </c>
      <c r="L280" s="87">
        <f t="shared" si="32"/>
        <v>0</v>
      </c>
      <c r="M280" s="87">
        <f t="shared" si="33"/>
        <v>0</v>
      </c>
      <c r="N280" s="107" t="str">
        <f t="shared" si="34"/>
        <v/>
      </c>
    </row>
    <row r="281" spans="2:14" x14ac:dyDescent="0.25">
      <c r="B281" s="82">
        <f>SUBTOTAL(103,$D$8:D281)</f>
        <v>274</v>
      </c>
      <c r="C281" s="83" t="s">
        <v>289</v>
      </c>
      <c r="D281" s="84">
        <v>0</v>
      </c>
      <c r="E281" s="85" t="str">
        <f t="shared" si="29"/>
        <v/>
      </c>
      <c r="F281" s="106" t="str">
        <f t="shared" si="35"/>
        <v/>
      </c>
      <c r="G281" s="86"/>
      <c r="H281" s="107">
        <f t="shared" si="30"/>
        <v>0</v>
      </c>
      <c r="I281" s="107">
        <f t="shared" si="31"/>
        <v>0</v>
      </c>
      <c r="J281" s="87">
        <f>IF($D281&gt;0,IFERROR(Параметры!$D$42*$H281/$H$2408,0),0)</f>
        <v>0</v>
      </c>
      <c r="K281" s="87">
        <f>IFERROR(ROUND($N281*Параметры!$D$36,2),0)</f>
        <v>0</v>
      </c>
      <c r="L281" s="87">
        <f t="shared" si="32"/>
        <v>0</v>
      </c>
      <c r="M281" s="87">
        <f t="shared" si="33"/>
        <v>0</v>
      </c>
      <c r="N281" s="107" t="str">
        <f t="shared" si="34"/>
        <v/>
      </c>
    </row>
    <row r="282" spans="2:14" x14ac:dyDescent="0.25">
      <c r="B282" s="82">
        <f>SUBTOTAL(103,$D$8:D282)</f>
        <v>275</v>
      </c>
      <c r="C282" s="83" t="s">
        <v>290</v>
      </c>
      <c r="D282" s="84">
        <v>0</v>
      </c>
      <c r="E282" s="85" t="str">
        <f t="shared" si="29"/>
        <v/>
      </c>
      <c r="F282" s="106" t="str">
        <f t="shared" si="35"/>
        <v/>
      </c>
      <c r="G282" s="86"/>
      <c r="H282" s="107">
        <f t="shared" si="30"/>
        <v>0</v>
      </c>
      <c r="I282" s="107">
        <f t="shared" si="31"/>
        <v>0</v>
      </c>
      <c r="J282" s="87">
        <f>IF($D282&gt;0,IFERROR(Параметры!$D$42*$H282/$H$2408,0),0)</f>
        <v>0</v>
      </c>
      <c r="K282" s="87">
        <f>IFERROR(ROUND($N282*Параметры!$D$36,2),0)</f>
        <v>0</v>
      </c>
      <c r="L282" s="87">
        <f t="shared" si="32"/>
        <v>0</v>
      </c>
      <c r="M282" s="87">
        <f t="shared" si="33"/>
        <v>0</v>
      </c>
      <c r="N282" s="107" t="str">
        <f t="shared" si="34"/>
        <v/>
      </c>
    </row>
    <row r="283" spans="2:14" x14ac:dyDescent="0.25">
      <c r="B283" s="82">
        <f>SUBTOTAL(103,$D$8:D283)</f>
        <v>276</v>
      </c>
      <c r="C283" s="83" t="s">
        <v>291</v>
      </c>
      <c r="D283" s="84">
        <v>0</v>
      </c>
      <c r="E283" s="85" t="str">
        <f t="shared" si="29"/>
        <v/>
      </c>
      <c r="F283" s="106" t="str">
        <f t="shared" si="35"/>
        <v/>
      </c>
      <c r="G283" s="86"/>
      <c r="H283" s="107">
        <f t="shared" si="30"/>
        <v>0</v>
      </c>
      <c r="I283" s="107">
        <f t="shared" si="31"/>
        <v>0</v>
      </c>
      <c r="J283" s="87">
        <f>IF($D283&gt;0,IFERROR(Параметры!$D$42*$H283/$H$2408,0),0)</f>
        <v>0</v>
      </c>
      <c r="K283" s="87">
        <f>IFERROR(ROUND($N283*Параметры!$D$36,2),0)</f>
        <v>0</v>
      </c>
      <c r="L283" s="87">
        <f t="shared" si="32"/>
        <v>0</v>
      </c>
      <c r="M283" s="87">
        <f t="shared" si="33"/>
        <v>0</v>
      </c>
      <c r="N283" s="107" t="str">
        <f t="shared" si="34"/>
        <v/>
      </c>
    </row>
    <row r="284" spans="2:14" x14ac:dyDescent="0.25">
      <c r="B284" s="82">
        <f>SUBTOTAL(103,$D$8:D284)</f>
        <v>277</v>
      </c>
      <c r="C284" s="83" t="s">
        <v>292</v>
      </c>
      <c r="D284" s="84">
        <v>0</v>
      </c>
      <c r="E284" s="85" t="str">
        <f t="shared" si="29"/>
        <v/>
      </c>
      <c r="F284" s="106" t="str">
        <f t="shared" si="35"/>
        <v/>
      </c>
      <c r="G284" s="86"/>
      <c r="H284" s="107">
        <f t="shared" si="30"/>
        <v>0</v>
      </c>
      <c r="I284" s="107">
        <f t="shared" si="31"/>
        <v>0</v>
      </c>
      <c r="J284" s="87">
        <f>IF($D284&gt;0,IFERROR(Параметры!$D$42*$H284/$H$2408,0),0)</f>
        <v>0</v>
      </c>
      <c r="K284" s="87">
        <f>IFERROR(ROUND($N284*Параметры!$D$36,2),0)</f>
        <v>0</v>
      </c>
      <c r="L284" s="87">
        <f t="shared" si="32"/>
        <v>0</v>
      </c>
      <c r="M284" s="87">
        <f t="shared" si="33"/>
        <v>0</v>
      </c>
      <c r="N284" s="107" t="str">
        <f t="shared" si="34"/>
        <v/>
      </c>
    </row>
    <row r="285" spans="2:14" x14ac:dyDescent="0.25">
      <c r="B285" s="82">
        <f>SUBTOTAL(103,$D$8:D285)</f>
        <v>278</v>
      </c>
      <c r="C285" s="83" t="s">
        <v>293</v>
      </c>
      <c r="D285" s="84">
        <v>0</v>
      </c>
      <c r="E285" s="85" t="str">
        <f t="shared" si="29"/>
        <v/>
      </c>
      <c r="F285" s="106" t="str">
        <f t="shared" si="35"/>
        <v/>
      </c>
      <c r="G285" s="86"/>
      <c r="H285" s="107">
        <f t="shared" si="30"/>
        <v>0</v>
      </c>
      <c r="I285" s="107">
        <f t="shared" si="31"/>
        <v>0</v>
      </c>
      <c r="J285" s="87">
        <f>IF($D285&gt;0,IFERROR(Параметры!$D$42*$H285/$H$2408,0),0)</f>
        <v>0</v>
      </c>
      <c r="K285" s="87">
        <f>IFERROR(ROUND($N285*Параметры!$D$36,2),0)</f>
        <v>0</v>
      </c>
      <c r="L285" s="87">
        <f t="shared" si="32"/>
        <v>0</v>
      </c>
      <c r="M285" s="87">
        <f t="shared" si="33"/>
        <v>0</v>
      </c>
      <c r="N285" s="107" t="str">
        <f t="shared" si="34"/>
        <v/>
      </c>
    </row>
    <row r="286" spans="2:14" x14ac:dyDescent="0.25">
      <c r="B286" s="82">
        <f>SUBTOTAL(103,$D$8:D286)</f>
        <v>279</v>
      </c>
      <c r="C286" s="83" t="s">
        <v>294</v>
      </c>
      <c r="D286" s="84">
        <v>0</v>
      </c>
      <c r="E286" s="85" t="str">
        <f t="shared" si="29"/>
        <v/>
      </c>
      <c r="F286" s="106" t="str">
        <f t="shared" si="35"/>
        <v/>
      </c>
      <c r="G286" s="86"/>
      <c r="H286" s="107">
        <f t="shared" si="30"/>
        <v>0</v>
      </c>
      <c r="I286" s="107">
        <f t="shared" si="31"/>
        <v>0</v>
      </c>
      <c r="J286" s="87">
        <f>IF($D286&gt;0,IFERROR(Параметры!$D$42*$H286/$H$2408,0),0)</f>
        <v>0</v>
      </c>
      <c r="K286" s="87">
        <f>IFERROR(ROUND($N286*Параметры!$D$36,2),0)</f>
        <v>0</v>
      </c>
      <c r="L286" s="87">
        <f t="shared" si="32"/>
        <v>0</v>
      </c>
      <c r="M286" s="87">
        <f t="shared" si="33"/>
        <v>0</v>
      </c>
      <c r="N286" s="107" t="str">
        <f t="shared" si="34"/>
        <v/>
      </c>
    </row>
    <row r="287" spans="2:14" x14ac:dyDescent="0.25">
      <c r="B287" s="82">
        <f>SUBTOTAL(103,$D$8:D287)</f>
        <v>280</v>
      </c>
      <c r="C287" s="83" t="s">
        <v>295</v>
      </c>
      <c r="D287" s="84">
        <v>0</v>
      </c>
      <c r="E287" s="85" t="str">
        <f t="shared" si="29"/>
        <v/>
      </c>
      <c r="F287" s="106" t="str">
        <f t="shared" si="35"/>
        <v/>
      </c>
      <c r="G287" s="86"/>
      <c r="H287" s="107">
        <f t="shared" si="30"/>
        <v>0</v>
      </c>
      <c r="I287" s="107">
        <f t="shared" si="31"/>
        <v>0</v>
      </c>
      <c r="J287" s="87">
        <f>IF($D287&gt;0,IFERROR(Параметры!$D$42*$H287/$H$2408,0),0)</f>
        <v>0</v>
      </c>
      <c r="K287" s="87">
        <f>IFERROR(ROUND($N287*Параметры!$D$36,2),0)</f>
        <v>0</v>
      </c>
      <c r="L287" s="87">
        <f t="shared" si="32"/>
        <v>0</v>
      </c>
      <c r="M287" s="87">
        <f t="shared" si="33"/>
        <v>0</v>
      </c>
      <c r="N287" s="107" t="str">
        <f t="shared" si="34"/>
        <v/>
      </c>
    </row>
    <row r="288" spans="2:14" x14ac:dyDescent="0.25">
      <c r="B288" s="82">
        <f>SUBTOTAL(103,$D$8:D288)</f>
        <v>281</v>
      </c>
      <c r="C288" s="83" t="s">
        <v>296</v>
      </c>
      <c r="D288" s="84">
        <v>0</v>
      </c>
      <c r="E288" s="85" t="str">
        <f t="shared" si="29"/>
        <v/>
      </c>
      <c r="F288" s="106" t="str">
        <f t="shared" si="35"/>
        <v/>
      </c>
      <c r="G288" s="86"/>
      <c r="H288" s="107">
        <f t="shared" si="30"/>
        <v>0</v>
      </c>
      <c r="I288" s="107">
        <f t="shared" si="31"/>
        <v>0</v>
      </c>
      <c r="J288" s="87">
        <f>IF($D288&gt;0,IFERROR(Параметры!$D$42*$H288/$H$2408,0),0)</f>
        <v>0</v>
      </c>
      <c r="K288" s="87">
        <f>IFERROR(ROUND($N288*Параметры!$D$36,2),0)</f>
        <v>0</v>
      </c>
      <c r="L288" s="87">
        <f t="shared" si="32"/>
        <v>0</v>
      </c>
      <c r="M288" s="87">
        <f t="shared" si="33"/>
        <v>0</v>
      </c>
      <c r="N288" s="107" t="str">
        <f t="shared" si="34"/>
        <v/>
      </c>
    </row>
    <row r="289" spans="2:14" x14ac:dyDescent="0.25">
      <c r="B289" s="82">
        <f>SUBTOTAL(103,$D$8:D289)</f>
        <v>282</v>
      </c>
      <c r="C289" s="83" t="s">
        <v>297</v>
      </c>
      <c r="D289" s="84">
        <v>0</v>
      </c>
      <c r="E289" s="85" t="str">
        <f t="shared" si="29"/>
        <v/>
      </c>
      <c r="F289" s="106" t="str">
        <f t="shared" si="35"/>
        <v/>
      </c>
      <c r="G289" s="86"/>
      <c r="H289" s="107">
        <f t="shared" si="30"/>
        <v>0</v>
      </c>
      <c r="I289" s="107">
        <f t="shared" si="31"/>
        <v>0</v>
      </c>
      <c r="J289" s="87">
        <f>IF($D289&gt;0,IFERROR(Параметры!$D$42*$H289/$H$2408,0),0)</f>
        <v>0</v>
      </c>
      <c r="K289" s="87">
        <f>IFERROR(ROUND($N289*Параметры!$D$36,2),0)</f>
        <v>0</v>
      </c>
      <c r="L289" s="87">
        <f t="shared" si="32"/>
        <v>0</v>
      </c>
      <c r="M289" s="87">
        <f t="shared" si="33"/>
        <v>0</v>
      </c>
      <c r="N289" s="107" t="str">
        <f t="shared" si="34"/>
        <v/>
      </c>
    </row>
    <row r="290" spans="2:14" x14ac:dyDescent="0.25">
      <c r="B290" s="82">
        <f>SUBTOTAL(103,$D$8:D290)</f>
        <v>283</v>
      </c>
      <c r="C290" s="83" t="s">
        <v>298</v>
      </c>
      <c r="D290" s="84">
        <v>0</v>
      </c>
      <c r="E290" s="85" t="str">
        <f t="shared" si="29"/>
        <v/>
      </c>
      <c r="F290" s="106" t="str">
        <f t="shared" si="35"/>
        <v/>
      </c>
      <c r="G290" s="86"/>
      <c r="H290" s="107">
        <f t="shared" si="30"/>
        <v>0</v>
      </c>
      <c r="I290" s="107">
        <f t="shared" si="31"/>
        <v>0</v>
      </c>
      <c r="J290" s="87">
        <f>IF($D290&gt;0,IFERROR(Параметры!$D$42*$H290/$H$2408,0),0)</f>
        <v>0</v>
      </c>
      <c r="K290" s="87">
        <f>IFERROR(ROUND($N290*Параметры!$D$36,2),0)</f>
        <v>0</v>
      </c>
      <c r="L290" s="87">
        <f t="shared" si="32"/>
        <v>0</v>
      </c>
      <c r="M290" s="87">
        <f t="shared" si="33"/>
        <v>0</v>
      </c>
      <c r="N290" s="107" t="str">
        <f t="shared" si="34"/>
        <v/>
      </c>
    </row>
    <row r="291" spans="2:14" x14ac:dyDescent="0.25">
      <c r="B291" s="82">
        <f>SUBTOTAL(103,$D$8:D291)</f>
        <v>284</v>
      </c>
      <c r="C291" s="83" t="s">
        <v>299</v>
      </c>
      <c r="D291" s="84">
        <v>0</v>
      </c>
      <c r="E291" s="85" t="str">
        <f t="shared" si="29"/>
        <v/>
      </c>
      <c r="F291" s="106" t="str">
        <f t="shared" si="35"/>
        <v/>
      </c>
      <c r="G291" s="86"/>
      <c r="H291" s="107">
        <f t="shared" si="30"/>
        <v>0</v>
      </c>
      <c r="I291" s="107">
        <f t="shared" si="31"/>
        <v>0</v>
      </c>
      <c r="J291" s="87">
        <f>IF($D291&gt;0,IFERROR(Параметры!$D$42*$H291/$H$2408,0),0)</f>
        <v>0</v>
      </c>
      <c r="K291" s="87">
        <f>IFERROR(ROUND($N291*Параметры!$D$36,2),0)</f>
        <v>0</v>
      </c>
      <c r="L291" s="87">
        <f t="shared" si="32"/>
        <v>0</v>
      </c>
      <c r="M291" s="87">
        <f t="shared" si="33"/>
        <v>0</v>
      </c>
      <c r="N291" s="107" t="str">
        <f t="shared" si="34"/>
        <v/>
      </c>
    </row>
    <row r="292" spans="2:14" x14ac:dyDescent="0.25">
      <c r="B292" s="82">
        <f>SUBTOTAL(103,$D$8:D292)</f>
        <v>285</v>
      </c>
      <c r="C292" s="83" t="s">
        <v>300</v>
      </c>
      <c r="D292" s="84">
        <v>0</v>
      </c>
      <c r="E292" s="85" t="str">
        <f t="shared" si="29"/>
        <v/>
      </c>
      <c r="F292" s="106" t="str">
        <f t="shared" si="35"/>
        <v/>
      </c>
      <c r="G292" s="86"/>
      <c r="H292" s="107">
        <f t="shared" si="30"/>
        <v>0</v>
      </c>
      <c r="I292" s="107">
        <f t="shared" si="31"/>
        <v>0</v>
      </c>
      <c r="J292" s="87">
        <f>IF($D292&gt;0,IFERROR(Параметры!$D$42*$H292/$H$2408,0),0)</f>
        <v>0</v>
      </c>
      <c r="K292" s="87">
        <f>IFERROR(ROUND($N292*Параметры!$D$36,2),0)</f>
        <v>0</v>
      </c>
      <c r="L292" s="87">
        <f t="shared" si="32"/>
        <v>0</v>
      </c>
      <c r="M292" s="87">
        <f t="shared" si="33"/>
        <v>0</v>
      </c>
      <c r="N292" s="107" t="str">
        <f t="shared" si="34"/>
        <v/>
      </c>
    </row>
    <row r="293" spans="2:14" x14ac:dyDescent="0.25">
      <c r="B293" s="82">
        <f>SUBTOTAL(103,$D$8:D293)</f>
        <v>286</v>
      </c>
      <c r="C293" s="83" t="s">
        <v>301</v>
      </c>
      <c r="D293" s="84">
        <v>0</v>
      </c>
      <c r="E293" s="85" t="str">
        <f t="shared" si="29"/>
        <v/>
      </c>
      <c r="F293" s="106" t="str">
        <f t="shared" si="35"/>
        <v/>
      </c>
      <c r="G293" s="86"/>
      <c r="H293" s="107">
        <f t="shared" si="30"/>
        <v>0</v>
      </c>
      <c r="I293" s="107">
        <f t="shared" si="31"/>
        <v>0</v>
      </c>
      <c r="J293" s="87">
        <f>IF($D293&gt;0,IFERROR(Параметры!$D$42*$H293/$H$2408,0),0)</f>
        <v>0</v>
      </c>
      <c r="K293" s="87">
        <f>IFERROR(ROUND($N293*Параметры!$D$36,2),0)</f>
        <v>0</v>
      </c>
      <c r="L293" s="87">
        <f t="shared" si="32"/>
        <v>0</v>
      </c>
      <c r="M293" s="87">
        <f t="shared" si="33"/>
        <v>0</v>
      </c>
      <c r="N293" s="107" t="str">
        <f t="shared" si="34"/>
        <v/>
      </c>
    </row>
    <row r="294" spans="2:14" x14ac:dyDescent="0.25">
      <c r="B294" s="82">
        <f>SUBTOTAL(103,$D$8:D294)</f>
        <v>287</v>
      </c>
      <c r="C294" s="83" t="s">
        <v>302</v>
      </c>
      <c r="D294" s="84">
        <v>0</v>
      </c>
      <c r="E294" s="85" t="str">
        <f t="shared" si="29"/>
        <v/>
      </c>
      <c r="F294" s="106" t="str">
        <f t="shared" si="35"/>
        <v/>
      </c>
      <c r="G294" s="86"/>
      <c r="H294" s="107">
        <f t="shared" si="30"/>
        <v>0</v>
      </c>
      <c r="I294" s="107">
        <f t="shared" si="31"/>
        <v>0</v>
      </c>
      <c r="J294" s="87">
        <f>IF($D294&gt;0,IFERROR(Параметры!$D$42*$H294/$H$2408,0),0)</f>
        <v>0</v>
      </c>
      <c r="K294" s="87">
        <f>IFERROR(ROUND($N294*Параметры!$D$36,2),0)</f>
        <v>0</v>
      </c>
      <c r="L294" s="87">
        <f t="shared" si="32"/>
        <v>0</v>
      </c>
      <c r="M294" s="87">
        <f t="shared" si="33"/>
        <v>0</v>
      </c>
      <c r="N294" s="107" t="str">
        <f t="shared" si="34"/>
        <v/>
      </c>
    </row>
    <row r="295" spans="2:14" x14ac:dyDescent="0.25">
      <c r="B295" s="82">
        <f>SUBTOTAL(103,$D$8:D295)</f>
        <v>288</v>
      </c>
      <c r="C295" s="83" t="s">
        <v>303</v>
      </c>
      <c r="D295" s="84">
        <v>0</v>
      </c>
      <c r="E295" s="85" t="str">
        <f t="shared" si="29"/>
        <v/>
      </c>
      <c r="F295" s="106" t="str">
        <f t="shared" si="35"/>
        <v/>
      </c>
      <c r="G295" s="86"/>
      <c r="H295" s="107">
        <f t="shared" si="30"/>
        <v>0</v>
      </c>
      <c r="I295" s="107">
        <f t="shared" si="31"/>
        <v>0</v>
      </c>
      <c r="J295" s="87">
        <f>IF($D295&gt;0,IFERROR(Параметры!$D$42*$H295/$H$2408,0),0)</f>
        <v>0</v>
      </c>
      <c r="K295" s="87">
        <f>IFERROR(ROUND($N295*Параметры!$D$36,2),0)</f>
        <v>0</v>
      </c>
      <c r="L295" s="87">
        <f t="shared" si="32"/>
        <v>0</v>
      </c>
      <c r="M295" s="87">
        <f t="shared" si="33"/>
        <v>0</v>
      </c>
      <c r="N295" s="107" t="str">
        <f t="shared" si="34"/>
        <v/>
      </c>
    </row>
    <row r="296" spans="2:14" x14ac:dyDescent="0.25">
      <c r="B296" s="82">
        <f>SUBTOTAL(103,$D$8:D296)</f>
        <v>289</v>
      </c>
      <c r="C296" s="83" t="s">
        <v>304</v>
      </c>
      <c r="D296" s="84">
        <v>0</v>
      </c>
      <c r="E296" s="85" t="str">
        <f t="shared" si="29"/>
        <v/>
      </c>
      <c r="F296" s="106" t="str">
        <f t="shared" si="35"/>
        <v/>
      </c>
      <c r="G296" s="86"/>
      <c r="H296" s="107">
        <f t="shared" si="30"/>
        <v>0</v>
      </c>
      <c r="I296" s="107">
        <f t="shared" si="31"/>
        <v>0</v>
      </c>
      <c r="J296" s="87">
        <f>IF($D296&gt;0,IFERROR(Параметры!$D$42*$H296/$H$2408,0),0)</f>
        <v>0</v>
      </c>
      <c r="K296" s="87">
        <f>IFERROR(ROUND($N296*Параметры!$D$36,2),0)</f>
        <v>0</v>
      </c>
      <c r="L296" s="87">
        <f t="shared" si="32"/>
        <v>0</v>
      </c>
      <c r="M296" s="87">
        <f t="shared" si="33"/>
        <v>0</v>
      </c>
      <c r="N296" s="107" t="str">
        <f t="shared" si="34"/>
        <v/>
      </c>
    </row>
    <row r="297" spans="2:14" x14ac:dyDescent="0.25">
      <c r="B297" s="82">
        <f>SUBTOTAL(103,$D$8:D297)</f>
        <v>290</v>
      </c>
      <c r="C297" s="83" t="s">
        <v>305</v>
      </c>
      <c r="D297" s="84">
        <v>0</v>
      </c>
      <c r="E297" s="85" t="str">
        <f t="shared" si="29"/>
        <v/>
      </c>
      <c r="F297" s="106" t="str">
        <f t="shared" si="35"/>
        <v/>
      </c>
      <c r="G297" s="86"/>
      <c r="H297" s="107">
        <f t="shared" si="30"/>
        <v>0</v>
      </c>
      <c r="I297" s="107">
        <f t="shared" si="31"/>
        <v>0</v>
      </c>
      <c r="J297" s="87">
        <f>IF($D297&gt;0,IFERROR(Параметры!$D$42*$H297/$H$2408,0),0)</f>
        <v>0</v>
      </c>
      <c r="K297" s="87">
        <f>IFERROR(ROUND($N297*Параметры!$D$36,2),0)</f>
        <v>0</v>
      </c>
      <c r="L297" s="87">
        <f t="shared" si="32"/>
        <v>0</v>
      </c>
      <c r="M297" s="87">
        <f t="shared" si="33"/>
        <v>0</v>
      </c>
      <c r="N297" s="107" t="str">
        <f t="shared" si="34"/>
        <v/>
      </c>
    </row>
    <row r="298" spans="2:14" x14ac:dyDescent="0.25">
      <c r="B298" s="82">
        <f>SUBTOTAL(103,$D$8:D298)</f>
        <v>291</v>
      </c>
      <c r="C298" s="83" t="s">
        <v>306</v>
      </c>
      <c r="D298" s="84">
        <v>0</v>
      </c>
      <c r="E298" s="85" t="str">
        <f t="shared" si="29"/>
        <v/>
      </c>
      <c r="F298" s="106" t="str">
        <f t="shared" si="35"/>
        <v/>
      </c>
      <c r="G298" s="86"/>
      <c r="H298" s="107">
        <f t="shared" si="30"/>
        <v>0</v>
      </c>
      <c r="I298" s="107">
        <f t="shared" si="31"/>
        <v>0</v>
      </c>
      <c r="J298" s="87">
        <f>IF($D298&gt;0,IFERROR(Параметры!$D$42*$H298/$H$2408,0),0)</f>
        <v>0</v>
      </c>
      <c r="K298" s="87">
        <f>IFERROR(ROUND($N298*Параметры!$D$36,2),0)</f>
        <v>0</v>
      </c>
      <c r="L298" s="87">
        <f t="shared" si="32"/>
        <v>0</v>
      </c>
      <c r="M298" s="87">
        <f t="shared" si="33"/>
        <v>0</v>
      </c>
      <c r="N298" s="107" t="str">
        <f t="shared" si="34"/>
        <v/>
      </c>
    </row>
    <row r="299" spans="2:14" x14ac:dyDescent="0.25">
      <c r="B299" s="82">
        <f>SUBTOTAL(103,$D$8:D299)</f>
        <v>292</v>
      </c>
      <c r="C299" s="83" t="s">
        <v>307</v>
      </c>
      <c r="D299" s="84">
        <v>0</v>
      </c>
      <c r="E299" s="85" t="str">
        <f t="shared" si="29"/>
        <v/>
      </c>
      <c r="F299" s="106" t="str">
        <f t="shared" si="35"/>
        <v/>
      </c>
      <c r="G299" s="86"/>
      <c r="H299" s="107">
        <f t="shared" si="30"/>
        <v>0</v>
      </c>
      <c r="I299" s="107">
        <f t="shared" si="31"/>
        <v>0</v>
      </c>
      <c r="J299" s="87">
        <f>IF($D299&gt;0,IFERROR(Параметры!$D$42*$H299/$H$2408,0),0)</f>
        <v>0</v>
      </c>
      <c r="K299" s="87">
        <f>IFERROR(ROUND($N299*Параметры!$D$36,2),0)</f>
        <v>0</v>
      </c>
      <c r="L299" s="87">
        <f t="shared" si="32"/>
        <v>0</v>
      </c>
      <c r="M299" s="87">
        <f t="shared" si="33"/>
        <v>0</v>
      </c>
      <c r="N299" s="107" t="str">
        <f t="shared" si="34"/>
        <v/>
      </c>
    </row>
    <row r="300" spans="2:14" x14ac:dyDescent="0.25">
      <c r="B300" s="82">
        <f>SUBTOTAL(103,$D$8:D300)</f>
        <v>293</v>
      </c>
      <c r="C300" s="83" t="s">
        <v>308</v>
      </c>
      <c r="D300" s="84">
        <v>0</v>
      </c>
      <c r="E300" s="85" t="str">
        <f t="shared" si="29"/>
        <v/>
      </c>
      <c r="F300" s="106" t="str">
        <f t="shared" si="35"/>
        <v/>
      </c>
      <c r="G300" s="86"/>
      <c r="H300" s="107">
        <f t="shared" si="30"/>
        <v>0</v>
      </c>
      <c r="I300" s="107">
        <f t="shared" si="31"/>
        <v>0</v>
      </c>
      <c r="J300" s="87">
        <f>IF($D300&gt;0,IFERROR(Параметры!$D$42*$H300/$H$2408,0),0)</f>
        <v>0</v>
      </c>
      <c r="K300" s="87">
        <f>IFERROR(ROUND($N300*Параметры!$D$36,2),0)</f>
        <v>0</v>
      </c>
      <c r="L300" s="87">
        <f t="shared" si="32"/>
        <v>0</v>
      </c>
      <c r="M300" s="87">
        <f t="shared" si="33"/>
        <v>0</v>
      </c>
      <c r="N300" s="107" t="str">
        <f t="shared" si="34"/>
        <v/>
      </c>
    </row>
    <row r="301" spans="2:14" x14ac:dyDescent="0.25">
      <c r="B301" s="82">
        <f>SUBTOTAL(103,$D$8:D301)</f>
        <v>294</v>
      </c>
      <c r="C301" s="83" t="s">
        <v>309</v>
      </c>
      <c r="D301" s="84">
        <v>0</v>
      </c>
      <c r="E301" s="85" t="str">
        <f t="shared" si="29"/>
        <v/>
      </c>
      <c r="F301" s="106" t="str">
        <f t="shared" si="35"/>
        <v/>
      </c>
      <c r="G301" s="86"/>
      <c r="H301" s="107">
        <f t="shared" si="30"/>
        <v>0</v>
      </c>
      <c r="I301" s="107">
        <f t="shared" si="31"/>
        <v>0</v>
      </c>
      <c r="J301" s="87">
        <f>IF($D301&gt;0,IFERROR(Параметры!$D$42*$H301/$H$2408,0),0)</f>
        <v>0</v>
      </c>
      <c r="K301" s="87">
        <f>IFERROR(ROUND($N301*Параметры!$D$36,2),0)</f>
        <v>0</v>
      </c>
      <c r="L301" s="87">
        <f t="shared" si="32"/>
        <v>0</v>
      </c>
      <c r="M301" s="87">
        <f t="shared" si="33"/>
        <v>0</v>
      </c>
      <c r="N301" s="107" t="str">
        <f t="shared" si="34"/>
        <v/>
      </c>
    </row>
    <row r="302" spans="2:14" x14ac:dyDescent="0.25">
      <c r="B302" s="82">
        <f>SUBTOTAL(103,$D$8:D302)</f>
        <v>295</v>
      </c>
      <c r="C302" s="83" t="s">
        <v>310</v>
      </c>
      <c r="D302" s="84">
        <v>0</v>
      </c>
      <c r="E302" s="85" t="str">
        <f t="shared" si="29"/>
        <v/>
      </c>
      <c r="F302" s="106" t="str">
        <f t="shared" si="35"/>
        <v/>
      </c>
      <c r="G302" s="86"/>
      <c r="H302" s="107">
        <f t="shared" si="30"/>
        <v>0</v>
      </c>
      <c r="I302" s="107">
        <f t="shared" si="31"/>
        <v>0</v>
      </c>
      <c r="J302" s="87">
        <f>IF($D302&gt;0,IFERROR(Параметры!$D$42*$H302/$H$2408,0),0)</f>
        <v>0</v>
      </c>
      <c r="K302" s="87">
        <f>IFERROR(ROUND($N302*Параметры!$D$36,2),0)</f>
        <v>0</v>
      </c>
      <c r="L302" s="87">
        <f t="shared" si="32"/>
        <v>0</v>
      </c>
      <c r="M302" s="87">
        <f t="shared" si="33"/>
        <v>0</v>
      </c>
      <c r="N302" s="107" t="str">
        <f t="shared" si="34"/>
        <v/>
      </c>
    </row>
    <row r="303" spans="2:14" x14ac:dyDescent="0.25">
      <c r="B303" s="82">
        <f>SUBTOTAL(103,$D$8:D303)</f>
        <v>296</v>
      </c>
      <c r="C303" s="83" t="s">
        <v>311</v>
      </c>
      <c r="D303" s="84">
        <v>0</v>
      </c>
      <c r="E303" s="85" t="str">
        <f t="shared" si="29"/>
        <v/>
      </c>
      <c r="F303" s="106" t="str">
        <f t="shared" si="35"/>
        <v/>
      </c>
      <c r="G303" s="86"/>
      <c r="H303" s="107">
        <f t="shared" si="30"/>
        <v>0</v>
      </c>
      <c r="I303" s="107">
        <f t="shared" si="31"/>
        <v>0</v>
      </c>
      <c r="J303" s="87">
        <f>IF($D303&gt;0,IFERROR(Параметры!$D$42*$H303/$H$2408,0),0)</f>
        <v>0</v>
      </c>
      <c r="K303" s="87">
        <f>IFERROR(ROUND($N303*Параметры!$D$36,2),0)</f>
        <v>0</v>
      </c>
      <c r="L303" s="87">
        <f t="shared" si="32"/>
        <v>0</v>
      </c>
      <c r="M303" s="87">
        <f t="shared" si="33"/>
        <v>0</v>
      </c>
      <c r="N303" s="107" t="str">
        <f t="shared" si="34"/>
        <v/>
      </c>
    </row>
    <row r="304" spans="2:14" x14ac:dyDescent="0.25">
      <c r="B304" s="82">
        <f>SUBTOTAL(103,$D$8:D304)</f>
        <v>297</v>
      </c>
      <c r="C304" s="83" t="s">
        <v>312</v>
      </c>
      <c r="D304" s="84">
        <v>0</v>
      </c>
      <c r="E304" s="85" t="str">
        <f t="shared" si="29"/>
        <v/>
      </c>
      <c r="F304" s="106" t="str">
        <f t="shared" si="35"/>
        <v/>
      </c>
      <c r="G304" s="86"/>
      <c r="H304" s="107">
        <f t="shared" si="30"/>
        <v>0</v>
      </c>
      <c r="I304" s="107">
        <f t="shared" si="31"/>
        <v>0</v>
      </c>
      <c r="J304" s="87">
        <f>IF($D304&gt;0,IFERROR(Параметры!$D$42*$H304/$H$2408,0),0)</f>
        <v>0</v>
      </c>
      <c r="K304" s="87">
        <f>IFERROR(ROUND($N304*Параметры!$D$36,2),0)</f>
        <v>0</v>
      </c>
      <c r="L304" s="87">
        <f t="shared" si="32"/>
        <v>0</v>
      </c>
      <c r="M304" s="87">
        <f t="shared" si="33"/>
        <v>0</v>
      </c>
      <c r="N304" s="107" t="str">
        <f t="shared" si="34"/>
        <v/>
      </c>
    </row>
    <row r="305" spans="2:14" x14ac:dyDescent="0.25">
      <c r="B305" s="82">
        <f>SUBTOTAL(103,$D$8:D305)</f>
        <v>298</v>
      </c>
      <c r="C305" s="83" t="s">
        <v>313</v>
      </c>
      <c r="D305" s="84">
        <v>0</v>
      </c>
      <c r="E305" s="85" t="str">
        <f t="shared" si="29"/>
        <v/>
      </c>
      <c r="F305" s="106" t="str">
        <f t="shared" si="35"/>
        <v/>
      </c>
      <c r="G305" s="86"/>
      <c r="H305" s="107">
        <f t="shared" si="30"/>
        <v>0</v>
      </c>
      <c r="I305" s="107">
        <f t="shared" si="31"/>
        <v>0</v>
      </c>
      <c r="J305" s="87">
        <f>IF($D305&gt;0,IFERROR(Параметры!$D$42*$H305/$H$2408,0),0)</f>
        <v>0</v>
      </c>
      <c r="K305" s="87">
        <f>IFERROR(ROUND($N305*Параметры!$D$36,2),0)</f>
        <v>0</v>
      </c>
      <c r="L305" s="87">
        <f t="shared" si="32"/>
        <v>0</v>
      </c>
      <c r="M305" s="87">
        <f t="shared" si="33"/>
        <v>0</v>
      </c>
      <c r="N305" s="107" t="str">
        <f t="shared" si="34"/>
        <v/>
      </c>
    </row>
    <row r="306" spans="2:14" x14ac:dyDescent="0.25">
      <c r="B306" s="82">
        <f>SUBTOTAL(103,$D$8:D306)</f>
        <v>299</v>
      </c>
      <c r="C306" s="83" t="s">
        <v>314</v>
      </c>
      <c r="D306" s="84">
        <v>0</v>
      </c>
      <c r="E306" s="85" t="str">
        <f t="shared" si="29"/>
        <v/>
      </c>
      <c r="F306" s="106" t="str">
        <f t="shared" si="35"/>
        <v/>
      </c>
      <c r="G306" s="86"/>
      <c r="H306" s="107">
        <f t="shared" si="30"/>
        <v>0</v>
      </c>
      <c r="I306" s="107">
        <f t="shared" si="31"/>
        <v>0</v>
      </c>
      <c r="J306" s="87">
        <f>IF($D306&gt;0,IFERROR(Параметры!$D$42*$H306/$H$2408,0),0)</f>
        <v>0</v>
      </c>
      <c r="K306" s="87">
        <f>IFERROR(ROUND($N306*Параметры!$D$36,2),0)</f>
        <v>0</v>
      </c>
      <c r="L306" s="87">
        <f t="shared" si="32"/>
        <v>0</v>
      </c>
      <c r="M306" s="87">
        <f t="shared" si="33"/>
        <v>0</v>
      </c>
      <c r="N306" s="107" t="str">
        <f t="shared" si="34"/>
        <v/>
      </c>
    </row>
    <row r="307" spans="2:14" x14ac:dyDescent="0.25">
      <c r="B307" s="82">
        <f>SUBTOTAL(103,$D$8:D307)</f>
        <v>300</v>
      </c>
      <c r="C307" s="83" t="s">
        <v>315</v>
      </c>
      <c r="D307" s="84">
        <v>0</v>
      </c>
      <c r="E307" s="85" t="str">
        <f t="shared" si="29"/>
        <v/>
      </c>
      <c r="F307" s="106" t="str">
        <f t="shared" si="35"/>
        <v/>
      </c>
      <c r="G307" s="86"/>
      <c r="H307" s="107">
        <f t="shared" si="30"/>
        <v>0</v>
      </c>
      <c r="I307" s="107">
        <f t="shared" si="31"/>
        <v>0</v>
      </c>
      <c r="J307" s="87">
        <f>IF($D307&gt;0,IFERROR(Параметры!$D$42*$H307/$H$2408,0),0)</f>
        <v>0</v>
      </c>
      <c r="K307" s="87">
        <f>IFERROR(ROUND($N307*Параметры!$D$36,2),0)</f>
        <v>0</v>
      </c>
      <c r="L307" s="87">
        <f t="shared" si="32"/>
        <v>0</v>
      </c>
      <c r="M307" s="87">
        <f t="shared" si="33"/>
        <v>0</v>
      </c>
      <c r="N307" s="107" t="str">
        <f t="shared" si="34"/>
        <v/>
      </c>
    </row>
    <row r="308" spans="2:14" x14ac:dyDescent="0.25">
      <c r="B308" s="82">
        <f>SUBTOTAL(103,$D$8:D308)</f>
        <v>301</v>
      </c>
      <c r="C308" s="83" t="s">
        <v>316</v>
      </c>
      <c r="D308" s="84">
        <f t="array" ref="D308:D367">TRANSPOSE('Зарядная карта'!$C$10:$BJ$10)</f>
        <v>4</v>
      </c>
      <c r="E308" s="85">
        <f t="shared" si="29"/>
        <v>62.814700000000002</v>
      </c>
      <c r="F308" s="106">
        <f t="shared" si="35"/>
        <v>2</v>
      </c>
      <c r="G308" s="86"/>
      <c r="H308" s="107">
        <f t="shared" si="30"/>
        <v>3.44</v>
      </c>
      <c r="I308" s="107">
        <f t="shared" si="31"/>
        <v>0.56000000000000005</v>
      </c>
      <c r="J308" s="87">
        <f>IF($D308&gt;0,IFERROR(Параметры!$D$42*$H308/$H$2408,0),0)</f>
        <v>60.103959390862947</v>
      </c>
      <c r="K308" s="87">
        <f>IFERROR(ROUND($N308*Параметры!$D$36,2),0)</f>
        <v>59.54</v>
      </c>
      <c r="L308" s="87">
        <f t="shared" si="32"/>
        <v>3.2747000000000002</v>
      </c>
      <c r="M308" s="87">
        <f t="shared" si="33"/>
        <v>3.8420790191534921</v>
      </c>
      <c r="N308" s="107">
        <f t="shared" si="34"/>
        <v>2</v>
      </c>
    </row>
    <row r="309" spans="2:14" x14ac:dyDescent="0.25">
      <c r="B309" s="82">
        <f>SUBTOTAL(103,$D$8:D309)</f>
        <v>302</v>
      </c>
      <c r="C309" s="83" t="s">
        <v>317</v>
      </c>
      <c r="D309" s="84">
        <v>8</v>
      </c>
      <c r="E309" s="85">
        <f t="shared" si="29"/>
        <v>188.44409999999999</v>
      </c>
      <c r="F309" s="106">
        <f t="shared" si="35"/>
        <v>2</v>
      </c>
      <c r="G309" s="86"/>
      <c r="H309" s="107">
        <f t="shared" si="30"/>
        <v>6.88</v>
      </c>
      <c r="I309" s="107">
        <f t="shared" si="31"/>
        <v>1.1200000000000001</v>
      </c>
      <c r="J309" s="87">
        <f>IF($D309&gt;0,IFERROR(Параметры!$D$42*$H309/$H$2408,0),0)</f>
        <v>120.20791878172589</v>
      </c>
      <c r="K309" s="87">
        <f>IFERROR(ROUND($N309*Параметры!$D$36,2),0)</f>
        <v>178.62</v>
      </c>
      <c r="L309" s="87">
        <f t="shared" si="32"/>
        <v>9.8240999999999996</v>
      </c>
      <c r="M309" s="87">
        <f t="shared" si="33"/>
        <v>11.526237057460476</v>
      </c>
      <c r="N309" s="107">
        <f t="shared" si="34"/>
        <v>6</v>
      </c>
    </row>
    <row r="310" spans="2:14" x14ac:dyDescent="0.25">
      <c r="B310" s="82">
        <f>SUBTOTAL(103,$D$8:D310)</f>
        <v>303</v>
      </c>
      <c r="C310" s="83" t="s">
        <v>318</v>
      </c>
      <c r="D310" s="84">
        <v>8</v>
      </c>
      <c r="E310" s="85">
        <f t="shared" si="29"/>
        <v>188.44409999999999</v>
      </c>
      <c r="F310" s="106">
        <f t="shared" si="35"/>
        <v>2</v>
      </c>
      <c r="G310" s="86"/>
      <c r="H310" s="107">
        <f t="shared" si="30"/>
        <v>6.88</v>
      </c>
      <c r="I310" s="107">
        <f t="shared" si="31"/>
        <v>1.1200000000000001</v>
      </c>
      <c r="J310" s="87">
        <f>IF($D310&gt;0,IFERROR(Параметры!$D$42*$H310/$H$2408,0),0)</f>
        <v>120.20791878172589</v>
      </c>
      <c r="K310" s="87">
        <f>IFERROR(ROUND($N310*Параметры!$D$36,2),0)</f>
        <v>178.62</v>
      </c>
      <c r="L310" s="87">
        <f t="shared" si="32"/>
        <v>9.8240999999999996</v>
      </c>
      <c r="M310" s="87">
        <f t="shared" si="33"/>
        <v>11.526237057460476</v>
      </c>
      <c r="N310" s="107">
        <f t="shared" si="34"/>
        <v>6</v>
      </c>
    </row>
    <row r="311" spans="2:14" x14ac:dyDescent="0.25">
      <c r="B311" s="82">
        <f>SUBTOTAL(103,$D$8:D311)</f>
        <v>304</v>
      </c>
      <c r="C311" s="83" t="s">
        <v>319</v>
      </c>
      <c r="D311" s="84">
        <v>8</v>
      </c>
      <c r="E311" s="85">
        <f t="shared" si="29"/>
        <v>188.44409999999999</v>
      </c>
      <c r="F311" s="106">
        <f t="shared" si="35"/>
        <v>2</v>
      </c>
      <c r="G311" s="86"/>
      <c r="H311" s="107">
        <f t="shared" si="30"/>
        <v>6.88</v>
      </c>
      <c r="I311" s="107">
        <f t="shared" si="31"/>
        <v>1.1200000000000001</v>
      </c>
      <c r="J311" s="87">
        <f>IF($D311&gt;0,IFERROR(Параметры!$D$42*$H311/$H$2408,0),0)</f>
        <v>120.20791878172589</v>
      </c>
      <c r="K311" s="87">
        <f>IFERROR(ROUND($N311*Параметры!$D$36,2),0)</f>
        <v>178.62</v>
      </c>
      <c r="L311" s="87">
        <f t="shared" si="32"/>
        <v>9.8240999999999996</v>
      </c>
      <c r="M311" s="87">
        <f t="shared" si="33"/>
        <v>11.526237057460476</v>
      </c>
      <c r="N311" s="107">
        <f t="shared" si="34"/>
        <v>6</v>
      </c>
    </row>
    <row r="312" spans="2:14" x14ac:dyDescent="0.25">
      <c r="B312" s="82">
        <f>SUBTOTAL(103,$D$8:D312)</f>
        <v>305</v>
      </c>
      <c r="C312" s="83" t="s">
        <v>320</v>
      </c>
      <c r="D312" s="84">
        <v>8</v>
      </c>
      <c r="E312" s="85">
        <f t="shared" si="29"/>
        <v>188.44409999999999</v>
      </c>
      <c r="F312" s="106">
        <f t="shared" si="35"/>
        <v>2</v>
      </c>
      <c r="G312" s="86"/>
      <c r="H312" s="107">
        <f t="shared" si="30"/>
        <v>6.88</v>
      </c>
      <c r="I312" s="107">
        <f t="shared" si="31"/>
        <v>1.1200000000000001</v>
      </c>
      <c r="J312" s="87">
        <f>IF($D312&gt;0,IFERROR(Параметры!$D$42*$H312/$H$2408,0),0)</f>
        <v>120.20791878172589</v>
      </c>
      <c r="K312" s="87">
        <f>IFERROR(ROUND($N312*Параметры!$D$36,2),0)</f>
        <v>178.62</v>
      </c>
      <c r="L312" s="87">
        <f t="shared" si="32"/>
        <v>9.8240999999999996</v>
      </c>
      <c r="M312" s="87">
        <f t="shared" si="33"/>
        <v>11.526237057460476</v>
      </c>
      <c r="N312" s="107">
        <f t="shared" si="34"/>
        <v>6</v>
      </c>
    </row>
    <row r="313" spans="2:14" x14ac:dyDescent="0.25">
      <c r="B313" s="82">
        <f>SUBTOTAL(103,$D$8:D313)</f>
        <v>306</v>
      </c>
      <c r="C313" s="83" t="s">
        <v>321</v>
      </c>
      <c r="D313" s="84">
        <v>8</v>
      </c>
      <c r="E313" s="85">
        <f t="shared" si="29"/>
        <v>188.44409999999999</v>
      </c>
      <c r="F313" s="106">
        <f t="shared" si="35"/>
        <v>2</v>
      </c>
      <c r="G313" s="86"/>
      <c r="H313" s="107">
        <f t="shared" si="30"/>
        <v>6.88</v>
      </c>
      <c r="I313" s="107">
        <f t="shared" si="31"/>
        <v>1.1200000000000001</v>
      </c>
      <c r="J313" s="87">
        <f>IF($D313&gt;0,IFERROR(Параметры!$D$42*$H313/$H$2408,0),0)</f>
        <v>120.20791878172589</v>
      </c>
      <c r="K313" s="87">
        <f>IFERROR(ROUND($N313*Параметры!$D$36,2),0)</f>
        <v>178.62</v>
      </c>
      <c r="L313" s="87">
        <f t="shared" si="32"/>
        <v>9.8240999999999996</v>
      </c>
      <c r="M313" s="87">
        <f t="shared" si="33"/>
        <v>11.526237057460476</v>
      </c>
      <c r="N313" s="107">
        <f t="shared" si="34"/>
        <v>6</v>
      </c>
    </row>
    <row r="314" spans="2:14" x14ac:dyDescent="0.25">
      <c r="B314" s="82">
        <f>SUBTOTAL(103,$D$8:D314)</f>
        <v>307</v>
      </c>
      <c r="C314" s="83" t="s">
        <v>322</v>
      </c>
      <c r="D314" s="84">
        <v>8</v>
      </c>
      <c r="E314" s="85">
        <f t="shared" si="29"/>
        <v>188.44409999999999</v>
      </c>
      <c r="F314" s="106">
        <f t="shared" si="35"/>
        <v>2</v>
      </c>
      <c r="G314" s="86"/>
      <c r="H314" s="107">
        <f t="shared" si="30"/>
        <v>6.88</v>
      </c>
      <c r="I314" s="107">
        <f t="shared" si="31"/>
        <v>1.1200000000000001</v>
      </c>
      <c r="J314" s="87">
        <f>IF($D314&gt;0,IFERROR(Параметры!$D$42*$H314/$H$2408,0),0)</f>
        <v>120.20791878172589</v>
      </c>
      <c r="K314" s="87">
        <f>IFERROR(ROUND($N314*Параметры!$D$36,2),0)</f>
        <v>178.62</v>
      </c>
      <c r="L314" s="87">
        <f t="shared" si="32"/>
        <v>9.8240999999999996</v>
      </c>
      <c r="M314" s="87">
        <f t="shared" si="33"/>
        <v>11.526237057460476</v>
      </c>
      <c r="N314" s="107">
        <f t="shared" si="34"/>
        <v>6</v>
      </c>
    </row>
    <row r="315" spans="2:14" x14ac:dyDescent="0.25">
      <c r="B315" s="82">
        <f>SUBTOTAL(103,$D$8:D315)</f>
        <v>308</v>
      </c>
      <c r="C315" s="83" t="s">
        <v>323</v>
      </c>
      <c r="D315" s="84">
        <v>8</v>
      </c>
      <c r="E315" s="85">
        <f t="shared" si="29"/>
        <v>188.44409999999999</v>
      </c>
      <c r="F315" s="106">
        <f t="shared" si="35"/>
        <v>2</v>
      </c>
      <c r="G315" s="86"/>
      <c r="H315" s="107">
        <f t="shared" si="30"/>
        <v>6.88</v>
      </c>
      <c r="I315" s="107">
        <f t="shared" si="31"/>
        <v>1.1200000000000001</v>
      </c>
      <c r="J315" s="87">
        <f>IF($D315&gt;0,IFERROR(Параметры!$D$42*$H315/$H$2408,0),0)</f>
        <v>120.20791878172589</v>
      </c>
      <c r="K315" s="87">
        <f>IFERROR(ROUND($N315*Параметры!$D$36,2),0)</f>
        <v>178.62</v>
      </c>
      <c r="L315" s="87">
        <f t="shared" si="32"/>
        <v>9.8240999999999996</v>
      </c>
      <c r="M315" s="87">
        <f t="shared" si="33"/>
        <v>11.526237057460476</v>
      </c>
      <c r="N315" s="107">
        <f t="shared" si="34"/>
        <v>6</v>
      </c>
    </row>
    <row r="316" spans="2:14" x14ac:dyDescent="0.25">
      <c r="B316" s="82">
        <f>SUBTOTAL(103,$D$8:D316)</f>
        <v>309</v>
      </c>
      <c r="C316" s="83" t="s">
        <v>324</v>
      </c>
      <c r="D316" s="84">
        <v>8</v>
      </c>
      <c r="E316" s="85">
        <f t="shared" si="29"/>
        <v>188.44409999999999</v>
      </c>
      <c r="F316" s="106">
        <f t="shared" si="35"/>
        <v>2</v>
      </c>
      <c r="G316" s="86"/>
      <c r="H316" s="107">
        <f t="shared" si="30"/>
        <v>6.88</v>
      </c>
      <c r="I316" s="107">
        <f t="shared" si="31"/>
        <v>1.1200000000000001</v>
      </c>
      <c r="J316" s="87">
        <f>IF($D316&gt;0,IFERROR(Параметры!$D$42*$H316/$H$2408,0),0)</f>
        <v>120.20791878172589</v>
      </c>
      <c r="K316" s="87">
        <f>IFERROR(ROUND($N316*Параметры!$D$36,2),0)</f>
        <v>178.62</v>
      </c>
      <c r="L316" s="87">
        <f t="shared" si="32"/>
        <v>9.8240999999999996</v>
      </c>
      <c r="M316" s="87">
        <f t="shared" si="33"/>
        <v>11.526237057460476</v>
      </c>
      <c r="N316" s="107">
        <f t="shared" si="34"/>
        <v>6</v>
      </c>
    </row>
    <row r="317" spans="2:14" x14ac:dyDescent="0.25">
      <c r="B317" s="82">
        <f>SUBTOTAL(103,$D$8:D317)</f>
        <v>310</v>
      </c>
      <c r="C317" s="83" t="s">
        <v>325</v>
      </c>
      <c r="D317" s="84">
        <v>8</v>
      </c>
      <c r="E317" s="85">
        <f t="shared" si="29"/>
        <v>188.44409999999999</v>
      </c>
      <c r="F317" s="106">
        <f t="shared" si="35"/>
        <v>2</v>
      </c>
      <c r="G317" s="86"/>
      <c r="H317" s="107">
        <f t="shared" si="30"/>
        <v>6.88</v>
      </c>
      <c r="I317" s="107">
        <f t="shared" si="31"/>
        <v>1.1200000000000001</v>
      </c>
      <c r="J317" s="87">
        <f>IF($D317&gt;0,IFERROR(Параметры!$D$42*$H317/$H$2408,0),0)</f>
        <v>120.20791878172589</v>
      </c>
      <c r="K317" s="87">
        <f>IFERROR(ROUND($N317*Параметры!$D$36,2),0)</f>
        <v>178.62</v>
      </c>
      <c r="L317" s="87">
        <f t="shared" si="32"/>
        <v>9.8240999999999996</v>
      </c>
      <c r="M317" s="87">
        <f t="shared" si="33"/>
        <v>11.526237057460476</v>
      </c>
      <c r="N317" s="107">
        <f t="shared" si="34"/>
        <v>6</v>
      </c>
    </row>
    <row r="318" spans="2:14" x14ac:dyDescent="0.25">
      <c r="B318" s="82">
        <f>SUBTOTAL(103,$D$8:D318)</f>
        <v>311</v>
      </c>
      <c r="C318" s="83" t="s">
        <v>326</v>
      </c>
      <c r="D318" s="84">
        <v>0</v>
      </c>
      <c r="E318" s="85" t="str">
        <f t="shared" si="29"/>
        <v/>
      </c>
      <c r="F318" s="106" t="str">
        <f t="shared" si="35"/>
        <v/>
      </c>
      <c r="G318" s="86"/>
      <c r="H318" s="107">
        <f t="shared" si="30"/>
        <v>0</v>
      </c>
      <c r="I318" s="107">
        <f t="shared" si="31"/>
        <v>0</v>
      </c>
      <c r="J318" s="87">
        <f>IF($D318&gt;0,IFERROR(Параметры!$D$42*$H318/$H$2408,0),0)</f>
        <v>0</v>
      </c>
      <c r="K318" s="87">
        <f>IFERROR(ROUND($N318*Параметры!$D$36,2),0)</f>
        <v>0</v>
      </c>
      <c r="L318" s="87">
        <f t="shared" si="32"/>
        <v>0</v>
      </c>
      <c r="M318" s="87">
        <f t="shared" si="33"/>
        <v>0</v>
      </c>
      <c r="N318" s="107" t="str">
        <f t="shared" si="34"/>
        <v/>
      </c>
    </row>
    <row r="319" spans="2:14" x14ac:dyDescent="0.25">
      <c r="B319" s="82">
        <f>SUBTOTAL(103,$D$8:D319)</f>
        <v>312</v>
      </c>
      <c r="C319" s="83" t="s">
        <v>327</v>
      </c>
      <c r="D319" s="84">
        <v>0</v>
      </c>
      <c r="E319" s="85" t="str">
        <f t="shared" si="29"/>
        <v/>
      </c>
      <c r="F319" s="106" t="str">
        <f t="shared" si="35"/>
        <v/>
      </c>
      <c r="G319" s="86"/>
      <c r="H319" s="107">
        <f t="shared" si="30"/>
        <v>0</v>
      </c>
      <c r="I319" s="107">
        <f t="shared" si="31"/>
        <v>0</v>
      </c>
      <c r="J319" s="87">
        <f>IF($D319&gt;0,IFERROR(Параметры!$D$42*$H319/$H$2408,0),0)</f>
        <v>0</v>
      </c>
      <c r="K319" s="87">
        <f>IFERROR(ROUND($N319*Параметры!$D$36,2),0)</f>
        <v>0</v>
      </c>
      <c r="L319" s="87">
        <f t="shared" si="32"/>
        <v>0</v>
      </c>
      <c r="M319" s="87">
        <f t="shared" si="33"/>
        <v>0</v>
      </c>
      <c r="N319" s="107" t="str">
        <f t="shared" si="34"/>
        <v/>
      </c>
    </row>
    <row r="320" spans="2:14" x14ac:dyDescent="0.25">
      <c r="B320" s="82">
        <f>SUBTOTAL(103,$D$8:D320)</f>
        <v>313</v>
      </c>
      <c r="C320" s="83" t="s">
        <v>328</v>
      </c>
      <c r="D320" s="84">
        <v>0</v>
      </c>
      <c r="E320" s="85" t="str">
        <f t="shared" si="29"/>
        <v/>
      </c>
      <c r="F320" s="106" t="str">
        <f t="shared" si="35"/>
        <v/>
      </c>
      <c r="G320" s="86"/>
      <c r="H320" s="107">
        <f t="shared" si="30"/>
        <v>0</v>
      </c>
      <c r="I320" s="107">
        <f t="shared" si="31"/>
        <v>0</v>
      </c>
      <c r="J320" s="87">
        <f>IF($D320&gt;0,IFERROR(Параметры!$D$42*$H320/$H$2408,0),0)</f>
        <v>0</v>
      </c>
      <c r="K320" s="87">
        <f>IFERROR(ROUND($N320*Параметры!$D$36,2),0)</f>
        <v>0</v>
      </c>
      <c r="L320" s="87">
        <f t="shared" si="32"/>
        <v>0</v>
      </c>
      <c r="M320" s="87">
        <f t="shared" si="33"/>
        <v>0</v>
      </c>
      <c r="N320" s="107" t="str">
        <f t="shared" si="34"/>
        <v/>
      </c>
    </row>
    <row r="321" spans="2:14" x14ac:dyDescent="0.25">
      <c r="B321" s="82">
        <f>SUBTOTAL(103,$D$8:D321)</f>
        <v>314</v>
      </c>
      <c r="C321" s="83" t="s">
        <v>329</v>
      </c>
      <c r="D321" s="84">
        <v>0</v>
      </c>
      <c r="E321" s="85" t="str">
        <f t="shared" si="29"/>
        <v/>
      </c>
      <c r="F321" s="106" t="str">
        <f t="shared" si="35"/>
        <v/>
      </c>
      <c r="G321" s="86"/>
      <c r="H321" s="107">
        <f t="shared" si="30"/>
        <v>0</v>
      </c>
      <c r="I321" s="107">
        <f t="shared" si="31"/>
        <v>0</v>
      </c>
      <c r="J321" s="87">
        <f>IF($D321&gt;0,IFERROR(Параметры!$D$42*$H321/$H$2408,0),0)</f>
        <v>0</v>
      </c>
      <c r="K321" s="87">
        <f>IFERROR(ROUND($N321*Параметры!$D$36,2),0)</f>
        <v>0</v>
      </c>
      <c r="L321" s="87">
        <f t="shared" si="32"/>
        <v>0</v>
      </c>
      <c r="M321" s="87">
        <f t="shared" si="33"/>
        <v>0</v>
      </c>
      <c r="N321" s="107" t="str">
        <f t="shared" si="34"/>
        <v/>
      </c>
    </row>
    <row r="322" spans="2:14" x14ac:dyDescent="0.25">
      <c r="B322" s="82">
        <f>SUBTOTAL(103,$D$8:D322)</f>
        <v>315</v>
      </c>
      <c r="C322" s="83" t="s">
        <v>330</v>
      </c>
      <c r="D322" s="84">
        <v>0</v>
      </c>
      <c r="E322" s="85" t="str">
        <f t="shared" si="29"/>
        <v/>
      </c>
      <c r="F322" s="106" t="str">
        <f t="shared" si="35"/>
        <v/>
      </c>
      <c r="G322" s="86"/>
      <c r="H322" s="107">
        <f t="shared" si="30"/>
        <v>0</v>
      </c>
      <c r="I322" s="107">
        <f t="shared" si="31"/>
        <v>0</v>
      </c>
      <c r="J322" s="87">
        <f>IF($D322&gt;0,IFERROR(Параметры!$D$42*$H322/$H$2408,0),0)</f>
        <v>0</v>
      </c>
      <c r="K322" s="87">
        <f>IFERROR(ROUND($N322*Параметры!$D$36,2),0)</f>
        <v>0</v>
      </c>
      <c r="L322" s="87">
        <f t="shared" si="32"/>
        <v>0</v>
      </c>
      <c r="M322" s="87">
        <f t="shared" si="33"/>
        <v>0</v>
      </c>
      <c r="N322" s="107" t="str">
        <f t="shared" si="34"/>
        <v/>
      </c>
    </row>
    <row r="323" spans="2:14" x14ac:dyDescent="0.25">
      <c r="B323" s="82">
        <f>SUBTOTAL(103,$D$8:D323)</f>
        <v>316</v>
      </c>
      <c r="C323" s="83" t="s">
        <v>331</v>
      </c>
      <c r="D323" s="84">
        <v>0</v>
      </c>
      <c r="E323" s="85" t="str">
        <f t="shared" si="29"/>
        <v/>
      </c>
      <c r="F323" s="106" t="str">
        <f t="shared" si="35"/>
        <v/>
      </c>
      <c r="G323" s="86"/>
      <c r="H323" s="107">
        <f t="shared" si="30"/>
        <v>0</v>
      </c>
      <c r="I323" s="107">
        <f t="shared" si="31"/>
        <v>0</v>
      </c>
      <c r="J323" s="87">
        <f>IF($D323&gt;0,IFERROR(Параметры!$D$42*$H323/$H$2408,0),0)</f>
        <v>0</v>
      </c>
      <c r="K323" s="87">
        <f>IFERROR(ROUND($N323*Параметры!$D$36,2),0)</f>
        <v>0</v>
      </c>
      <c r="L323" s="87">
        <f t="shared" si="32"/>
        <v>0</v>
      </c>
      <c r="M323" s="87">
        <f t="shared" si="33"/>
        <v>0</v>
      </c>
      <c r="N323" s="107" t="str">
        <f t="shared" si="34"/>
        <v/>
      </c>
    </row>
    <row r="324" spans="2:14" x14ac:dyDescent="0.25">
      <c r="B324" s="82">
        <f>SUBTOTAL(103,$D$8:D324)</f>
        <v>317</v>
      </c>
      <c r="C324" s="83" t="s">
        <v>332</v>
      </c>
      <c r="D324" s="84">
        <v>0</v>
      </c>
      <c r="E324" s="85" t="str">
        <f t="shared" si="29"/>
        <v/>
      </c>
      <c r="F324" s="106" t="str">
        <f t="shared" si="35"/>
        <v/>
      </c>
      <c r="G324" s="86"/>
      <c r="H324" s="107">
        <f t="shared" si="30"/>
        <v>0</v>
      </c>
      <c r="I324" s="107">
        <f t="shared" si="31"/>
        <v>0</v>
      </c>
      <c r="J324" s="87">
        <f>IF($D324&gt;0,IFERROR(Параметры!$D$42*$H324/$H$2408,0),0)</f>
        <v>0</v>
      </c>
      <c r="K324" s="87">
        <f>IFERROR(ROUND($N324*Параметры!$D$36,2),0)</f>
        <v>0</v>
      </c>
      <c r="L324" s="87">
        <f t="shared" si="32"/>
        <v>0</v>
      </c>
      <c r="M324" s="87">
        <f t="shared" si="33"/>
        <v>0</v>
      </c>
      <c r="N324" s="107" t="str">
        <f t="shared" si="34"/>
        <v/>
      </c>
    </row>
    <row r="325" spans="2:14" x14ac:dyDescent="0.25">
      <c r="B325" s="82">
        <f>SUBTOTAL(103,$D$8:D325)</f>
        <v>318</v>
      </c>
      <c r="C325" s="83" t="s">
        <v>333</v>
      </c>
      <c r="D325" s="84">
        <v>0</v>
      </c>
      <c r="E325" s="85" t="str">
        <f t="shared" si="29"/>
        <v/>
      </c>
      <c r="F325" s="106" t="str">
        <f t="shared" si="35"/>
        <v/>
      </c>
      <c r="G325" s="86"/>
      <c r="H325" s="107">
        <f t="shared" si="30"/>
        <v>0</v>
      </c>
      <c r="I325" s="107">
        <f t="shared" si="31"/>
        <v>0</v>
      </c>
      <c r="J325" s="87">
        <f>IF($D325&gt;0,IFERROR(Параметры!$D$42*$H325/$H$2408,0),0)</f>
        <v>0</v>
      </c>
      <c r="K325" s="87">
        <f>IFERROR(ROUND($N325*Параметры!$D$36,2),0)</f>
        <v>0</v>
      </c>
      <c r="L325" s="87">
        <f t="shared" si="32"/>
        <v>0</v>
      </c>
      <c r="M325" s="87">
        <f t="shared" si="33"/>
        <v>0</v>
      </c>
      <c r="N325" s="107" t="str">
        <f t="shared" si="34"/>
        <v/>
      </c>
    </row>
    <row r="326" spans="2:14" x14ac:dyDescent="0.25">
      <c r="B326" s="82">
        <f>SUBTOTAL(103,$D$8:D326)</f>
        <v>319</v>
      </c>
      <c r="C326" s="83" t="s">
        <v>334</v>
      </c>
      <c r="D326" s="84">
        <v>0</v>
      </c>
      <c r="E326" s="85" t="str">
        <f t="shared" si="29"/>
        <v/>
      </c>
      <c r="F326" s="106" t="str">
        <f t="shared" si="35"/>
        <v/>
      </c>
      <c r="G326" s="86"/>
      <c r="H326" s="107">
        <f t="shared" si="30"/>
        <v>0</v>
      </c>
      <c r="I326" s="107">
        <f t="shared" si="31"/>
        <v>0</v>
      </c>
      <c r="J326" s="87">
        <f>IF($D326&gt;0,IFERROR(Параметры!$D$42*$H326/$H$2408,0),0)</f>
        <v>0</v>
      </c>
      <c r="K326" s="87">
        <f>IFERROR(ROUND($N326*Параметры!$D$36,2),0)</f>
        <v>0</v>
      </c>
      <c r="L326" s="87">
        <f t="shared" si="32"/>
        <v>0</v>
      </c>
      <c r="M326" s="87">
        <f t="shared" si="33"/>
        <v>0</v>
      </c>
      <c r="N326" s="107" t="str">
        <f t="shared" si="34"/>
        <v/>
      </c>
    </row>
    <row r="327" spans="2:14" x14ac:dyDescent="0.25">
      <c r="B327" s="82">
        <f>SUBTOTAL(103,$D$8:D327)</f>
        <v>320</v>
      </c>
      <c r="C327" s="83" t="s">
        <v>335</v>
      </c>
      <c r="D327" s="84">
        <v>0</v>
      </c>
      <c r="E327" s="85" t="str">
        <f t="shared" si="29"/>
        <v/>
      </c>
      <c r="F327" s="106" t="str">
        <f t="shared" si="35"/>
        <v/>
      </c>
      <c r="G327" s="86"/>
      <c r="H327" s="107">
        <f t="shared" si="30"/>
        <v>0</v>
      </c>
      <c r="I327" s="107">
        <f t="shared" si="31"/>
        <v>0</v>
      </c>
      <c r="J327" s="87">
        <f>IF($D327&gt;0,IFERROR(Параметры!$D$42*$H327/$H$2408,0),0)</f>
        <v>0</v>
      </c>
      <c r="K327" s="87">
        <f>IFERROR(ROUND($N327*Параметры!$D$36,2),0)</f>
        <v>0</v>
      </c>
      <c r="L327" s="87">
        <f t="shared" si="32"/>
        <v>0</v>
      </c>
      <c r="M327" s="87">
        <f t="shared" si="33"/>
        <v>0</v>
      </c>
      <c r="N327" s="107" t="str">
        <f t="shared" si="34"/>
        <v/>
      </c>
    </row>
    <row r="328" spans="2:14" x14ac:dyDescent="0.25">
      <c r="B328" s="82">
        <f>SUBTOTAL(103,$D$8:D328)</f>
        <v>321</v>
      </c>
      <c r="C328" s="83" t="s">
        <v>336</v>
      </c>
      <c r="D328" s="84">
        <v>0</v>
      </c>
      <c r="E328" s="85" t="str">
        <f t="shared" ref="E328:E391" si="36">IF($D328&lt;1,"",$K328+$L328)</f>
        <v/>
      </c>
      <c r="F328" s="106" t="str">
        <f t="shared" si="35"/>
        <v/>
      </c>
      <c r="G328" s="86"/>
      <c r="H328" s="107">
        <f t="shared" ref="H328:H391" si="37">IF($D328&gt;0,$D328*КИС,0)</f>
        <v>0</v>
      </c>
      <c r="I328" s="107">
        <f t="shared" ref="I328:I391" si="38">IF($D328&gt;0,$D328-$H328,0)</f>
        <v>0</v>
      </c>
      <c r="J328" s="87">
        <f>IF($D328&gt;0,IFERROR(Параметры!$D$42*$H328/$H$2408,0),0)</f>
        <v>0</v>
      </c>
      <c r="K328" s="87">
        <f>IFERROR(ROUND($N328*Параметры!$D$36,2),0)</f>
        <v>0</v>
      </c>
      <c r="L328" s="87">
        <f t="shared" ref="L328:L391" si="39">IF($K328&gt;0,$K328*0.055,0)</f>
        <v>0</v>
      </c>
      <c r="M328" s="87">
        <f t="shared" ref="M328:M391" si="40">IFERROR($L328/Плотность_ДТ,0)</f>
        <v>0</v>
      </c>
      <c r="N328" s="107" t="str">
        <f t="shared" ref="N328:N391" si="41">IF($D328&gt;0,MAX(0,$D328-IF($F328="",0,$F328)),"")</f>
        <v/>
      </c>
    </row>
    <row r="329" spans="2:14" x14ac:dyDescent="0.25">
      <c r="B329" s="82">
        <f>SUBTOTAL(103,$D$8:D329)</f>
        <v>322</v>
      </c>
      <c r="C329" s="83" t="s">
        <v>337</v>
      </c>
      <c r="D329" s="84">
        <v>0</v>
      </c>
      <c r="E329" s="85" t="str">
        <f t="shared" si="36"/>
        <v/>
      </c>
      <c r="F329" s="106" t="str">
        <f t="shared" si="35"/>
        <v/>
      </c>
      <c r="G329" s="86"/>
      <c r="H329" s="107">
        <f t="shared" si="37"/>
        <v>0</v>
      </c>
      <c r="I329" s="107">
        <f t="shared" si="38"/>
        <v>0</v>
      </c>
      <c r="J329" s="87">
        <f>IF($D329&gt;0,IFERROR(Параметры!$D$42*$H329/$H$2408,0),0)</f>
        <v>0</v>
      </c>
      <c r="K329" s="87">
        <f>IFERROR(ROUND($N329*Параметры!$D$36,2),0)</f>
        <v>0</v>
      </c>
      <c r="L329" s="87">
        <f t="shared" si="39"/>
        <v>0</v>
      </c>
      <c r="M329" s="87">
        <f t="shared" si="40"/>
        <v>0</v>
      </c>
      <c r="N329" s="107" t="str">
        <f t="shared" si="41"/>
        <v/>
      </c>
    </row>
    <row r="330" spans="2:14" x14ac:dyDescent="0.25">
      <c r="B330" s="82">
        <f>SUBTOTAL(103,$D$8:D330)</f>
        <v>323</v>
      </c>
      <c r="C330" s="83" t="s">
        <v>338</v>
      </c>
      <c r="D330" s="84">
        <v>0</v>
      </c>
      <c r="E330" s="85" t="str">
        <f t="shared" si="36"/>
        <v/>
      </c>
      <c r="F330" s="106" t="str">
        <f t="shared" si="35"/>
        <v/>
      </c>
      <c r="G330" s="86"/>
      <c r="H330" s="107">
        <f t="shared" si="37"/>
        <v>0</v>
      </c>
      <c r="I330" s="107">
        <f t="shared" si="38"/>
        <v>0</v>
      </c>
      <c r="J330" s="87">
        <f>IF($D330&gt;0,IFERROR(Параметры!$D$42*$H330/$H$2408,0),0)</f>
        <v>0</v>
      </c>
      <c r="K330" s="87">
        <f>IFERROR(ROUND($N330*Параметры!$D$36,2),0)</f>
        <v>0</v>
      </c>
      <c r="L330" s="87">
        <f t="shared" si="39"/>
        <v>0</v>
      </c>
      <c r="M330" s="87">
        <f t="shared" si="40"/>
        <v>0</v>
      </c>
      <c r="N330" s="107" t="str">
        <f t="shared" si="41"/>
        <v/>
      </c>
    </row>
    <row r="331" spans="2:14" x14ac:dyDescent="0.25">
      <c r="B331" s="82">
        <f>SUBTOTAL(103,$D$8:D331)</f>
        <v>324</v>
      </c>
      <c r="C331" s="83" t="s">
        <v>339</v>
      </c>
      <c r="D331" s="84">
        <v>0</v>
      </c>
      <c r="E331" s="85" t="str">
        <f t="shared" si="36"/>
        <v/>
      </c>
      <c r="F331" s="106" t="str">
        <f t="shared" ref="F331:F394" si="42">IF(D331&gt;0,2,"")</f>
        <v/>
      </c>
      <c r="G331" s="86"/>
      <c r="H331" s="107">
        <f t="shared" si="37"/>
        <v>0</v>
      </c>
      <c r="I331" s="107">
        <f t="shared" si="38"/>
        <v>0</v>
      </c>
      <c r="J331" s="87">
        <f>IF($D331&gt;0,IFERROR(Параметры!$D$42*$H331/$H$2408,0),0)</f>
        <v>0</v>
      </c>
      <c r="K331" s="87">
        <f>IFERROR(ROUND($N331*Параметры!$D$36,2),0)</f>
        <v>0</v>
      </c>
      <c r="L331" s="87">
        <f t="shared" si="39"/>
        <v>0</v>
      </c>
      <c r="M331" s="87">
        <f t="shared" si="40"/>
        <v>0</v>
      </c>
      <c r="N331" s="107" t="str">
        <f t="shared" si="41"/>
        <v/>
      </c>
    </row>
    <row r="332" spans="2:14" x14ac:dyDescent="0.25">
      <c r="B332" s="82">
        <f>SUBTOTAL(103,$D$8:D332)</f>
        <v>325</v>
      </c>
      <c r="C332" s="83" t="s">
        <v>340</v>
      </c>
      <c r="D332" s="84">
        <v>0</v>
      </c>
      <c r="E332" s="85" t="str">
        <f t="shared" si="36"/>
        <v/>
      </c>
      <c r="F332" s="106" t="str">
        <f t="shared" si="42"/>
        <v/>
      </c>
      <c r="G332" s="86"/>
      <c r="H332" s="107">
        <f t="shared" si="37"/>
        <v>0</v>
      </c>
      <c r="I332" s="107">
        <f t="shared" si="38"/>
        <v>0</v>
      </c>
      <c r="J332" s="87">
        <f>IF($D332&gt;0,IFERROR(Параметры!$D$42*$H332/$H$2408,0),0)</f>
        <v>0</v>
      </c>
      <c r="K332" s="87">
        <f>IFERROR(ROUND($N332*Параметры!$D$36,2),0)</f>
        <v>0</v>
      </c>
      <c r="L332" s="87">
        <f t="shared" si="39"/>
        <v>0</v>
      </c>
      <c r="M332" s="87">
        <f t="shared" si="40"/>
        <v>0</v>
      </c>
      <c r="N332" s="107" t="str">
        <f t="shared" si="41"/>
        <v/>
      </c>
    </row>
    <row r="333" spans="2:14" x14ac:dyDescent="0.25">
      <c r="B333" s="82">
        <f>SUBTOTAL(103,$D$8:D333)</f>
        <v>326</v>
      </c>
      <c r="C333" s="83" t="s">
        <v>341</v>
      </c>
      <c r="D333" s="84">
        <v>0</v>
      </c>
      <c r="E333" s="85" t="str">
        <f t="shared" si="36"/>
        <v/>
      </c>
      <c r="F333" s="106" t="str">
        <f t="shared" si="42"/>
        <v/>
      </c>
      <c r="G333" s="86"/>
      <c r="H333" s="107">
        <f t="shared" si="37"/>
        <v>0</v>
      </c>
      <c r="I333" s="107">
        <f t="shared" si="38"/>
        <v>0</v>
      </c>
      <c r="J333" s="87">
        <f>IF($D333&gt;0,IFERROR(Параметры!$D$42*$H333/$H$2408,0),0)</f>
        <v>0</v>
      </c>
      <c r="K333" s="87">
        <f>IFERROR(ROUND($N333*Параметры!$D$36,2),0)</f>
        <v>0</v>
      </c>
      <c r="L333" s="87">
        <f t="shared" si="39"/>
        <v>0</v>
      </c>
      <c r="M333" s="87">
        <f t="shared" si="40"/>
        <v>0</v>
      </c>
      <c r="N333" s="107" t="str">
        <f t="shared" si="41"/>
        <v/>
      </c>
    </row>
    <row r="334" spans="2:14" x14ac:dyDescent="0.25">
      <c r="B334" s="82">
        <f>SUBTOTAL(103,$D$8:D334)</f>
        <v>327</v>
      </c>
      <c r="C334" s="83" t="s">
        <v>342</v>
      </c>
      <c r="D334" s="84">
        <v>0</v>
      </c>
      <c r="E334" s="85" t="str">
        <f t="shared" si="36"/>
        <v/>
      </c>
      <c r="F334" s="106" t="str">
        <f t="shared" si="42"/>
        <v/>
      </c>
      <c r="G334" s="86"/>
      <c r="H334" s="107">
        <f t="shared" si="37"/>
        <v>0</v>
      </c>
      <c r="I334" s="107">
        <f t="shared" si="38"/>
        <v>0</v>
      </c>
      <c r="J334" s="87">
        <f>IF($D334&gt;0,IFERROR(Параметры!$D$42*$H334/$H$2408,0),0)</f>
        <v>0</v>
      </c>
      <c r="K334" s="87">
        <f>IFERROR(ROUND($N334*Параметры!$D$36,2),0)</f>
        <v>0</v>
      </c>
      <c r="L334" s="87">
        <f t="shared" si="39"/>
        <v>0</v>
      </c>
      <c r="M334" s="87">
        <f t="shared" si="40"/>
        <v>0</v>
      </c>
      <c r="N334" s="107" t="str">
        <f t="shared" si="41"/>
        <v/>
      </c>
    </row>
    <row r="335" spans="2:14" x14ac:dyDescent="0.25">
      <c r="B335" s="82">
        <f>SUBTOTAL(103,$D$8:D335)</f>
        <v>328</v>
      </c>
      <c r="C335" s="83" t="s">
        <v>343</v>
      </c>
      <c r="D335" s="84">
        <v>0</v>
      </c>
      <c r="E335" s="85" t="str">
        <f t="shared" si="36"/>
        <v/>
      </c>
      <c r="F335" s="106" t="str">
        <f t="shared" si="42"/>
        <v/>
      </c>
      <c r="G335" s="86"/>
      <c r="H335" s="107">
        <f t="shared" si="37"/>
        <v>0</v>
      </c>
      <c r="I335" s="107">
        <f t="shared" si="38"/>
        <v>0</v>
      </c>
      <c r="J335" s="87">
        <f>IF($D335&gt;0,IFERROR(Параметры!$D$42*$H335/$H$2408,0),0)</f>
        <v>0</v>
      </c>
      <c r="K335" s="87">
        <f>IFERROR(ROUND($N335*Параметры!$D$36,2),0)</f>
        <v>0</v>
      </c>
      <c r="L335" s="87">
        <f t="shared" si="39"/>
        <v>0</v>
      </c>
      <c r="M335" s="87">
        <f t="shared" si="40"/>
        <v>0</v>
      </c>
      <c r="N335" s="107" t="str">
        <f t="shared" si="41"/>
        <v/>
      </c>
    </row>
    <row r="336" spans="2:14" x14ac:dyDescent="0.25">
      <c r="B336" s="82">
        <f>SUBTOTAL(103,$D$8:D336)</f>
        <v>329</v>
      </c>
      <c r="C336" s="83" t="s">
        <v>344</v>
      </c>
      <c r="D336" s="84">
        <v>0</v>
      </c>
      <c r="E336" s="85" t="str">
        <f t="shared" si="36"/>
        <v/>
      </c>
      <c r="F336" s="106" t="str">
        <f t="shared" si="42"/>
        <v/>
      </c>
      <c r="G336" s="86"/>
      <c r="H336" s="107">
        <f t="shared" si="37"/>
        <v>0</v>
      </c>
      <c r="I336" s="107">
        <f t="shared" si="38"/>
        <v>0</v>
      </c>
      <c r="J336" s="87">
        <f>IF($D336&gt;0,IFERROR(Параметры!$D$42*$H336/$H$2408,0),0)</f>
        <v>0</v>
      </c>
      <c r="K336" s="87">
        <f>IFERROR(ROUND($N336*Параметры!$D$36,2),0)</f>
        <v>0</v>
      </c>
      <c r="L336" s="87">
        <f t="shared" si="39"/>
        <v>0</v>
      </c>
      <c r="M336" s="87">
        <f t="shared" si="40"/>
        <v>0</v>
      </c>
      <c r="N336" s="107" t="str">
        <f t="shared" si="41"/>
        <v/>
      </c>
    </row>
    <row r="337" spans="2:14" x14ac:dyDescent="0.25">
      <c r="B337" s="82">
        <f>SUBTOTAL(103,$D$8:D337)</f>
        <v>330</v>
      </c>
      <c r="C337" s="83" t="s">
        <v>345</v>
      </c>
      <c r="D337" s="84">
        <v>0</v>
      </c>
      <c r="E337" s="85" t="str">
        <f t="shared" si="36"/>
        <v/>
      </c>
      <c r="F337" s="106" t="str">
        <f t="shared" si="42"/>
        <v/>
      </c>
      <c r="G337" s="86"/>
      <c r="H337" s="107">
        <f t="shared" si="37"/>
        <v>0</v>
      </c>
      <c r="I337" s="107">
        <f t="shared" si="38"/>
        <v>0</v>
      </c>
      <c r="J337" s="87">
        <f>IF($D337&gt;0,IFERROR(Параметры!$D$42*$H337/$H$2408,0),0)</f>
        <v>0</v>
      </c>
      <c r="K337" s="87">
        <f>IFERROR(ROUND($N337*Параметры!$D$36,2),0)</f>
        <v>0</v>
      </c>
      <c r="L337" s="87">
        <f t="shared" si="39"/>
        <v>0</v>
      </c>
      <c r="M337" s="87">
        <f t="shared" si="40"/>
        <v>0</v>
      </c>
      <c r="N337" s="107" t="str">
        <f t="shared" si="41"/>
        <v/>
      </c>
    </row>
    <row r="338" spans="2:14" x14ac:dyDescent="0.25">
      <c r="B338" s="82">
        <f>SUBTOTAL(103,$D$8:D338)</f>
        <v>331</v>
      </c>
      <c r="C338" s="83" t="s">
        <v>346</v>
      </c>
      <c r="D338" s="84">
        <v>0</v>
      </c>
      <c r="E338" s="85" t="str">
        <f t="shared" si="36"/>
        <v/>
      </c>
      <c r="F338" s="106" t="str">
        <f t="shared" si="42"/>
        <v/>
      </c>
      <c r="G338" s="86"/>
      <c r="H338" s="107">
        <f t="shared" si="37"/>
        <v>0</v>
      </c>
      <c r="I338" s="107">
        <f t="shared" si="38"/>
        <v>0</v>
      </c>
      <c r="J338" s="87">
        <f>IF($D338&gt;0,IFERROR(Параметры!$D$42*$H338/$H$2408,0),0)</f>
        <v>0</v>
      </c>
      <c r="K338" s="87">
        <f>IFERROR(ROUND($N338*Параметры!$D$36,2),0)</f>
        <v>0</v>
      </c>
      <c r="L338" s="87">
        <f t="shared" si="39"/>
        <v>0</v>
      </c>
      <c r="M338" s="87">
        <f t="shared" si="40"/>
        <v>0</v>
      </c>
      <c r="N338" s="107" t="str">
        <f t="shared" si="41"/>
        <v/>
      </c>
    </row>
    <row r="339" spans="2:14" x14ac:dyDescent="0.25">
      <c r="B339" s="82">
        <f>SUBTOTAL(103,$D$8:D339)</f>
        <v>332</v>
      </c>
      <c r="C339" s="83" t="s">
        <v>347</v>
      </c>
      <c r="D339" s="84">
        <v>0</v>
      </c>
      <c r="E339" s="85" t="str">
        <f t="shared" si="36"/>
        <v/>
      </c>
      <c r="F339" s="106" t="str">
        <f t="shared" si="42"/>
        <v/>
      </c>
      <c r="G339" s="86"/>
      <c r="H339" s="107">
        <f t="shared" si="37"/>
        <v>0</v>
      </c>
      <c r="I339" s="107">
        <f t="shared" si="38"/>
        <v>0</v>
      </c>
      <c r="J339" s="87">
        <f>IF($D339&gt;0,IFERROR(Параметры!$D$42*$H339/$H$2408,0),0)</f>
        <v>0</v>
      </c>
      <c r="K339" s="87">
        <f>IFERROR(ROUND($N339*Параметры!$D$36,2),0)</f>
        <v>0</v>
      </c>
      <c r="L339" s="87">
        <f t="shared" si="39"/>
        <v>0</v>
      </c>
      <c r="M339" s="87">
        <f t="shared" si="40"/>
        <v>0</v>
      </c>
      <c r="N339" s="107" t="str">
        <f t="shared" si="41"/>
        <v/>
      </c>
    </row>
    <row r="340" spans="2:14" x14ac:dyDescent="0.25">
      <c r="B340" s="82">
        <f>SUBTOTAL(103,$D$8:D340)</f>
        <v>333</v>
      </c>
      <c r="C340" s="83" t="s">
        <v>348</v>
      </c>
      <c r="D340" s="84">
        <v>0</v>
      </c>
      <c r="E340" s="85" t="str">
        <f t="shared" si="36"/>
        <v/>
      </c>
      <c r="F340" s="106" t="str">
        <f t="shared" si="42"/>
        <v/>
      </c>
      <c r="G340" s="86"/>
      <c r="H340" s="107">
        <f t="shared" si="37"/>
        <v>0</v>
      </c>
      <c r="I340" s="107">
        <f t="shared" si="38"/>
        <v>0</v>
      </c>
      <c r="J340" s="87">
        <f>IF($D340&gt;0,IFERROR(Параметры!$D$42*$H340/$H$2408,0),0)</f>
        <v>0</v>
      </c>
      <c r="K340" s="87">
        <f>IFERROR(ROUND($N340*Параметры!$D$36,2),0)</f>
        <v>0</v>
      </c>
      <c r="L340" s="87">
        <f t="shared" si="39"/>
        <v>0</v>
      </c>
      <c r="M340" s="87">
        <f t="shared" si="40"/>
        <v>0</v>
      </c>
      <c r="N340" s="107" t="str">
        <f t="shared" si="41"/>
        <v/>
      </c>
    </row>
    <row r="341" spans="2:14" x14ac:dyDescent="0.25">
      <c r="B341" s="82">
        <f>SUBTOTAL(103,$D$8:D341)</f>
        <v>334</v>
      </c>
      <c r="C341" s="83" t="s">
        <v>349</v>
      </c>
      <c r="D341" s="84">
        <v>0</v>
      </c>
      <c r="E341" s="85" t="str">
        <f t="shared" si="36"/>
        <v/>
      </c>
      <c r="F341" s="106" t="str">
        <f t="shared" si="42"/>
        <v/>
      </c>
      <c r="G341" s="86"/>
      <c r="H341" s="107">
        <f t="shared" si="37"/>
        <v>0</v>
      </c>
      <c r="I341" s="107">
        <f t="shared" si="38"/>
        <v>0</v>
      </c>
      <c r="J341" s="87">
        <f>IF($D341&gt;0,IFERROR(Параметры!$D$42*$H341/$H$2408,0),0)</f>
        <v>0</v>
      </c>
      <c r="K341" s="87">
        <f>IFERROR(ROUND($N341*Параметры!$D$36,2),0)</f>
        <v>0</v>
      </c>
      <c r="L341" s="87">
        <f t="shared" si="39"/>
        <v>0</v>
      </c>
      <c r="M341" s="87">
        <f t="shared" si="40"/>
        <v>0</v>
      </c>
      <c r="N341" s="107" t="str">
        <f t="shared" si="41"/>
        <v/>
      </c>
    </row>
    <row r="342" spans="2:14" x14ac:dyDescent="0.25">
      <c r="B342" s="82">
        <f>SUBTOTAL(103,$D$8:D342)</f>
        <v>335</v>
      </c>
      <c r="C342" s="83" t="s">
        <v>350</v>
      </c>
      <c r="D342" s="84">
        <v>0</v>
      </c>
      <c r="E342" s="85" t="str">
        <f t="shared" si="36"/>
        <v/>
      </c>
      <c r="F342" s="106" t="str">
        <f t="shared" si="42"/>
        <v/>
      </c>
      <c r="G342" s="86"/>
      <c r="H342" s="107">
        <f t="shared" si="37"/>
        <v>0</v>
      </c>
      <c r="I342" s="107">
        <f t="shared" si="38"/>
        <v>0</v>
      </c>
      <c r="J342" s="87">
        <f>IF($D342&gt;0,IFERROR(Параметры!$D$42*$H342/$H$2408,0),0)</f>
        <v>0</v>
      </c>
      <c r="K342" s="87">
        <f>IFERROR(ROUND($N342*Параметры!$D$36,2),0)</f>
        <v>0</v>
      </c>
      <c r="L342" s="87">
        <f t="shared" si="39"/>
        <v>0</v>
      </c>
      <c r="M342" s="87">
        <f t="shared" si="40"/>
        <v>0</v>
      </c>
      <c r="N342" s="107" t="str">
        <f t="shared" si="41"/>
        <v/>
      </c>
    </row>
    <row r="343" spans="2:14" x14ac:dyDescent="0.25">
      <c r="B343" s="82">
        <f>SUBTOTAL(103,$D$8:D343)</f>
        <v>336</v>
      </c>
      <c r="C343" s="83" t="s">
        <v>351</v>
      </c>
      <c r="D343" s="84">
        <v>0</v>
      </c>
      <c r="E343" s="85" t="str">
        <f t="shared" si="36"/>
        <v/>
      </c>
      <c r="F343" s="106" t="str">
        <f t="shared" si="42"/>
        <v/>
      </c>
      <c r="G343" s="86"/>
      <c r="H343" s="107">
        <f t="shared" si="37"/>
        <v>0</v>
      </c>
      <c r="I343" s="107">
        <f t="shared" si="38"/>
        <v>0</v>
      </c>
      <c r="J343" s="87">
        <f>IF($D343&gt;0,IFERROR(Параметры!$D$42*$H343/$H$2408,0),0)</f>
        <v>0</v>
      </c>
      <c r="K343" s="87">
        <f>IFERROR(ROUND($N343*Параметры!$D$36,2),0)</f>
        <v>0</v>
      </c>
      <c r="L343" s="87">
        <f t="shared" si="39"/>
        <v>0</v>
      </c>
      <c r="M343" s="87">
        <f t="shared" si="40"/>
        <v>0</v>
      </c>
      <c r="N343" s="107" t="str">
        <f t="shared" si="41"/>
        <v/>
      </c>
    </row>
    <row r="344" spans="2:14" x14ac:dyDescent="0.25">
      <c r="B344" s="82">
        <f>SUBTOTAL(103,$D$8:D344)</f>
        <v>337</v>
      </c>
      <c r="C344" s="83" t="s">
        <v>352</v>
      </c>
      <c r="D344" s="84">
        <v>0</v>
      </c>
      <c r="E344" s="85" t="str">
        <f t="shared" si="36"/>
        <v/>
      </c>
      <c r="F344" s="106" t="str">
        <f t="shared" si="42"/>
        <v/>
      </c>
      <c r="G344" s="86"/>
      <c r="H344" s="107">
        <f t="shared" si="37"/>
        <v>0</v>
      </c>
      <c r="I344" s="107">
        <f t="shared" si="38"/>
        <v>0</v>
      </c>
      <c r="J344" s="87">
        <f>IF($D344&gt;0,IFERROR(Параметры!$D$42*$H344/$H$2408,0),0)</f>
        <v>0</v>
      </c>
      <c r="K344" s="87">
        <f>IFERROR(ROUND($N344*Параметры!$D$36,2),0)</f>
        <v>0</v>
      </c>
      <c r="L344" s="87">
        <f t="shared" si="39"/>
        <v>0</v>
      </c>
      <c r="M344" s="87">
        <f t="shared" si="40"/>
        <v>0</v>
      </c>
      <c r="N344" s="107" t="str">
        <f t="shared" si="41"/>
        <v/>
      </c>
    </row>
    <row r="345" spans="2:14" x14ac:dyDescent="0.25">
      <c r="B345" s="82">
        <f>SUBTOTAL(103,$D$8:D345)</f>
        <v>338</v>
      </c>
      <c r="C345" s="83" t="s">
        <v>353</v>
      </c>
      <c r="D345" s="84">
        <v>0</v>
      </c>
      <c r="E345" s="85" t="str">
        <f t="shared" si="36"/>
        <v/>
      </c>
      <c r="F345" s="106" t="str">
        <f t="shared" si="42"/>
        <v/>
      </c>
      <c r="G345" s="86"/>
      <c r="H345" s="107">
        <f t="shared" si="37"/>
        <v>0</v>
      </c>
      <c r="I345" s="107">
        <f t="shared" si="38"/>
        <v>0</v>
      </c>
      <c r="J345" s="87">
        <f>IF($D345&gt;0,IFERROR(Параметры!$D$42*$H345/$H$2408,0),0)</f>
        <v>0</v>
      </c>
      <c r="K345" s="87">
        <f>IFERROR(ROUND($N345*Параметры!$D$36,2),0)</f>
        <v>0</v>
      </c>
      <c r="L345" s="87">
        <f t="shared" si="39"/>
        <v>0</v>
      </c>
      <c r="M345" s="87">
        <f t="shared" si="40"/>
        <v>0</v>
      </c>
      <c r="N345" s="107" t="str">
        <f t="shared" si="41"/>
        <v/>
      </c>
    </row>
    <row r="346" spans="2:14" x14ac:dyDescent="0.25">
      <c r="B346" s="82">
        <f>SUBTOTAL(103,$D$8:D346)</f>
        <v>339</v>
      </c>
      <c r="C346" s="83" t="s">
        <v>354</v>
      </c>
      <c r="D346" s="84">
        <v>0</v>
      </c>
      <c r="E346" s="85" t="str">
        <f t="shared" si="36"/>
        <v/>
      </c>
      <c r="F346" s="106" t="str">
        <f t="shared" si="42"/>
        <v/>
      </c>
      <c r="G346" s="86"/>
      <c r="H346" s="107">
        <f t="shared" si="37"/>
        <v>0</v>
      </c>
      <c r="I346" s="107">
        <f t="shared" si="38"/>
        <v>0</v>
      </c>
      <c r="J346" s="87">
        <f>IF($D346&gt;0,IFERROR(Параметры!$D$42*$H346/$H$2408,0),0)</f>
        <v>0</v>
      </c>
      <c r="K346" s="87">
        <f>IFERROR(ROUND($N346*Параметры!$D$36,2),0)</f>
        <v>0</v>
      </c>
      <c r="L346" s="87">
        <f t="shared" si="39"/>
        <v>0</v>
      </c>
      <c r="M346" s="87">
        <f t="shared" si="40"/>
        <v>0</v>
      </c>
      <c r="N346" s="107" t="str">
        <f t="shared" si="41"/>
        <v/>
      </c>
    </row>
    <row r="347" spans="2:14" x14ac:dyDescent="0.25">
      <c r="B347" s="82">
        <f>SUBTOTAL(103,$D$8:D347)</f>
        <v>340</v>
      </c>
      <c r="C347" s="83" t="s">
        <v>355</v>
      </c>
      <c r="D347" s="84">
        <v>0</v>
      </c>
      <c r="E347" s="85" t="str">
        <f t="shared" si="36"/>
        <v/>
      </c>
      <c r="F347" s="106" t="str">
        <f t="shared" si="42"/>
        <v/>
      </c>
      <c r="G347" s="86"/>
      <c r="H347" s="107">
        <f t="shared" si="37"/>
        <v>0</v>
      </c>
      <c r="I347" s="107">
        <f t="shared" si="38"/>
        <v>0</v>
      </c>
      <c r="J347" s="87">
        <f>IF($D347&gt;0,IFERROR(Параметры!$D$42*$H347/$H$2408,0),0)</f>
        <v>0</v>
      </c>
      <c r="K347" s="87">
        <f>IFERROR(ROUND($N347*Параметры!$D$36,2),0)</f>
        <v>0</v>
      </c>
      <c r="L347" s="87">
        <f t="shared" si="39"/>
        <v>0</v>
      </c>
      <c r="M347" s="87">
        <f t="shared" si="40"/>
        <v>0</v>
      </c>
      <c r="N347" s="107" t="str">
        <f t="shared" si="41"/>
        <v/>
      </c>
    </row>
    <row r="348" spans="2:14" x14ac:dyDescent="0.25">
      <c r="B348" s="82">
        <f>SUBTOTAL(103,$D$8:D348)</f>
        <v>341</v>
      </c>
      <c r="C348" s="83" t="s">
        <v>356</v>
      </c>
      <c r="D348" s="84">
        <v>0</v>
      </c>
      <c r="E348" s="85" t="str">
        <f t="shared" si="36"/>
        <v/>
      </c>
      <c r="F348" s="106" t="str">
        <f t="shared" si="42"/>
        <v/>
      </c>
      <c r="G348" s="86"/>
      <c r="H348" s="107">
        <f t="shared" si="37"/>
        <v>0</v>
      </c>
      <c r="I348" s="107">
        <f t="shared" si="38"/>
        <v>0</v>
      </c>
      <c r="J348" s="87">
        <f>IF($D348&gt;0,IFERROR(Параметры!$D$42*$H348/$H$2408,0),0)</f>
        <v>0</v>
      </c>
      <c r="K348" s="87">
        <f>IFERROR(ROUND($N348*Параметры!$D$36,2),0)</f>
        <v>0</v>
      </c>
      <c r="L348" s="87">
        <f t="shared" si="39"/>
        <v>0</v>
      </c>
      <c r="M348" s="87">
        <f t="shared" si="40"/>
        <v>0</v>
      </c>
      <c r="N348" s="107" t="str">
        <f t="shared" si="41"/>
        <v/>
      </c>
    </row>
    <row r="349" spans="2:14" x14ac:dyDescent="0.25">
      <c r="B349" s="82">
        <f>SUBTOTAL(103,$D$8:D349)</f>
        <v>342</v>
      </c>
      <c r="C349" s="83" t="s">
        <v>357</v>
      </c>
      <c r="D349" s="84">
        <v>0</v>
      </c>
      <c r="E349" s="85" t="str">
        <f t="shared" si="36"/>
        <v/>
      </c>
      <c r="F349" s="106" t="str">
        <f t="shared" si="42"/>
        <v/>
      </c>
      <c r="G349" s="86"/>
      <c r="H349" s="107">
        <f t="shared" si="37"/>
        <v>0</v>
      </c>
      <c r="I349" s="107">
        <f t="shared" si="38"/>
        <v>0</v>
      </c>
      <c r="J349" s="87">
        <f>IF($D349&gt;0,IFERROR(Параметры!$D$42*$H349/$H$2408,0),0)</f>
        <v>0</v>
      </c>
      <c r="K349" s="87">
        <f>IFERROR(ROUND($N349*Параметры!$D$36,2),0)</f>
        <v>0</v>
      </c>
      <c r="L349" s="87">
        <f t="shared" si="39"/>
        <v>0</v>
      </c>
      <c r="M349" s="87">
        <f t="shared" si="40"/>
        <v>0</v>
      </c>
      <c r="N349" s="107" t="str">
        <f t="shared" si="41"/>
        <v/>
      </c>
    </row>
    <row r="350" spans="2:14" x14ac:dyDescent="0.25">
      <c r="B350" s="82">
        <f>SUBTOTAL(103,$D$8:D350)</f>
        <v>343</v>
      </c>
      <c r="C350" s="83" t="s">
        <v>358</v>
      </c>
      <c r="D350" s="84">
        <v>0</v>
      </c>
      <c r="E350" s="85" t="str">
        <f t="shared" si="36"/>
        <v/>
      </c>
      <c r="F350" s="106" t="str">
        <f t="shared" si="42"/>
        <v/>
      </c>
      <c r="G350" s="86"/>
      <c r="H350" s="107">
        <f t="shared" si="37"/>
        <v>0</v>
      </c>
      <c r="I350" s="107">
        <f t="shared" si="38"/>
        <v>0</v>
      </c>
      <c r="J350" s="87">
        <f>IF($D350&gt;0,IFERROR(Параметры!$D$42*$H350/$H$2408,0),0)</f>
        <v>0</v>
      </c>
      <c r="K350" s="87">
        <f>IFERROR(ROUND($N350*Параметры!$D$36,2),0)</f>
        <v>0</v>
      </c>
      <c r="L350" s="87">
        <f t="shared" si="39"/>
        <v>0</v>
      </c>
      <c r="M350" s="87">
        <f t="shared" si="40"/>
        <v>0</v>
      </c>
      <c r="N350" s="107" t="str">
        <f t="shared" si="41"/>
        <v/>
      </c>
    </row>
    <row r="351" spans="2:14" x14ac:dyDescent="0.25">
      <c r="B351" s="82">
        <f>SUBTOTAL(103,$D$8:D351)</f>
        <v>344</v>
      </c>
      <c r="C351" s="83" t="s">
        <v>359</v>
      </c>
      <c r="D351" s="84">
        <v>0</v>
      </c>
      <c r="E351" s="85" t="str">
        <f t="shared" si="36"/>
        <v/>
      </c>
      <c r="F351" s="106" t="str">
        <f t="shared" si="42"/>
        <v/>
      </c>
      <c r="G351" s="86"/>
      <c r="H351" s="107">
        <f t="shared" si="37"/>
        <v>0</v>
      </c>
      <c r="I351" s="107">
        <f t="shared" si="38"/>
        <v>0</v>
      </c>
      <c r="J351" s="87">
        <f>IF($D351&gt;0,IFERROR(Параметры!$D$42*$H351/$H$2408,0),0)</f>
        <v>0</v>
      </c>
      <c r="K351" s="87">
        <f>IFERROR(ROUND($N351*Параметры!$D$36,2),0)</f>
        <v>0</v>
      </c>
      <c r="L351" s="87">
        <f t="shared" si="39"/>
        <v>0</v>
      </c>
      <c r="M351" s="87">
        <f t="shared" si="40"/>
        <v>0</v>
      </c>
      <c r="N351" s="107" t="str">
        <f t="shared" si="41"/>
        <v/>
      </c>
    </row>
    <row r="352" spans="2:14" x14ac:dyDescent="0.25">
      <c r="B352" s="82">
        <f>SUBTOTAL(103,$D$8:D352)</f>
        <v>345</v>
      </c>
      <c r="C352" s="83" t="s">
        <v>360</v>
      </c>
      <c r="D352" s="84">
        <v>0</v>
      </c>
      <c r="E352" s="85" t="str">
        <f t="shared" si="36"/>
        <v/>
      </c>
      <c r="F352" s="106" t="str">
        <f t="shared" si="42"/>
        <v/>
      </c>
      <c r="G352" s="86"/>
      <c r="H352" s="107">
        <f t="shared" si="37"/>
        <v>0</v>
      </c>
      <c r="I352" s="107">
        <f t="shared" si="38"/>
        <v>0</v>
      </c>
      <c r="J352" s="87">
        <f>IF($D352&gt;0,IFERROR(Параметры!$D$42*$H352/$H$2408,0),0)</f>
        <v>0</v>
      </c>
      <c r="K352" s="87">
        <f>IFERROR(ROUND($N352*Параметры!$D$36,2),0)</f>
        <v>0</v>
      </c>
      <c r="L352" s="87">
        <f t="shared" si="39"/>
        <v>0</v>
      </c>
      <c r="M352" s="87">
        <f t="shared" si="40"/>
        <v>0</v>
      </c>
      <c r="N352" s="107" t="str">
        <f t="shared" si="41"/>
        <v/>
      </c>
    </row>
    <row r="353" spans="2:14" x14ac:dyDescent="0.25">
      <c r="B353" s="82">
        <f>SUBTOTAL(103,$D$8:D353)</f>
        <v>346</v>
      </c>
      <c r="C353" s="83" t="s">
        <v>361</v>
      </c>
      <c r="D353" s="84">
        <v>0</v>
      </c>
      <c r="E353" s="85" t="str">
        <f t="shared" si="36"/>
        <v/>
      </c>
      <c r="F353" s="106" t="str">
        <f t="shared" si="42"/>
        <v/>
      </c>
      <c r="G353" s="86"/>
      <c r="H353" s="107">
        <f t="shared" si="37"/>
        <v>0</v>
      </c>
      <c r="I353" s="107">
        <f t="shared" si="38"/>
        <v>0</v>
      </c>
      <c r="J353" s="87">
        <f>IF($D353&gt;0,IFERROR(Параметры!$D$42*$H353/$H$2408,0),0)</f>
        <v>0</v>
      </c>
      <c r="K353" s="87">
        <f>IFERROR(ROUND($N353*Параметры!$D$36,2),0)</f>
        <v>0</v>
      </c>
      <c r="L353" s="87">
        <f t="shared" si="39"/>
        <v>0</v>
      </c>
      <c r="M353" s="87">
        <f t="shared" si="40"/>
        <v>0</v>
      </c>
      <c r="N353" s="107" t="str">
        <f t="shared" si="41"/>
        <v/>
      </c>
    </row>
    <row r="354" spans="2:14" x14ac:dyDescent="0.25">
      <c r="B354" s="82">
        <f>SUBTOTAL(103,$D$8:D354)</f>
        <v>347</v>
      </c>
      <c r="C354" s="83" t="s">
        <v>362</v>
      </c>
      <c r="D354" s="84">
        <v>0</v>
      </c>
      <c r="E354" s="85" t="str">
        <f t="shared" si="36"/>
        <v/>
      </c>
      <c r="F354" s="106" t="str">
        <f t="shared" si="42"/>
        <v/>
      </c>
      <c r="G354" s="86"/>
      <c r="H354" s="107">
        <f t="shared" si="37"/>
        <v>0</v>
      </c>
      <c r="I354" s="107">
        <f t="shared" si="38"/>
        <v>0</v>
      </c>
      <c r="J354" s="87">
        <f>IF($D354&gt;0,IFERROR(Параметры!$D$42*$H354/$H$2408,0),0)</f>
        <v>0</v>
      </c>
      <c r="K354" s="87">
        <f>IFERROR(ROUND($N354*Параметры!$D$36,2),0)</f>
        <v>0</v>
      </c>
      <c r="L354" s="87">
        <f t="shared" si="39"/>
        <v>0</v>
      </c>
      <c r="M354" s="87">
        <f t="shared" si="40"/>
        <v>0</v>
      </c>
      <c r="N354" s="107" t="str">
        <f t="shared" si="41"/>
        <v/>
      </c>
    </row>
    <row r="355" spans="2:14" x14ac:dyDescent="0.25">
      <c r="B355" s="82">
        <f>SUBTOTAL(103,$D$8:D355)</f>
        <v>348</v>
      </c>
      <c r="C355" s="83" t="s">
        <v>363</v>
      </c>
      <c r="D355" s="84">
        <v>0</v>
      </c>
      <c r="E355" s="85" t="str">
        <f t="shared" si="36"/>
        <v/>
      </c>
      <c r="F355" s="106" t="str">
        <f t="shared" si="42"/>
        <v/>
      </c>
      <c r="G355" s="86"/>
      <c r="H355" s="107">
        <f t="shared" si="37"/>
        <v>0</v>
      </c>
      <c r="I355" s="107">
        <f t="shared" si="38"/>
        <v>0</v>
      </c>
      <c r="J355" s="87">
        <f>IF($D355&gt;0,IFERROR(Параметры!$D$42*$H355/$H$2408,0),0)</f>
        <v>0</v>
      </c>
      <c r="K355" s="87">
        <f>IFERROR(ROUND($N355*Параметры!$D$36,2),0)</f>
        <v>0</v>
      </c>
      <c r="L355" s="87">
        <f t="shared" si="39"/>
        <v>0</v>
      </c>
      <c r="M355" s="87">
        <f t="shared" si="40"/>
        <v>0</v>
      </c>
      <c r="N355" s="107" t="str">
        <f t="shared" si="41"/>
        <v/>
      </c>
    </row>
    <row r="356" spans="2:14" x14ac:dyDescent="0.25">
      <c r="B356" s="82">
        <f>SUBTOTAL(103,$D$8:D356)</f>
        <v>349</v>
      </c>
      <c r="C356" s="83" t="s">
        <v>364</v>
      </c>
      <c r="D356" s="84">
        <v>0</v>
      </c>
      <c r="E356" s="85" t="str">
        <f t="shared" si="36"/>
        <v/>
      </c>
      <c r="F356" s="106" t="str">
        <f t="shared" si="42"/>
        <v/>
      </c>
      <c r="G356" s="86"/>
      <c r="H356" s="107">
        <f t="shared" si="37"/>
        <v>0</v>
      </c>
      <c r="I356" s="107">
        <f t="shared" si="38"/>
        <v>0</v>
      </c>
      <c r="J356" s="87">
        <f>IF($D356&gt;0,IFERROR(Параметры!$D$42*$H356/$H$2408,0),0)</f>
        <v>0</v>
      </c>
      <c r="K356" s="87">
        <f>IFERROR(ROUND($N356*Параметры!$D$36,2),0)</f>
        <v>0</v>
      </c>
      <c r="L356" s="87">
        <f t="shared" si="39"/>
        <v>0</v>
      </c>
      <c r="M356" s="87">
        <f t="shared" si="40"/>
        <v>0</v>
      </c>
      <c r="N356" s="107" t="str">
        <f t="shared" si="41"/>
        <v/>
      </c>
    </row>
    <row r="357" spans="2:14" x14ac:dyDescent="0.25">
      <c r="B357" s="82">
        <f>SUBTOTAL(103,$D$8:D357)</f>
        <v>350</v>
      </c>
      <c r="C357" s="83" t="s">
        <v>365</v>
      </c>
      <c r="D357" s="84">
        <v>0</v>
      </c>
      <c r="E357" s="85" t="str">
        <f t="shared" si="36"/>
        <v/>
      </c>
      <c r="F357" s="106" t="str">
        <f t="shared" si="42"/>
        <v/>
      </c>
      <c r="G357" s="86"/>
      <c r="H357" s="107">
        <f t="shared" si="37"/>
        <v>0</v>
      </c>
      <c r="I357" s="107">
        <f t="shared" si="38"/>
        <v>0</v>
      </c>
      <c r="J357" s="87">
        <f>IF($D357&gt;0,IFERROR(Параметры!$D$42*$H357/$H$2408,0),0)</f>
        <v>0</v>
      </c>
      <c r="K357" s="87">
        <f>IFERROR(ROUND($N357*Параметры!$D$36,2),0)</f>
        <v>0</v>
      </c>
      <c r="L357" s="87">
        <f t="shared" si="39"/>
        <v>0</v>
      </c>
      <c r="M357" s="87">
        <f t="shared" si="40"/>
        <v>0</v>
      </c>
      <c r="N357" s="107" t="str">
        <f t="shared" si="41"/>
        <v/>
      </c>
    </row>
    <row r="358" spans="2:14" x14ac:dyDescent="0.25">
      <c r="B358" s="82">
        <f>SUBTOTAL(103,$D$8:D358)</f>
        <v>351</v>
      </c>
      <c r="C358" s="83" t="s">
        <v>366</v>
      </c>
      <c r="D358" s="84">
        <v>0</v>
      </c>
      <c r="E358" s="85" t="str">
        <f t="shared" si="36"/>
        <v/>
      </c>
      <c r="F358" s="106" t="str">
        <f t="shared" si="42"/>
        <v/>
      </c>
      <c r="G358" s="86"/>
      <c r="H358" s="107">
        <f t="shared" si="37"/>
        <v>0</v>
      </c>
      <c r="I358" s="107">
        <f t="shared" si="38"/>
        <v>0</v>
      </c>
      <c r="J358" s="87">
        <f>IF($D358&gt;0,IFERROR(Параметры!$D$42*$H358/$H$2408,0),0)</f>
        <v>0</v>
      </c>
      <c r="K358" s="87">
        <f>IFERROR(ROUND($N358*Параметры!$D$36,2),0)</f>
        <v>0</v>
      </c>
      <c r="L358" s="87">
        <f t="shared" si="39"/>
        <v>0</v>
      </c>
      <c r="M358" s="87">
        <f t="shared" si="40"/>
        <v>0</v>
      </c>
      <c r="N358" s="107" t="str">
        <f t="shared" si="41"/>
        <v/>
      </c>
    </row>
    <row r="359" spans="2:14" x14ac:dyDescent="0.25">
      <c r="B359" s="82">
        <f>SUBTOTAL(103,$D$8:D359)</f>
        <v>352</v>
      </c>
      <c r="C359" s="83" t="s">
        <v>367</v>
      </c>
      <c r="D359" s="84">
        <v>0</v>
      </c>
      <c r="E359" s="85" t="str">
        <f t="shared" si="36"/>
        <v/>
      </c>
      <c r="F359" s="106" t="str">
        <f t="shared" si="42"/>
        <v/>
      </c>
      <c r="G359" s="86"/>
      <c r="H359" s="107">
        <f t="shared" si="37"/>
        <v>0</v>
      </c>
      <c r="I359" s="107">
        <f t="shared" si="38"/>
        <v>0</v>
      </c>
      <c r="J359" s="87">
        <f>IF($D359&gt;0,IFERROR(Параметры!$D$42*$H359/$H$2408,0),0)</f>
        <v>0</v>
      </c>
      <c r="K359" s="87">
        <f>IFERROR(ROUND($N359*Параметры!$D$36,2),0)</f>
        <v>0</v>
      </c>
      <c r="L359" s="87">
        <f t="shared" si="39"/>
        <v>0</v>
      </c>
      <c r="M359" s="87">
        <f t="shared" si="40"/>
        <v>0</v>
      </c>
      <c r="N359" s="107" t="str">
        <f t="shared" si="41"/>
        <v/>
      </c>
    </row>
    <row r="360" spans="2:14" x14ac:dyDescent="0.25">
      <c r="B360" s="82">
        <f>SUBTOTAL(103,$D$8:D360)</f>
        <v>353</v>
      </c>
      <c r="C360" s="83" t="s">
        <v>368</v>
      </c>
      <c r="D360" s="84">
        <v>0</v>
      </c>
      <c r="E360" s="85" t="str">
        <f t="shared" si="36"/>
        <v/>
      </c>
      <c r="F360" s="106" t="str">
        <f t="shared" si="42"/>
        <v/>
      </c>
      <c r="G360" s="86"/>
      <c r="H360" s="107">
        <f t="shared" si="37"/>
        <v>0</v>
      </c>
      <c r="I360" s="107">
        <f t="shared" si="38"/>
        <v>0</v>
      </c>
      <c r="J360" s="87">
        <f>IF($D360&gt;0,IFERROR(Параметры!$D$42*$H360/$H$2408,0),0)</f>
        <v>0</v>
      </c>
      <c r="K360" s="87">
        <f>IFERROR(ROUND($N360*Параметры!$D$36,2),0)</f>
        <v>0</v>
      </c>
      <c r="L360" s="87">
        <f t="shared" si="39"/>
        <v>0</v>
      </c>
      <c r="M360" s="87">
        <f t="shared" si="40"/>
        <v>0</v>
      </c>
      <c r="N360" s="107" t="str">
        <f t="shared" si="41"/>
        <v/>
      </c>
    </row>
    <row r="361" spans="2:14" x14ac:dyDescent="0.25">
      <c r="B361" s="82">
        <f>SUBTOTAL(103,$D$8:D361)</f>
        <v>354</v>
      </c>
      <c r="C361" s="83" t="s">
        <v>369</v>
      </c>
      <c r="D361" s="84">
        <v>0</v>
      </c>
      <c r="E361" s="85" t="str">
        <f t="shared" si="36"/>
        <v/>
      </c>
      <c r="F361" s="106" t="str">
        <f t="shared" si="42"/>
        <v/>
      </c>
      <c r="G361" s="86"/>
      <c r="H361" s="107">
        <f t="shared" si="37"/>
        <v>0</v>
      </c>
      <c r="I361" s="107">
        <f t="shared" si="38"/>
        <v>0</v>
      </c>
      <c r="J361" s="87">
        <f>IF($D361&gt;0,IFERROR(Параметры!$D$42*$H361/$H$2408,0),0)</f>
        <v>0</v>
      </c>
      <c r="K361" s="87">
        <f>IFERROR(ROUND($N361*Параметры!$D$36,2),0)</f>
        <v>0</v>
      </c>
      <c r="L361" s="87">
        <f t="shared" si="39"/>
        <v>0</v>
      </c>
      <c r="M361" s="87">
        <f t="shared" si="40"/>
        <v>0</v>
      </c>
      <c r="N361" s="107" t="str">
        <f t="shared" si="41"/>
        <v/>
      </c>
    </row>
    <row r="362" spans="2:14" x14ac:dyDescent="0.25">
      <c r="B362" s="82">
        <f>SUBTOTAL(103,$D$8:D362)</f>
        <v>355</v>
      </c>
      <c r="C362" s="83" t="s">
        <v>370</v>
      </c>
      <c r="D362" s="84">
        <v>0</v>
      </c>
      <c r="E362" s="85" t="str">
        <f t="shared" si="36"/>
        <v/>
      </c>
      <c r="F362" s="106" t="str">
        <f t="shared" si="42"/>
        <v/>
      </c>
      <c r="G362" s="86"/>
      <c r="H362" s="107">
        <f t="shared" si="37"/>
        <v>0</v>
      </c>
      <c r="I362" s="107">
        <f t="shared" si="38"/>
        <v>0</v>
      </c>
      <c r="J362" s="87">
        <f>IF($D362&gt;0,IFERROR(Параметры!$D$42*$H362/$H$2408,0),0)</f>
        <v>0</v>
      </c>
      <c r="K362" s="87">
        <f>IFERROR(ROUND($N362*Параметры!$D$36,2),0)</f>
        <v>0</v>
      </c>
      <c r="L362" s="87">
        <f t="shared" si="39"/>
        <v>0</v>
      </c>
      <c r="M362" s="87">
        <f t="shared" si="40"/>
        <v>0</v>
      </c>
      <c r="N362" s="107" t="str">
        <f t="shared" si="41"/>
        <v/>
      </c>
    </row>
    <row r="363" spans="2:14" x14ac:dyDescent="0.25">
      <c r="B363" s="82">
        <f>SUBTOTAL(103,$D$8:D363)</f>
        <v>356</v>
      </c>
      <c r="C363" s="83" t="s">
        <v>371</v>
      </c>
      <c r="D363" s="84">
        <v>0</v>
      </c>
      <c r="E363" s="85" t="str">
        <f t="shared" si="36"/>
        <v/>
      </c>
      <c r="F363" s="106" t="str">
        <f t="shared" si="42"/>
        <v/>
      </c>
      <c r="G363" s="86"/>
      <c r="H363" s="107">
        <f t="shared" si="37"/>
        <v>0</v>
      </c>
      <c r="I363" s="107">
        <f t="shared" si="38"/>
        <v>0</v>
      </c>
      <c r="J363" s="87">
        <f>IF($D363&gt;0,IFERROR(Параметры!$D$42*$H363/$H$2408,0),0)</f>
        <v>0</v>
      </c>
      <c r="K363" s="87">
        <f>IFERROR(ROUND($N363*Параметры!$D$36,2),0)</f>
        <v>0</v>
      </c>
      <c r="L363" s="87">
        <f t="shared" si="39"/>
        <v>0</v>
      </c>
      <c r="M363" s="87">
        <f t="shared" si="40"/>
        <v>0</v>
      </c>
      <c r="N363" s="107" t="str">
        <f t="shared" si="41"/>
        <v/>
      </c>
    </row>
    <row r="364" spans="2:14" x14ac:dyDescent="0.25">
      <c r="B364" s="82">
        <f>SUBTOTAL(103,$D$8:D364)</f>
        <v>357</v>
      </c>
      <c r="C364" s="83" t="s">
        <v>372</v>
      </c>
      <c r="D364" s="84">
        <v>0</v>
      </c>
      <c r="E364" s="85" t="str">
        <f t="shared" si="36"/>
        <v/>
      </c>
      <c r="F364" s="106" t="str">
        <f t="shared" si="42"/>
        <v/>
      </c>
      <c r="G364" s="86"/>
      <c r="H364" s="107">
        <f t="shared" si="37"/>
        <v>0</v>
      </c>
      <c r="I364" s="107">
        <f t="shared" si="38"/>
        <v>0</v>
      </c>
      <c r="J364" s="87">
        <f>IF($D364&gt;0,IFERROR(Параметры!$D$42*$H364/$H$2408,0),0)</f>
        <v>0</v>
      </c>
      <c r="K364" s="87">
        <f>IFERROR(ROUND($N364*Параметры!$D$36,2),0)</f>
        <v>0</v>
      </c>
      <c r="L364" s="87">
        <f t="shared" si="39"/>
        <v>0</v>
      </c>
      <c r="M364" s="87">
        <f t="shared" si="40"/>
        <v>0</v>
      </c>
      <c r="N364" s="107" t="str">
        <f t="shared" si="41"/>
        <v/>
      </c>
    </row>
    <row r="365" spans="2:14" x14ac:dyDescent="0.25">
      <c r="B365" s="82">
        <f>SUBTOTAL(103,$D$8:D365)</f>
        <v>358</v>
      </c>
      <c r="C365" s="83" t="s">
        <v>373</v>
      </c>
      <c r="D365" s="84">
        <v>0</v>
      </c>
      <c r="E365" s="85" t="str">
        <f t="shared" si="36"/>
        <v/>
      </c>
      <c r="F365" s="106" t="str">
        <f t="shared" si="42"/>
        <v/>
      </c>
      <c r="G365" s="86"/>
      <c r="H365" s="107">
        <f t="shared" si="37"/>
        <v>0</v>
      </c>
      <c r="I365" s="107">
        <f t="shared" si="38"/>
        <v>0</v>
      </c>
      <c r="J365" s="87">
        <f>IF($D365&gt;0,IFERROR(Параметры!$D$42*$H365/$H$2408,0),0)</f>
        <v>0</v>
      </c>
      <c r="K365" s="87">
        <f>IFERROR(ROUND($N365*Параметры!$D$36,2),0)</f>
        <v>0</v>
      </c>
      <c r="L365" s="87">
        <f t="shared" si="39"/>
        <v>0</v>
      </c>
      <c r="M365" s="87">
        <f t="shared" si="40"/>
        <v>0</v>
      </c>
      <c r="N365" s="107" t="str">
        <f t="shared" si="41"/>
        <v/>
      </c>
    </row>
    <row r="366" spans="2:14" x14ac:dyDescent="0.25">
      <c r="B366" s="82">
        <f>SUBTOTAL(103,$D$8:D366)</f>
        <v>359</v>
      </c>
      <c r="C366" s="83" t="s">
        <v>374</v>
      </c>
      <c r="D366" s="84">
        <v>0</v>
      </c>
      <c r="E366" s="85" t="str">
        <f t="shared" si="36"/>
        <v/>
      </c>
      <c r="F366" s="106" t="str">
        <f t="shared" si="42"/>
        <v/>
      </c>
      <c r="G366" s="86"/>
      <c r="H366" s="107">
        <f t="shared" si="37"/>
        <v>0</v>
      </c>
      <c r="I366" s="107">
        <f t="shared" si="38"/>
        <v>0</v>
      </c>
      <c r="J366" s="87">
        <f>IF($D366&gt;0,IFERROR(Параметры!$D$42*$H366/$H$2408,0),0)</f>
        <v>0</v>
      </c>
      <c r="K366" s="87">
        <f>IFERROR(ROUND($N366*Параметры!$D$36,2),0)</f>
        <v>0</v>
      </c>
      <c r="L366" s="87">
        <f t="shared" si="39"/>
        <v>0</v>
      </c>
      <c r="M366" s="87">
        <f t="shared" si="40"/>
        <v>0</v>
      </c>
      <c r="N366" s="107" t="str">
        <f t="shared" si="41"/>
        <v/>
      </c>
    </row>
    <row r="367" spans="2:14" x14ac:dyDescent="0.25">
      <c r="B367" s="82">
        <f>SUBTOTAL(103,$D$8:D367)</f>
        <v>360</v>
      </c>
      <c r="C367" s="83" t="s">
        <v>375</v>
      </c>
      <c r="D367" s="84">
        <v>0</v>
      </c>
      <c r="E367" s="85" t="str">
        <f t="shared" si="36"/>
        <v/>
      </c>
      <c r="F367" s="106" t="str">
        <f t="shared" si="42"/>
        <v/>
      </c>
      <c r="G367" s="86"/>
      <c r="H367" s="107">
        <f t="shared" si="37"/>
        <v>0</v>
      </c>
      <c r="I367" s="107">
        <f t="shared" si="38"/>
        <v>0</v>
      </c>
      <c r="J367" s="87">
        <f>IF($D367&gt;0,IFERROR(Параметры!$D$42*$H367/$H$2408,0),0)</f>
        <v>0</v>
      </c>
      <c r="K367" s="87">
        <f>IFERROR(ROUND($N367*Параметры!$D$36,2),0)</f>
        <v>0</v>
      </c>
      <c r="L367" s="87">
        <f t="shared" si="39"/>
        <v>0</v>
      </c>
      <c r="M367" s="87">
        <f t="shared" si="40"/>
        <v>0</v>
      </c>
      <c r="N367" s="107" t="str">
        <f t="shared" si="41"/>
        <v/>
      </c>
    </row>
    <row r="368" spans="2:14" x14ac:dyDescent="0.25">
      <c r="B368" s="82">
        <f>SUBTOTAL(103,$D$8:D368)</f>
        <v>361</v>
      </c>
      <c r="C368" s="83" t="s">
        <v>376</v>
      </c>
      <c r="D368" s="84">
        <f t="array" ref="D368:D427">TRANSPOSE('Зарядная карта'!$C$11:$BJ$11)</f>
        <v>4</v>
      </c>
      <c r="E368" s="85">
        <f t="shared" si="36"/>
        <v>62.814700000000002</v>
      </c>
      <c r="F368" s="106">
        <f t="shared" si="42"/>
        <v>2</v>
      </c>
      <c r="G368" s="86"/>
      <c r="H368" s="107">
        <f t="shared" si="37"/>
        <v>3.44</v>
      </c>
      <c r="I368" s="107">
        <f t="shared" si="38"/>
        <v>0.56000000000000005</v>
      </c>
      <c r="J368" s="87">
        <f>IF($D368&gt;0,IFERROR(Параметры!$D$42*$H368/$H$2408,0),0)</f>
        <v>60.103959390862947</v>
      </c>
      <c r="K368" s="87">
        <f>IFERROR(ROUND($N368*Параметры!$D$36,2),0)</f>
        <v>59.54</v>
      </c>
      <c r="L368" s="87">
        <f t="shared" si="39"/>
        <v>3.2747000000000002</v>
      </c>
      <c r="M368" s="87">
        <f t="shared" si="40"/>
        <v>3.8420790191534921</v>
      </c>
      <c r="N368" s="107">
        <f t="shared" si="41"/>
        <v>2</v>
      </c>
    </row>
    <row r="369" spans="2:14" x14ac:dyDescent="0.25">
      <c r="B369" s="82">
        <f>SUBTOTAL(103,$D$8:D369)</f>
        <v>362</v>
      </c>
      <c r="C369" s="83" t="s">
        <v>377</v>
      </c>
      <c r="D369" s="84">
        <v>8</v>
      </c>
      <c r="E369" s="85">
        <f t="shared" si="36"/>
        <v>188.44409999999999</v>
      </c>
      <c r="F369" s="106">
        <f t="shared" si="42"/>
        <v>2</v>
      </c>
      <c r="G369" s="86"/>
      <c r="H369" s="107">
        <f t="shared" si="37"/>
        <v>6.88</v>
      </c>
      <c r="I369" s="107">
        <f t="shared" si="38"/>
        <v>1.1200000000000001</v>
      </c>
      <c r="J369" s="87">
        <f>IF($D369&gt;0,IFERROR(Параметры!$D$42*$H369/$H$2408,0),0)</f>
        <v>120.20791878172589</v>
      </c>
      <c r="K369" s="87">
        <f>IFERROR(ROUND($N369*Параметры!$D$36,2),0)</f>
        <v>178.62</v>
      </c>
      <c r="L369" s="87">
        <f t="shared" si="39"/>
        <v>9.8240999999999996</v>
      </c>
      <c r="M369" s="87">
        <f t="shared" si="40"/>
        <v>11.526237057460476</v>
      </c>
      <c r="N369" s="107">
        <f t="shared" si="41"/>
        <v>6</v>
      </c>
    </row>
    <row r="370" spans="2:14" x14ac:dyDescent="0.25">
      <c r="B370" s="82">
        <f>SUBTOTAL(103,$D$8:D370)</f>
        <v>363</v>
      </c>
      <c r="C370" s="83" t="s">
        <v>378</v>
      </c>
      <c r="D370" s="84">
        <v>8</v>
      </c>
      <c r="E370" s="85">
        <f t="shared" si="36"/>
        <v>188.44409999999999</v>
      </c>
      <c r="F370" s="106">
        <f t="shared" si="42"/>
        <v>2</v>
      </c>
      <c r="G370" s="86"/>
      <c r="H370" s="107">
        <f t="shared" si="37"/>
        <v>6.88</v>
      </c>
      <c r="I370" s="107">
        <f t="shared" si="38"/>
        <v>1.1200000000000001</v>
      </c>
      <c r="J370" s="87">
        <f>IF($D370&gt;0,IFERROR(Параметры!$D$42*$H370/$H$2408,0),0)</f>
        <v>120.20791878172589</v>
      </c>
      <c r="K370" s="87">
        <f>IFERROR(ROUND($N370*Параметры!$D$36,2),0)</f>
        <v>178.62</v>
      </c>
      <c r="L370" s="87">
        <f t="shared" si="39"/>
        <v>9.8240999999999996</v>
      </c>
      <c r="M370" s="87">
        <f t="shared" si="40"/>
        <v>11.526237057460476</v>
      </c>
      <c r="N370" s="107">
        <f t="shared" si="41"/>
        <v>6</v>
      </c>
    </row>
    <row r="371" spans="2:14" x14ac:dyDescent="0.25">
      <c r="B371" s="82">
        <f>SUBTOTAL(103,$D$8:D371)</f>
        <v>364</v>
      </c>
      <c r="C371" s="83" t="s">
        <v>379</v>
      </c>
      <c r="D371" s="84">
        <v>8</v>
      </c>
      <c r="E371" s="85">
        <f t="shared" si="36"/>
        <v>188.44409999999999</v>
      </c>
      <c r="F371" s="106">
        <f t="shared" si="42"/>
        <v>2</v>
      </c>
      <c r="G371" s="86"/>
      <c r="H371" s="107">
        <f t="shared" si="37"/>
        <v>6.88</v>
      </c>
      <c r="I371" s="107">
        <f t="shared" si="38"/>
        <v>1.1200000000000001</v>
      </c>
      <c r="J371" s="87">
        <f>IF($D371&gt;0,IFERROR(Параметры!$D$42*$H371/$H$2408,0),0)</f>
        <v>120.20791878172589</v>
      </c>
      <c r="K371" s="87">
        <f>IFERROR(ROUND($N371*Параметры!$D$36,2),0)</f>
        <v>178.62</v>
      </c>
      <c r="L371" s="87">
        <f t="shared" si="39"/>
        <v>9.8240999999999996</v>
      </c>
      <c r="M371" s="87">
        <f t="shared" si="40"/>
        <v>11.526237057460476</v>
      </c>
      <c r="N371" s="107">
        <f t="shared" si="41"/>
        <v>6</v>
      </c>
    </row>
    <row r="372" spans="2:14" x14ac:dyDescent="0.25">
      <c r="B372" s="82">
        <f>SUBTOTAL(103,$D$8:D372)</f>
        <v>365</v>
      </c>
      <c r="C372" s="83" t="s">
        <v>380</v>
      </c>
      <c r="D372" s="84">
        <v>8</v>
      </c>
      <c r="E372" s="85">
        <f t="shared" si="36"/>
        <v>188.44409999999999</v>
      </c>
      <c r="F372" s="106">
        <f t="shared" si="42"/>
        <v>2</v>
      </c>
      <c r="G372" s="86"/>
      <c r="H372" s="107">
        <f t="shared" si="37"/>
        <v>6.88</v>
      </c>
      <c r="I372" s="107">
        <f t="shared" si="38"/>
        <v>1.1200000000000001</v>
      </c>
      <c r="J372" s="87">
        <f>IF($D372&gt;0,IFERROR(Параметры!$D$42*$H372/$H$2408,0),0)</f>
        <v>120.20791878172589</v>
      </c>
      <c r="K372" s="87">
        <f>IFERROR(ROUND($N372*Параметры!$D$36,2),0)</f>
        <v>178.62</v>
      </c>
      <c r="L372" s="87">
        <f t="shared" si="39"/>
        <v>9.8240999999999996</v>
      </c>
      <c r="M372" s="87">
        <f t="shared" si="40"/>
        <v>11.526237057460476</v>
      </c>
      <c r="N372" s="107">
        <f t="shared" si="41"/>
        <v>6</v>
      </c>
    </row>
    <row r="373" spans="2:14" x14ac:dyDescent="0.25">
      <c r="B373" s="82">
        <f>SUBTOTAL(103,$D$8:D373)</f>
        <v>366</v>
      </c>
      <c r="C373" s="83" t="s">
        <v>381</v>
      </c>
      <c r="D373" s="84">
        <v>8</v>
      </c>
      <c r="E373" s="85">
        <f t="shared" si="36"/>
        <v>188.44409999999999</v>
      </c>
      <c r="F373" s="106">
        <f t="shared" si="42"/>
        <v>2</v>
      </c>
      <c r="G373" s="86"/>
      <c r="H373" s="107">
        <f t="shared" si="37"/>
        <v>6.88</v>
      </c>
      <c r="I373" s="107">
        <f t="shared" si="38"/>
        <v>1.1200000000000001</v>
      </c>
      <c r="J373" s="87">
        <f>IF($D373&gt;0,IFERROR(Параметры!$D$42*$H373/$H$2408,0),0)</f>
        <v>120.20791878172589</v>
      </c>
      <c r="K373" s="87">
        <f>IFERROR(ROUND($N373*Параметры!$D$36,2),0)</f>
        <v>178.62</v>
      </c>
      <c r="L373" s="87">
        <f t="shared" si="39"/>
        <v>9.8240999999999996</v>
      </c>
      <c r="M373" s="87">
        <f t="shared" si="40"/>
        <v>11.526237057460476</v>
      </c>
      <c r="N373" s="107">
        <f t="shared" si="41"/>
        <v>6</v>
      </c>
    </row>
    <row r="374" spans="2:14" x14ac:dyDescent="0.25">
      <c r="B374" s="82">
        <f>SUBTOTAL(103,$D$8:D374)</f>
        <v>367</v>
      </c>
      <c r="C374" s="83" t="s">
        <v>382</v>
      </c>
      <c r="D374" s="84">
        <v>8</v>
      </c>
      <c r="E374" s="85">
        <f t="shared" si="36"/>
        <v>188.44409999999999</v>
      </c>
      <c r="F374" s="106">
        <f t="shared" si="42"/>
        <v>2</v>
      </c>
      <c r="G374" s="86"/>
      <c r="H374" s="107">
        <f t="shared" si="37"/>
        <v>6.88</v>
      </c>
      <c r="I374" s="107">
        <f t="shared" si="38"/>
        <v>1.1200000000000001</v>
      </c>
      <c r="J374" s="87">
        <f>IF($D374&gt;0,IFERROR(Параметры!$D$42*$H374/$H$2408,0),0)</f>
        <v>120.20791878172589</v>
      </c>
      <c r="K374" s="87">
        <f>IFERROR(ROUND($N374*Параметры!$D$36,2),0)</f>
        <v>178.62</v>
      </c>
      <c r="L374" s="87">
        <f t="shared" si="39"/>
        <v>9.8240999999999996</v>
      </c>
      <c r="M374" s="87">
        <f t="shared" si="40"/>
        <v>11.526237057460476</v>
      </c>
      <c r="N374" s="107">
        <f t="shared" si="41"/>
        <v>6</v>
      </c>
    </row>
    <row r="375" spans="2:14" x14ac:dyDescent="0.25">
      <c r="B375" s="82">
        <f>SUBTOTAL(103,$D$8:D375)</f>
        <v>368</v>
      </c>
      <c r="C375" s="83" t="s">
        <v>383</v>
      </c>
      <c r="D375" s="84">
        <v>8</v>
      </c>
      <c r="E375" s="85">
        <f t="shared" si="36"/>
        <v>188.44409999999999</v>
      </c>
      <c r="F375" s="106">
        <f t="shared" si="42"/>
        <v>2</v>
      </c>
      <c r="G375" s="86"/>
      <c r="H375" s="107">
        <f t="shared" si="37"/>
        <v>6.88</v>
      </c>
      <c r="I375" s="107">
        <f t="shared" si="38"/>
        <v>1.1200000000000001</v>
      </c>
      <c r="J375" s="87">
        <f>IF($D375&gt;0,IFERROR(Параметры!$D$42*$H375/$H$2408,0),0)</f>
        <v>120.20791878172589</v>
      </c>
      <c r="K375" s="87">
        <f>IFERROR(ROUND($N375*Параметры!$D$36,2),0)</f>
        <v>178.62</v>
      </c>
      <c r="L375" s="87">
        <f t="shared" si="39"/>
        <v>9.8240999999999996</v>
      </c>
      <c r="M375" s="87">
        <f t="shared" si="40"/>
        <v>11.526237057460476</v>
      </c>
      <c r="N375" s="107">
        <f t="shared" si="41"/>
        <v>6</v>
      </c>
    </row>
    <row r="376" spans="2:14" x14ac:dyDescent="0.25">
      <c r="B376" s="82">
        <f>SUBTOTAL(103,$D$8:D376)</f>
        <v>369</v>
      </c>
      <c r="C376" s="83" t="s">
        <v>384</v>
      </c>
      <c r="D376" s="84">
        <v>8</v>
      </c>
      <c r="E376" s="85">
        <f t="shared" si="36"/>
        <v>188.44409999999999</v>
      </c>
      <c r="F376" s="106">
        <f t="shared" si="42"/>
        <v>2</v>
      </c>
      <c r="G376" s="86"/>
      <c r="H376" s="107">
        <f t="shared" si="37"/>
        <v>6.88</v>
      </c>
      <c r="I376" s="107">
        <f t="shared" si="38"/>
        <v>1.1200000000000001</v>
      </c>
      <c r="J376" s="87">
        <f>IF($D376&gt;0,IFERROR(Параметры!$D$42*$H376/$H$2408,0),0)</f>
        <v>120.20791878172589</v>
      </c>
      <c r="K376" s="87">
        <f>IFERROR(ROUND($N376*Параметры!$D$36,2),0)</f>
        <v>178.62</v>
      </c>
      <c r="L376" s="87">
        <f t="shared" si="39"/>
        <v>9.8240999999999996</v>
      </c>
      <c r="M376" s="87">
        <f t="shared" si="40"/>
        <v>11.526237057460476</v>
      </c>
      <c r="N376" s="107">
        <f t="shared" si="41"/>
        <v>6</v>
      </c>
    </row>
    <row r="377" spans="2:14" x14ac:dyDescent="0.25">
      <c r="B377" s="82">
        <f>SUBTOTAL(103,$D$8:D377)</f>
        <v>370</v>
      </c>
      <c r="C377" s="83" t="s">
        <v>385</v>
      </c>
      <c r="D377" s="84">
        <v>8</v>
      </c>
      <c r="E377" s="85">
        <f t="shared" si="36"/>
        <v>188.44409999999999</v>
      </c>
      <c r="F377" s="106">
        <f t="shared" si="42"/>
        <v>2</v>
      </c>
      <c r="G377" s="86"/>
      <c r="H377" s="107">
        <f t="shared" si="37"/>
        <v>6.88</v>
      </c>
      <c r="I377" s="107">
        <f t="shared" si="38"/>
        <v>1.1200000000000001</v>
      </c>
      <c r="J377" s="87">
        <f>IF($D377&gt;0,IFERROR(Параметры!$D$42*$H377/$H$2408,0),0)</f>
        <v>120.20791878172589</v>
      </c>
      <c r="K377" s="87">
        <f>IFERROR(ROUND($N377*Параметры!$D$36,2),0)</f>
        <v>178.62</v>
      </c>
      <c r="L377" s="87">
        <f t="shared" si="39"/>
        <v>9.8240999999999996</v>
      </c>
      <c r="M377" s="87">
        <f t="shared" si="40"/>
        <v>11.526237057460476</v>
      </c>
      <c r="N377" s="107">
        <f t="shared" si="41"/>
        <v>6</v>
      </c>
    </row>
    <row r="378" spans="2:14" x14ac:dyDescent="0.25">
      <c r="B378" s="82">
        <f>SUBTOTAL(103,$D$8:D378)</f>
        <v>371</v>
      </c>
      <c r="C378" s="83" t="s">
        <v>386</v>
      </c>
      <c r="D378" s="84">
        <v>0</v>
      </c>
      <c r="E378" s="85" t="str">
        <f t="shared" si="36"/>
        <v/>
      </c>
      <c r="F378" s="106" t="str">
        <f t="shared" si="42"/>
        <v/>
      </c>
      <c r="G378" s="86"/>
      <c r="H378" s="107">
        <f t="shared" si="37"/>
        <v>0</v>
      </c>
      <c r="I378" s="107">
        <f t="shared" si="38"/>
        <v>0</v>
      </c>
      <c r="J378" s="87">
        <f>IF($D378&gt;0,IFERROR(Параметры!$D$42*$H378/$H$2408,0),0)</f>
        <v>0</v>
      </c>
      <c r="K378" s="87">
        <f>IFERROR(ROUND($N378*Параметры!$D$36,2),0)</f>
        <v>0</v>
      </c>
      <c r="L378" s="87">
        <f t="shared" si="39"/>
        <v>0</v>
      </c>
      <c r="M378" s="87">
        <f t="shared" si="40"/>
        <v>0</v>
      </c>
      <c r="N378" s="107" t="str">
        <f t="shared" si="41"/>
        <v/>
      </c>
    </row>
    <row r="379" spans="2:14" x14ac:dyDescent="0.25">
      <c r="B379" s="82">
        <f>SUBTOTAL(103,$D$8:D379)</f>
        <v>372</v>
      </c>
      <c r="C379" s="83" t="s">
        <v>387</v>
      </c>
      <c r="D379" s="84">
        <v>0</v>
      </c>
      <c r="E379" s="85" t="str">
        <f t="shared" si="36"/>
        <v/>
      </c>
      <c r="F379" s="106" t="str">
        <f t="shared" si="42"/>
        <v/>
      </c>
      <c r="G379" s="86"/>
      <c r="H379" s="107">
        <f t="shared" si="37"/>
        <v>0</v>
      </c>
      <c r="I379" s="107">
        <f t="shared" si="38"/>
        <v>0</v>
      </c>
      <c r="J379" s="87">
        <f>IF($D379&gt;0,IFERROR(Параметры!$D$42*$H379/$H$2408,0),0)</f>
        <v>0</v>
      </c>
      <c r="K379" s="87">
        <f>IFERROR(ROUND($N379*Параметры!$D$36,2),0)</f>
        <v>0</v>
      </c>
      <c r="L379" s="87">
        <f t="shared" si="39"/>
        <v>0</v>
      </c>
      <c r="M379" s="87">
        <f t="shared" si="40"/>
        <v>0</v>
      </c>
      <c r="N379" s="107" t="str">
        <f t="shared" si="41"/>
        <v/>
      </c>
    </row>
    <row r="380" spans="2:14" x14ac:dyDescent="0.25">
      <c r="B380" s="82">
        <f>SUBTOTAL(103,$D$8:D380)</f>
        <v>373</v>
      </c>
      <c r="C380" s="83" t="s">
        <v>388</v>
      </c>
      <c r="D380" s="84">
        <v>0</v>
      </c>
      <c r="E380" s="85" t="str">
        <f t="shared" si="36"/>
        <v/>
      </c>
      <c r="F380" s="106" t="str">
        <f t="shared" si="42"/>
        <v/>
      </c>
      <c r="G380" s="86"/>
      <c r="H380" s="107">
        <f t="shared" si="37"/>
        <v>0</v>
      </c>
      <c r="I380" s="107">
        <f t="shared" si="38"/>
        <v>0</v>
      </c>
      <c r="J380" s="87">
        <f>IF($D380&gt;0,IFERROR(Параметры!$D$42*$H380/$H$2408,0),0)</f>
        <v>0</v>
      </c>
      <c r="K380" s="87">
        <f>IFERROR(ROUND($N380*Параметры!$D$36,2),0)</f>
        <v>0</v>
      </c>
      <c r="L380" s="87">
        <f t="shared" si="39"/>
        <v>0</v>
      </c>
      <c r="M380" s="87">
        <f t="shared" si="40"/>
        <v>0</v>
      </c>
      <c r="N380" s="107" t="str">
        <f t="shared" si="41"/>
        <v/>
      </c>
    </row>
    <row r="381" spans="2:14" x14ac:dyDescent="0.25">
      <c r="B381" s="82">
        <f>SUBTOTAL(103,$D$8:D381)</f>
        <v>374</v>
      </c>
      <c r="C381" s="83" t="s">
        <v>389</v>
      </c>
      <c r="D381" s="84">
        <v>0</v>
      </c>
      <c r="E381" s="85" t="str">
        <f t="shared" si="36"/>
        <v/>
      </c>
      <c r="F381" s="106" t="str">
        <f t="shared" si="42"/>
        <v/>
      </c>
      <c r="G381" s="86"/>
      <c r="H381" s="107">
        <f t="shared" si="37"/>
        <v>0</v>
      </c>
      <c r="I381" s="107">
        <f t="shared" si="38"/>
        <v>0</v>
      </c>
      <c r="J381" s="87">
        <f>IF($D381&gt;0,IFERROR(Параметры!$D$42*$H381/$H$2408,0),0)</f>
        <v>0</v>
      </c>
      <c r="K381" s="87">
        <f>IFERROR(ROUND($N381*Параметры!$D$36,2),0)</f>
        <v>0</v>
      </c>
      <c r="L381" s="87">
        <f t="shared" si="39"/>
        <v>0</v>
      </c>
      <c r="M381" s="87">
        <f t="shared" si="40"/>
        <v>0</v>
      </c>
      <c r="N381" s="107" t="str">
        <f t="shared" si="41"/>
        <v/>
      </c>
    </row>
    <row r="382" spans="2:14" x14ac:dyDescent="0.25">
      <c r="B382" s="82">
        <f>SUBTOTAL(103,$D$8:D382)</f>
        <v>375</v>
      </c>
      <c r="C382" s="83" t="s">
        <v>390</v>
      </c>
      <c r="D382" s="84">
        <v>0</v>
      </c>
      <c r="E382" s="85" t="str">
        <f t="shared" si="36"/>
        <v/>
      </c>
      <c r="F382" s="106" t="str">
        <f t="shared" si="42"/>
        <v/>
      </c>
      <c r="G382" s="86"/>
      <c r="H382" s="107">
        <f t="shared" si="37"/>
        <v>0</v>
      </c>
      <c r="I382" s="107">
        <f t="shared" si="38"/>
        <v>0</v>
      </c>
      <c r="J382" s="87">
        <f>IF($D382&gt;0,IFERROR(Параметры!$D$42*$H382/$H$2408,0),0)</f>
        <v>0</v>
      </c>
      <c r="K382" s="87">
        <f>IFERROR(ROUND($N382*Параметры!$D$36,2),0)</f>
        <v>0</v>
      </c>
      <c r="L382" s="87">
        <f t="shared" si="39"/>
        <v>0</v>
      </c>
      <c r="M382" s="87">
        <f t="shared" si="40"/>
        <v>0</v>
      </c>
      <c r="N382" s="107" t="str">
        <f t="shared" si="41"/>
        <v/>
      </c>
    </row>
    <row r="383" spans="2:14" x14ac:dyDescent="0.25">
      <c r="B383" s="82">
        <f>SUBTOTAL(103,$D$8:D383)</f>
        <v>376</v>
      </c>
      <c r="C383" s="83" t="s">
        <v>391</v>
      </c>
      <c r="D383" s="84">
        <v>0</v>
      </c>
      <c r="E383" s="85" t="str">
        <f t="shared" si="36"/>
        <v/>
      </c>
      <c r="F383" s="106" t="str">
        <f t="shared" si="42"/>
        <v/>
      </c>
      <c r="G383" s="86"/>
      <c r="H383" s="107">
        <f t="shared" si="37"/>
        <v>0</v>
      </c>
      <c r="I383" s="107">
        <f t="shared" si="38"/>
        <v>0</v>
      </c>
      <c r="J383" s="87">
        <f>IF($D383&gt;0,IFERROR(Параметры!$D$42*$H383/$H$2408,0),0)</f>
        <v>0</v>
      </c>
      <c r="K383" s="87">
        <f>IFERROR(ROUND($N383*Параметры!$D$36,2),0)</f>
        <v>0</v>
      </c>
      <c r="L383" s="87">
        <f t="shared" si="39"/>
        <v>0</v>
      </c>
      <c r="M383" s="87">
        <f t="shared" si="40"/>
        <v>0</v>
      </c>
      <c r="N383" s="107" t="str">
        <f t="shared" si="41"/>
        <v/>
      </c>
    </row>
    <row r="384" spans="2:14" x14ac:dyDescent="0.25">
      <c r="B384" s="82">
        <f>SUBTOTAL(103,$D$8:D384)</f>
        <v>377</v>
      </c>
      <c r="C384" s="83" t="s">
        <v>392</v>
      </c>
      <c r="D384" s="84">
        <v>0</v>
      </c>
      <c r="E384" s="85" t="str">
        <f t="shared" si="36"/>
        <v/>
      </c>
      <c r="F384" s="106" t="str">
        <f t="shared" si="42"/>
        <v/>
      </c>
      <c r="G384" s="86"/>
      <c r="H384" s="107">
        <f t="shared" si="37"/>
        <v>0</v>
      </c>
      <c r="I384" s="107">
        <f t="shared" si="38"/>
        <v>0</v>
      </c>
      <c r="J384" s="87">
        <f>IF($D384&gt;0,IFERROR(Параметры!$D$42*$H384/$H$2408,0),0)</f>
        <v>0</v>
      </c>
      <c r="K384" s="87">
        <f>IFERROR(ROUND($N384*Параметры!$D$36,2),0)</f>
        <v>0</v>
      </c>
      <c r="L384" s="87">
        <f t="shared" si="39"/>
        <v>0</v>
      </c>
      <c r="M384" s="87">
        <f t="shared" si="40"/>
        <v>0</v>
      </c>
      <c r="N384" s="107" t="str">
        <f t="shared" si="41"/>
        <v/>
      </c>
    </row>
    <row r="385" spans="2:14" x14ac:dyDescent="0.25">
      <c r="B385" s="82">
        <f>SUBTOTAL(103,$D$8:D385)</f>
        <v>378</v>
      </c>
      <c r="C385" s="83" t="s">
        <v>393</v>
      </c>
      <c r="D385" s="84">
        <v>0</v>
      </c>
      <c r="E385" s="85" t="str">
        <f t="shared" si="36"/>
        <v/>
      </c>
      <c r="F385" s="106" t="str">
        <f t="shared" si="42"/>
        <v/>
      </c>
      <c r="G385" s="86"/>
      <c r="H385" s="107">
        <f t="shared" si="37"/>
        <v>0</v>
      </c>
      <c r="I385" s="107">
        <f t="shared" si="38"/>
        <v>0</v>
      </c>
      <c r="J385" s="87">
        <f>IF($D385&gt;0,IFERROR(Параметры!$D$42*$H385/$H$2408,0),0)</f>
        <v>0</v>
      </c>
      <c r="K385" s="87">
        <f>IFERROR(ROUND($N385*Параметры!$D$36,2),0)</f>
        <v>0</v>
      </c>
      <c r="L385" s="87">
        <f t="shared" si="39"/>
        <v>0</v>
      </c>
      <c r="M385" s="87">
        <f t="shared" si="40"/>
        <v>0</v>
      </c>
      <c r="N385" s="107" t="str">
        <f t="shared" si="41"/>
        <v/>
      </c>
    </row>
    <row r="386" spans="2:14" x14ac:dyDescent="0.25">
      <c r="B386" s="82">
        <f>SUBTOTAL(103,$D$8:D386)</f>
        <v>379</v>
      </c>
      <c r="C386" s="83" t="s">
        <v>394</v>
      </c>
      <c r="D386" s="84">
        <v>0</v>
      </c>
      <c r="E386" s="85" t="str">
        <f t="shared" si="36"/>
        <v/>
      </c>
      <c r="F386" s="106" t="str">
        <f t="shared" si="42"/>
        <v/>
      </c>
      <c r="G386" s="86"/>
      <c r="H386" s="107">
        <f t="shared" si="37"/>
        <v>0</v>
      </c>
      <c r="I386" s="107">
        <f t="shared" si="38"/>
        <v>0</v>
      </c>
      <c r="J386" s="87">
        <f>IF($D386&gt;0,IFERROR(Параметры!$D$42*$H386/$H$2408,0),0)</f>
        <v>0</v>
      </c>
      <c r="K386" s="87">
        <f>IFERROR(ROUND($N386*Параметры!$D$36,2),0)</f>
        <v>0</v>
      </c>
      <c r="L386" s="87">
        <f t="shared" si="39"/>
        <v>0</v>
      </c>
      <c r="M386" s="87">
        <f t="shared" si="40"/>
        <v>0</v>
      </c>
      <c r="N386" s="107" t="str">
        <f t="shared" si="41"/>
        <v/>
      </c>
    </row>
    <row r="387" spans="2:14" x14ac:dyDescent="0.25">
      <c r="B387" s="82">
        <f>SUBTOTAL(103,$D$8:D387)</f>
        <v>380</v>
      </c>
      <c r="C387" s="83" t="s">
        <v>395</v>
      </c>
      <c r="D387" s="84">
        <v>0</v>
      </c>
      <c r="E387" s="85" t="str">
        <f t="shared" si="36"/>
        <v/>
      </c>
      <c r="F387" s="106" t="str">
        <f t="shared" si="42"/>
        <v/>
      </c>
      <c r="G387" s="86"/>
      <c r="H387" s="107">
        <f t="shared" si="37"/>
        <v>0</v>
      </c>
      <c r="I387" s="107">
        <f t="shared" si="38"/>
        <v>0</v>
      </c>
      <c r="J387" s="87">
        <f>IF($D387&gt;0,IFERROR(Параметры!$D$42*$H387/$H$2408,0),0)</f>
        <v>0</v>
      </c>
      <c r="K387" s="87">
        <f>IFERROR(ROUND($N387*Параметры!$D$36,2),0)</f>
        <v>0</v>
      </c>
      <c r="L387" s="87">
        <f t="shared" si="39"/>
        <v>0</v>
      </c>
      <c r="M387" s="87">
        <f t="shared" si="40"/>
        <v>0</v>
      </c>
      <c r="N387" s="107" t="str">
        <f t="shared" si="41"/>
        <v/>
      </c>
    </row>
    <row r="388" spans="2:14" x14ac:dyDescent="0.25">
      <c r="B388" s="82">
        <f>SUBTOTAL(103,$D$8:D388)</f>
        <v>381</v>
      </c>
      <c r="C388" s="83" t="s">
        <v>396</v>
      </c>
      <c r="D388" s="84">
        <v>0</v>
      </c>
      <c r="E388" s="85" t="str">
        <f t="shared" si="36"/>
        <v/>
      </c>
      <c r="F388" s="106" t="str">
        <f t="shared" si="42"/>
        <v/>
      </c>
      <c r="G388" s="86"/>
      <c r="H388" s="107">
        <f t="shared" si="37"/>
        <v>0</v>
      </c>
      <c r="I388" s="107">
        <f t="shared" si="38"/>
        <v>0</v>
      </c>
      <c r="J388" s="87">
        <f>IF($D388&gt;0,IFERROR(Параметры!$D$42*$H388/$H$2408,0),0)</f>
        <v>0</v>
      </c>
      <c r="K388" s="87">
        <f>IFERROR(ROUND($N388*Параметры!$D$36,2),0)</f>
        <v>0</v>
      </c>
      <c r="L388" s="87">
        <f t="shared" si="39"/>
        <v>0</v>
      </c>
      <c r="M388" s="87">
        <f t="shared" si="40"/>
        <v>0</v>
      </c>
      <c r="N388" s="107" t="str">
        <f t="shared" si="41"/>
        <v/>
      </c>
    </row>
    <row r="389" spans="2:14" x14ac:dyDescent="0.25">
      <c r="B389" s="82">
        <f>SUBTOTAL(103,$D$8:D389)</f>
        <v>382</v>
      </c>
      <c r="C389" s="83" t="s">
        <v>397</v>
      </c>
      <c r="D389" s="84">
        <v>0</v>
      </c>
      <c r="E389" s="85" t="str">
        <f t="shared" si="36"/>
        <v/>
      </c>
      <c r="F389" s="106" t="str">
        <f t="shared" si="42"/>
        <v/>
      </c>
      <c r="G389" s="86"/>
      <c r="H389" s="107">
        <f t="shared" si="37"/>
        <v>0</v>
      </c>
      <c r="I389" s="107">
        <f t="shared" si="38"/>
        <v>0</v>
      </c>
      <c r="J389" s="87">
        <f>IF($D389&gt;0,IFERROR(Параметры!$D$42*$H389/$H$2408,0),0)</f>
        <v>0</v>
      </c>
      <c r="K389" s="87">
        <f>IFERROR(ROUND($N389*Параметры!$D$36,2),0)</f>
        <v>0</v>
      </c>
      <c r="L389" s="87">
        <f t="shared" si="39"/>
        <v>0</v>
      </c>
      <c r="M389" s="87">
        <f t="shared" si="40"/>
        <v>0</v>
      </c>
      <c r="N389" s="107" t="str">
        <f t="shared" si="41"/>
        <v/>
      </c>
    </row>
    <row r="390" spans="2:14" x14ac:dyDescent="0.25">
      <c r="B390" s="82">
        <f>SUBTOTAL(103,$D$8:D390)</f>
        <v>383</v>
      </c>
      <c r="C390" s="83" t="s">
        <v>398</v>
      </c>
      <c r="D390" s="84">
        <v>0</v>
      </c>
      <c r="E390" s="85" t="str">
        <f t="shared" si="36"/>
        <v/>
      </c>
      <c r="F390" s="106" t="str">
        <f t="shared" si="42"/>
        <v/>
      </c>
      <c r="G390" s="86"/>
      <c r="H390" s="107">
        <f t="shared" si="37"/>
        <v>0</v>
      </c>
      <c r="I390" s="107">
        <f t="shared" si="38"/>
        <v>0</v>
      </c>
      <c r="J390" s="87">
        <f>IF($D390&gt;0,IFERROR(Параметры!$D$42*$H390/$H$2408,0),0)</f>
        <v>0</v>
      </c>
      <c r="K390" s="87">
        <f>IFERROR(ROUND($N390*Параметры!$D$36,2),0)</f>
        <v>0</v>
      </c>
      <c r="L390" s="87">
        <f t="shared" si="39"/>
        <v>0</v>
      </c>
      <c r="M390" s="87">
        <f t="shared" si="40"/>
        <v>0</v>
      </c>
      <c r="N390" s="107" t="str">
        <f t="shared" si="41"/>
        <v/>
      </c>
    </row>
    <row r="391" spans="2:14" x14ac:dyDescent="0.25">
      <c r="B391" s="82">
        <f>SUBTOTAL(103,$D$8:D391)</f>
        <v>384</v>
      </c>
      <c r="C391" s="83" t="s">
        <v>399</v>
      </c>
      <c r="D391" s="84">
        <v>0</v>
      </c>
      <c r="E391" s="85" t="str">
        <f t="shared" si="36"/>
        <v/>
      </c>
      <c r="F391" s="106" t="str">
        <f t="shared" si="42"/>
        <v/>
      </c>
      <c r="G391" s="86"/>
      <c r="H391" s="107">
        <f t="shared" si="37"/>
        <v>0</v>
      </c>
      <c r="I391" s="107">
        <f t="shared" si="38"/>
        <v>0</v>
      </c>
      <c r="J391" s="87">
        <f>IF($D391&gt;0,IFERROR(Параметры!$D$42*$H391/$H$2408,0),0)</f>
        <v>0</v>
      </c>
      <c r="K391" s="87">
        <f>IFERROR(ROUND($N391*Параметры!$D$36,2),0)</f>
        <v>0</v>
      </c>
      <c r="L391" s="87">
        <f t="shared" si="39"/>
        <v>0</v>
      </c>
      <c r="M391" s="87">
        <f t="shared" si="40"/>
        <v>0</v>
      </c>
      <c r="N391" s="107" t="str">
        <f t="shared" si="41"/>
        <v/>
      </c>
    </row>
    <row r="392" spans="2:14" x14ac:dyDescent="0.25">
      <c r="B392" s="82">
        <f>SUBTOTAL(103,$D$8:D392)</f>
        <v>385</v>
      </c>
      <c r="C392" s="83" t="s">
        <v>400</v>
      </c>
      <c r="D392" s="84">
        <v>0</v>
      </c>
      <c r="E392" s="85" t="str">
        <f t="shared" ref="E392:E455" si="43">IF($D392&lt;1,"",$K392+$L392)</f>
        <v/>
      </c>
      <c r="F392" s="106" t="str">
        <f t="shared" si="42"/>
        <v/>
      </c>
      <c r="G392" s="86"/>
      <c r="H392" s="107">
        <f t="shared" ref="H392:H455" si="44">IF($D392&gt;0,$D392*КИС,0)</f>
        <v>0</v>
      </c>
      <c r="I392" s="107">
        <f t="shared" ref="I392:I455" si="45">IF($D392&gt;0,$D392-$H392,0)</f>
        <v>0</v>
      </c>
      <c r="J392" s="87">
        <f>IF($D392&gt;0,IFERROR(Параметры!$D$42*$H392/$H$2408,0),0)</f>
        <v>0</v>
      </c>
      <c r="K392" s="87">
        <f>IFERROR(ROUND($N392*Параметры!$D$36,2),0)</f>
        <v>0</v>
      </c>
      <c r="L392" s="87">
        <f t="shared" ref="L392:L455" si="46">IF($K392&gt;0,$K392*0.055,0)</f>
        <v>0</v>
      </c>
      <c r="M392" s="87">
        <f t="shared" ref="M392:M455" si="47">IFERROR($L392/Плотность_ДТ,0)</f>
        <v>0</v>
      </c>
      <c r="N392" s="107" t="str">
        <f t="shared" ref="N392:N455" si="48">IF($D392&gt;0,MAX(0,$D392-IF($F392="",0,$F392)),"")</f>
        <v/>
      </c>
    </row>
    <row r="393" spans="2:14" x14ac:dyDescent="0.25">
      <c r="B393" s="82">
        <f>SUBTOTAL(103,$D$8:D393)</f>
        <v>386</v>
      </c>
      <c r="C393" s="83" t="s">
        <v>401</v>
      </c>
      <c r="D393" s="84">
        <v>0</v>
      </c>
      <c r="E393" s="85" t="str">
        <f t="shared" si="43"/>
        <v/>
      </c>
      <c r="F393" s="106" t="str">
        <f t="shared" si="42"/>
        <v/>
      </c>
      <c r="G393" s="86"/>
      <c r="H393" s="107">
        <f t="shared" si="44"/>
        <v>0</v>
      </c>
      <c r="I393" s="107">
        <f t="shared" si="45"/>
        <v>0</v>
      </c>
      <c r="J393" s="87">
        <f>IF($D393&gt;0,IFERROR(Параметры!$D$42*$H393/$H$2408,0),0)</f>
        <v>0</v>
      </c>
      <c r="K393" s="87">
        <f>IFERROR(ROUND($N393*Параметры!$D$36,2),0)</f>
        <v>0</v>
      </c>
      <c r="L393" s="87">
        <f t="shared" si="46"/>
        <v>0</v>
      </c>
      <c r="M393" s="87">
        <f t="shared" si="47"/>
        <v>0</v>
      </c>
      <c r="N393" s="107" t="str">
        <f t="shared" si="48"/>
        <v/>
      </c>
    </row>
    <row r="394" spans="2:14" x14ac:dyDescent="0.25">
      <c r="B394" s="82">
        <f>SUBTOTAL(103,$D$8:D394)</f>
        <v>387</v>
      </c>
      <c r="C394" s="83" t="s">
        <v>402</v>
      </c>
      <c r="D394" s="84">
        <v>0</v>
      </c>
      <c r="E394" s="85" t="str">
        <f t="shared" si="43"/>
        <v/>
      </c>
      <c r="F394" s="106" t="str">
        <f t="shared" si="42"/>
        <v/>
      </c>
      <c r="G394" s="86"/>
      <c r="H394" s="107">
        <f t="shared" si="44"/>
        <v>0</v>
      </c>
      <c r="I394" s="107">
        <f t="shared" si="45"/>
        <v>0</v>
      </c>
      <c r="J394" s="87">
        <f>IF($D394&gt;0,IFERROR(Параметры!$D$42*$H394/$H$2408,0),0)</f>
        <v>0</v>
      </c>
      <c r="K394" s="87">
        <f>IFERROR(ROUND($N394*Параметры!$D$36,2),0)</f>
        <v>0</v>
      </c>
      <c r="L394" s="87">
        <f t="shared" si="46"/>
        <v>0</v>
      </c>
      <c r="M394" s="87">
        <f t="shared" si="47"/>
        <v>0</v>
      </c>
      <c r="N394" s="107" t="str">
        <f t="shared" si="48"/>
        <v/>
      </c>
    </row>
    <row r="395" spans="2:14" x14ac:dyDescent="0.25">
      <c r="B395" s="82">
        <f>SUBTOTAL(103,$D$8:D395)</f>
        <v>388</v>
      </c>
      <c r="C395" s="83" t="s">
        <v>403</v>
      </c>
      <c r="D395" s="84">
        <v>0</v>
      </c>
      <c r="E395" s="85" t="str">
        <f t="shared" si="43"/>
        <v/>
      </c>
      <c r="F395" s="106" t="str">
        <f t="shared" ref="F395:F458" si="49">IF(D395&gt;0,2,"")</f>
        <v/>
      </c>
      <c r="G395" s="86"/>
      <c r="H395" s="107">
        <f t="shared" si="44"/>
        <v>0</v>
      </c>
      <c r="I395" s="107">
        <f t="shared" si="45"/>
        <v>0</v>
      </c>
      <c r="J395" s="87">
        <f>IF($D395&gt;0,IFERROR(Параметры!$D$42*$H395/$H$2408,0),0)</f>
        <v>0</v>
      </c>
      <c r="K395" s="87">
        <f>IFERROR(ROUND($N395*Параметры!$D$36,2),0)</f>
        <v>0</v>
      </c>
      <c r="L395" s="87">
        <f t="shared" si="46"/>
        <v>0</v>
      </c>
      <c r="M395" s="87">
        <f t="shared" si="47"/>
        <v>0</v>
      </c>
      <c r="N395" s="107" t="str">
        <f t="shared" si="48"/>
        <v/>
      </c>
    </row>
    <row r="396" spans="2:14" x14ac:dyDescent="0.25">
      <c r="B396" s="82">
        <f>SUBTOTAL(103,$D$8:D396)</f>
        <v>389</v>
      </c>
      <c r="C396" s="83" t="s">
        <v>404</v>
      </c>
      <c r="D396" s="84">
        <v>0</v>
      </c>
      <c r="E396" s="85" t="str">
        <f t="shared" si="43"/>
        <v/>
      </c>
      <c r="F396" s="106" t="str">
        <f t="shared" si="49"/>
        <v/>
      </c>
      <c r="G396" s="86"/>
      <c r="H396" s="107">
        <f t="shared" si="44"/>
        <v>0</v>
      </c>
      <c r="I396" s="107">
        <f t="shared" si="45"/>
        <v>0</v>
      </c>
      <c r="J396" s="87">
        <f>IF($D396&gt;0,IFERROR(Параметры!$D$42*$H396/$H$2408,0),0)</f>
        <v>0</v>
      </c>
      <c r="K396" s="87">
        <f>IFERROR(ROUND($N396*Параметры!$D$36,2),0)</f>
        <v>0</v>
      </c>
      <c r="L396" s="87">
        <f t="shared" si="46"/>
        <v>0</v>
      </c>
      <c r="M396" s="87">
        <f t="shared" si="47"/>
        <v>0</v>
      </c>
      <c r="N396" s="107" t="str">
        <f t="shared" si="48"/>
        <v/>
      </c>
    </row>
    <row r="397" spans="2:14" x14ac:dyDescent="0.25">
      <c r="B397" s="82">
        <f>SUBTOTAL(103,$D$8:D397)</f>
        <v>390</v>
      </c>
      <c r="C397" s="83" t="s">
        <v>405</v>
      </c>
      <c r="D397" s="84">
        <v>0</v>
      </c>
      <c r="E397" s="85" t="str">
        <f t="shared" si="43"/>
        <v/>
      </c>
      <c r="F397" s="106" t="str">
        <f t="shared" si="49"/>
        <v/>
      </c>
      <c r="G397" s="86"/>
      <c r="H397" s="107">
        <f t="shared" si="44"/>
        <v>0</v>
      </c>
      <c r="I397" s="107">
        <f t="shared" si="45"/>
        <v>0</v>
      </c>
      <c r="J397" s="87">
        <f>IF($D397&gt;0,IFERROR(Параметры!$D$42*$H397/$H$2408,0),0)</f>
        <v>0</v>
      </c>
      <c r="K397" s="87">
        <f>IFERROR(ROUND($N397*Параметры!$D$36,2),0)</f>
        <v>0</v>
      </c>
      <c r="L397" s="87">
        <f t="shared" si="46"/>
        <v>0</v>
      </c>
      <c r="M397" s="87">
        <f t="shared" si="47"/>
        <v>0</v>
      </c>
      <c r="N397" s="107" t="str">
        <f t="shared" si="48"/>
        <v/>
      </c>
    </row>
    <row r="398" spans="2:14" x14ac:dyDescent="0.25">
      <c r="B398" s="82">
        <f>SUBTOTAL(103,$D$8:D398)</f>
        <v>391</v>
      </c>
      <c r="C398" s="83" t="s">
        <v>406</v>
      </c>
      <c r="D398" s="84">
        <v>0</v>
      </c>
      <c r="E398" s="85" t="str">
        <f t="shared" si="43"/>
        <v/>
      </c>
      <c r="F398" s="106" t="str">
        <f t="shared" si="49"/>
        <v/>
      </c>
      <c r="G398" s="86"/>
      <c r="H398" s="107">
        <f t="shared" si="44"/>
        <v>0</v>
      </c>
      <c r="I398" s="107">
        <f t="shared" si="45"/>
        <v>0</v>
      </c>
      <c r="J398" s="87">
        <f>IF($D398&gt;0,IFERROR(Параметры!$D$42*$H398/$H$2408,0),0)</f>
        <v>0</v>
      </c>
      <c r="K398" s="87">
        <f>IFERROR(ROUND($N398*Параметры!$D$36,2),0)</f>
        <v>0</v>
      </c>
      <c r="L398" s="87">
        <f t="shared" si="46"/>
        <v>0</v>
      </c>
      <c r="M398" s="87">
        <f t="shared" si="47"/>
        <v>0</v>
      </c>
      <c r="N398" s="107" t="str">
        <f t="shared" si="48"/>
        <v/>
      </c>
    </row>
    <row r="399" spans="2:14" x14ac:dyDescent="0.25">
      <c r="B399" s="82">
        <f>SUBTOTAL(103,$D$8:D399)</f>
        <v>392</v>
      </c>
      <c r="C399" s="83" t="s">
        <v>407</v>
      </c>
      <c r="D399" s="84">
        <v>0</v>
      </c>
      <c r="E399" s="85" t="str">
        <f t="shared" si="43"/>
        <v/>
      </c>
      <c r="F399" s="106" t="str">
        <f t="shared" si="49"/>
        <v/>
      </c>
      <c r="G399" s="86"/>
      <c r="H399" s="107">
        <f t="shared" si="44"/>
        <v>0</v>
      </c>
      <c r="I399" s="107">
        <f t="shared" si="45"/>
        <v>0</v>
      </c>
      <c r="J399" s="87">
        <f>IF($D399&gt;0,IFERROR(Параметры!$D$42*$H399/$H$2408,0),0)</f>
        <v>0</v>
      </c>
      <c r="K399" s="87">
        <f>IFERROR(ROUND($N399*Параметры!$D$36,2),0)</f>
        <v>0</v>
      </c>
      <c r="L399" s="87">
        <f t="shared" si="46"/>
        <v>0</v>
      </c>
      <c r="M399" s="87">
        <f t="shared" si="47"/>
        <v>0</v>
      </c>
      <c r="N399" s="107" t="str">
        <f t="shared" si="48"/>
        <v/>
      </c>
    </row>
    <row r="400" spans="2:14" x14ac:dyDescent="0.25">
      <c r="B400" s="82">
        <f>SUBTOTAL(103,$D$8:D400)</f>
        <v>393</v>
      </c>
      <c r="C400" s="83" t="s">
        <v>408</v>
      </c>
      <c r="D400" s="84">
        <v>0</v>
      </c>
      <c r="E400" s="85" t="str">
        <f t="shared" si="43"/>
        <v/>
      </c>
      <c r="F400" s="106" t="str">
        <f t="shared" si="49"/>
        <v/>
      </c>
      <c r="G400" s="86"/>
      <c r="H400" s="107">
        <f t="shared" si="44"/>
        <v>0</v>
      </c>
      <c r="I400" s="107">
        <f t="shared" si="45"/>
        <v>0</v>
      </c>
      <c r="J400" s="87">
        <f>IF($D400&gt;0,IFERROR(Параметры!$D$42*$H400/$H$2408,0),0)</f>
        <v>0</v>
      </c>
      <c r="K400" s="87">
        <f>IFERROR(ROUND($N400*Параметры!$D$36,2),0)</f>
        <v>0</v>
      </c>
      <c r="L400" s="87">
        <f t="shared" si="46"/>
        <v>0</v>
      </c>
      <c r="M400" s="87">
        <f t="shared" si="47"/>
        <v>0</v>
      </c>
      <c r="N400" s="107" t="str">
        <f t="shared" si="48"/>
        <v/>
      </c>
    </row>
    <row r="401" spans="2:14" x14ac:dyDescent="0.25">
      <c r="B401" s="82">
        <f>SUBTOTAL(103,$D$8:D401)</f>
        <v>394</v>
      </c>
      <c r="C401" s="83" t="s">
        <v>409</v>
      </c>
      <c r="D401" s="84">
        <v>0</v>
      </c>
      <c r="E401" s="85" t="str">
        <f t="shared" si="43"/>
        <v/>
      </c>
      <c r="F401" s="106" t="str">
        <f t="shared" si="49"/>
        <v/>
      </c>
      <c r="G401" s="86"/>
      <c r="H401" s="107">
        <f t="shared" si="44"/>
        <v>0</v>
      </c>
      <c r="I401" s="107">
        <f t="shared" si="45"/>
        <v>0</v>
      </c>
      <c r="J401" s="87">
        <f>IF($D401&gt;0,IFERROR(Параметры!$D$42*$H401/$H$2408,0),0)</f>
        <v>0</v>
      </c>
      <c r="K401" s="87">
        <f>IFERROR(ROUND($N401*Параметры!$D$36,2),0)</f>
        <v>0</v>
      </c>
      <c r="L401" s="87">
        <f t="shared" si="46"/>
        <v>0</v>
      </c>
      <c r="M401" s="87">
        <f t="shared" si="47"/>
        <v>0</v>
      </c>
      <c r="N401" s="107" t="str">
        <f t="shared" si="48"/>
        <v/>
      </c>
    </row>
    <row r="402" spans="2:14" x14ac:dyDescent="0.25">
      <c r="B402" s="82">
        <f>SUBTOTAL(103,$D$8:D402)</f>
        <v>395</v>
      </c>
      <c r="C402" s="83" t="s">
        <v>410</v>
      </c>
      <c r="D402" s="84">
        <v>0</v>
      </c>
      <c r="E402" s="85" t="str">
        <f t="shared" si="43"/>
        <v/>
      </c>
      <c r="F402" s="106" t="str">
        <f t="shared" si="49"/>
        <v/>
      </c>
      <c r="G402" s="86"/>
      <c r="H402" s="107">
        <f t="shared" si="44"/>
        <v>0</v>
      </c>
      <c r="I402" s="107">
        <f t="shared" si="45"/>
        <v>0</v>
      </c>
      <c r="J402" s="87">
        <f>IF($D402&gt;0,IFERROR(Параметры!$D$42*$H402/$H$2408,0),0)</f>
        <v>0</v>
      </c>
      <c r="K402" s="87">
        <f>IFERROR(ROUND($N402*Параметры!$D$36,2),0)</f>
        <v>0</v>
      </c>
      <c r="L402" s="87">
        <f t="shared" si="46"/>
        <v>0</v>
      </c>
      <c r="M402" s="87">
        <f t="shared" si="47"/>
        <v>0</v>
      </c>
      <c r="N402" s="107" t="str">
        <f t="shared" si="48"/>
        <v/>
      </c>
    </row>
    <row r="403" spans="2:14" x14ac:dyDescent="0.25">
      <c r="B403" s="82">
        <f>SUBTOTAL(103,$D$8:D403)</f>
        <v>396</v>
      </c>
      <c r="C403" s="83" t="s">
        <v>411</v>
      </c>
      <c r="D403" s="84">
        <v>0</v>
      </c>
      <c r="E403" s="85" t="str">
        <f t="shared" si="43"/>
        <v/>
      </c>
      <c r="F403" s="106" t="str">
        <f t="shared" si="49"/>
        <v/>
      </c>
      <c r="G403" s="86"/>
      <c r="H403" s="107">
        <f t="shared" si="44"/>
        <v>0</v>
      </c>
      <c r="I403" s="107">
        <f t="shared" si="45"/>
        <v>0</v>
      </c>
      <c r="J403" s="87">
        <f>IF($D403&gt;0,IFERROR(Параметры!$D$42*$H403/$H$2408,0),0)</f>
        <v>0</v>
      </c>
      <c r="K403" s="87">
        <f>IFERROR(ROUND($N403*Параметры!$D$36,2),0)</f>
        <v>0</v>
      </c>
      <c r="L403" s="87">
        <f t="shared" si="46"/>
        <v>0</v>
      </c>
      <c r="M403" s="87">
        <f t="shared" si="47"/>
        <v>0</v>
      </c>
      <c r="N403" s="107" t="str">
        <f t="shared" si="48"/>
        <v/>
      </c>
    </row>
    <row r="404" spans="2:14" x14ac:dyDescent="0.25">
      <c r="B404" s="82">
        <f>SUBTOTAL(103,$D$8:D404)</f>
        <v>397</v>
      </c>
      <c r="C404" s="83" t="s">
        <v>412</v>
      </c>
      <c r="D404" s="84">
        <v>0</v>
      </c>
      <c r="E404" s="85" t="str">
        <f t="shared" si="43"/>
        <v/>
      </c>
      <c r="F404" s="106" t="str">
        <f t="shared" si="49"/>
        <v/>
      </c>
      <c r="G404" s="86"/>
      <c r="H404" s="107">
        <f t="shared" si="44"/>
        <v>0</v>
      </c>
      <c r="I404" s="107">
        <f t="shared" si="45"/>
        <v>0</v>
      </c>
      <c r="J404" s="87">
        <f>IF($D404&gt;0,IFERROR(Параметры!$D$42*$H404/$H$2408,0),0)</f>
        <v>0</v>
      </c>
      <c r="K404" s="87">
        <f>IFERROR(ROUND($N404*Параметры!$D$36,2),0)</f>
        <v>0</v>
      </c>
      <c r="L404" s="87">
        <f t="shared" si="46"/>
        <v>0</v>
      </c>
      <c r="M404" s="87">
        <f t="shared" si="47"/>
        <v>0</v>
      </c>
      <c r="N404" s="107" t="str">
        <f t="shared" si="48"/>
        <v/>
      </c>
    </row>
    <row r="405" spans="2:14" x14ac:dyDescent="0.25">
      <c r="B405" s="82">
        <f>SUBTOTAL(103,$D$8:D405)</f>
        <v>398</v>
      </c>
      <c r="C405" s="83" t="s">
        <v>413</v>
      </c>
      <c r="D405" s="84">
        <v>0</v>
      </c>
      <c r="E405" s="85" t="str">
        <f t="shared" si="43"/>
        <v/>
      </c>
      <c r="F405" s="106" t="str">
        <f t="shared" si="49"/>
        <v/>
      </c>
      <c r="G405" s="86"/>
      <c r="H405" s="107">
        <f t="shared" si="44"/>
        <v>0</v>
      </c>
      <c r="I405" s="107">
        <f t="shared" si="45"/>
        <v>0</v>
      </c>
      <c r="J405" s="87">
        <f>IF($D405&gt;0,IFERROR(Параметры!$D$42*$H405/$H$2408,0),0)</f>
        <v>0</v>
      </c>
      <c r="K405" s="87">
        <f>IFERROR(ROUND($N405*Параметры!$D$36,2),0)</f>
        <v>0</v>
      </c>
      <c r="L405" s="87">
        <f t="shared" si="46"/>
        <v>0</v>
      </c>
      <c r="M405" s="87">
        <f t="shared" si="47"/>
        <v>0</v>
      </c>
      <c r="N405" s="107" t="str">
        <f t="shared" si="48"/>
        <v/>
      </c>
    </row>
    <row r="406" spans="2:14" x14ac:dyDescent="0.25">
      <c r="B406" s="82">
        <f>SUBTOTAL(103,$D$8:D406)</f>
        <v>399</v>
      </c>
      <c r="C406" s="83" t="s">
        <v>414</v>
      </c>
      <c r="D406" s="84">
        <v>0</v>
      </c>
      <c r="E406" s="85" t="str">
        <f t="shared" si="43"/>
        <v/>
      </c>
      <c r="F406" s="106" t="str">
        <f t="shared" si="49"/>
        <v/>
      </c>
      <c r="G406" s="86"/>
      <c r="H406" s="107">
        <f t="shared" si="44"/>
        <v>0</v>
      </c>
      <c r="I406" s="107">
        <f t="shared" si="45"/>
        <v>0</v>
      </c>
      <c r="J406" s="87">
        <f>IF($D406&gt;0,IFERROR(Параметры!$D$42*$H406/$H$2408,0),0)</f>
        <v>0</v>
      </c>
      <c r="K406" s="87">
        <f>IFERROR(ROUND($N406*Параметры!$D$36,2),0)</f>
        <v>0</v>
      </c>
      <c r="L406" s="87">
        <f t="shared" si="46"/>
        <v>0</v>
      </c>
      <c r="M406" s="87">
        <f t="shared" si="47"/>
        <v>0</v>
      </c>
      <c r="N406" s="107" t="str">
        <f t="shared" si="48"/>
        <v/>
      </c>
    </row>
    <row r="407" spans="2:14" x14ac:dyDescent="0.25">
      <c r="B407" s="82">
        <f>SUBTOTAL(103,$D$8:D407)</f>
        <v>400</v>
      </c>
      <c r="C407" s="83" t="s">
        <v>415</v>
      </c>
      <c r="D407" s="84">
        <v>0</v>
      </c>
      <c r="E407" s="85" t="str">
        <f t="shared" si="43"/>
        <v/>
      </c>
      <c r="F407" s="106" t="str">
        <f t="shared" si="49"/>
        <v/>
      </c>
      <c r="G407" s="86"/>
      <c r="H407" s="107">
        <f t="shared" si="44"/>
        <v>0</v>
      </c>
      <c r="I407" s="107">
        <f t="shared" si="45"/>
        <v>0</v>
      </c>
      <c r="J407" s="87">
        <f>IF($D407&gt;0,IFERROR(Параметры!$D$42*$H407/$H$2408,0),0)</f>
        <v>0</v>
      </c>
      <c r="K407" s="87">
        <f>IFERROR(ROUND($N407*Параметры!$D$36,2),0)</f>
        <v>0</v>
      </c>
      <c r="L407" s="87">
        <f t="shared" si="46"/>
        <v>0</v>
      </c>
      <c r="M407" s="87">
        <f t="shared" si="47"/>
        <v>0</v>
      </c>
      <c r="N407" s="107" t="str">
        <f t="shared" si="48"/>
        <v/>
      </c>
    </row>
    <row r="408" spans="2:14" x14ac:dyDescent="0.25">
      <c r="B408" s="82">
        <f>SUBTOTAL(103,$D$8:D408)</f>
        <v>401</v>
      </c>
      <c r="C408" s="83" t="s">
        <v>416</v>
      </c>
      <c r="D408" s="84">
        <v>0</v>
      </c>
      <c r="E408" s="85" t="str">
        <f t="shared" si="43"/>
        <v/>
      </c>
      <c r="F408" s="106" t="str">
        <f t="shared" si="49"/>
        <v/>
      </c>
      <c r="G408" s="86"/>
      <c r="H408" s="107">
        <f t="shared" si="44"/>
        <v>0</v>
      </c>
      <c r="I408" s="107">
        <f t="shared" si="45"/>
        <v>0</v>
      </c>
      <c r="J408" s="87">
        <f>IF($D408&gt;0,IFERROR(Параметры!$D$42*$H408/$H$2408,0),0)</f>
        <v>0</v>
      </c>
      <c r="K408" s="87">
        <f>IFERROR(ROUND($N408*Параметры!$D$36,2),0)</f>
        <v>0</v>
      </c>
      <c r="L408" s="87">
        <f t="shared" si="46"/>
        <v>0</v>
      </c>
      <c r="M408" s="87">
        <f t="shared" si="47"/>
        <v>0</v>
      </c>
      <c r="N408" s="107" t="str">
        <f t="shared" si="48"/>
        <v/>
      </c>
    </row>
    <row r="409" spans="2:14" x14ac:dyDescent="0.25">
      <c r="B409" s="82">
        <f>SUBTOTAL(103,$D$8:D409)</f>
        <v>402</v>
      </c>
      <c r="C409" s="83" t="s">
        <v>417</v>
      </c>
      <c r="D409" s="84">
        <v>0</v>
      </c>
      <c r="E409" s="85" t="str">
        <f t="shared" si="43"/>
        <v/>
      </c>
      <c r="F409" s="106" t="str">
        <f t="shared" si="49"/>
        <v/>
      </c>
      <c r="G409" s="86"/>
      <c r="H409" s="107">
        <f t="shared" si="44"/>
        <v>0</v>
      </c>
      <c r="I409" s="107">
        <f t="shared" si="45"/>
        <v>0</v>
      </c>
      <c r="J409" s="87">
        <f>IF($D409&gt;0,IFERROR(Параметры!$D$42*$H409/$H$2408,0),0)</f>
        <v>0</v>
      </c>
      <c r="K409" s="87">
        <f>IFERROR(ROUND($N409*Параметры!$D$36,2),0)</f>
        <v>0</v>
      </c>
      <c r="L409" s="87">
        <f t="shared" si="46"/>
        <v>0</v>
      </c>
      <c r="M409" s="87">
        <f t="shared" si="47"/>
        <v>0</v>
      </c>
      <c r="N409" s="107" t="str">
        <f t="shared" si="48"/>
        <v/>
      </c>
    </row>
    <row r="410" spans="2:14" x14ac:dyDescent="0.25">
      <c r="B410" s="82">
        <f>SUBTOTAL(103,$D$8:D410)</f>
        <v>403</v>
      </c>
      <c r="C410" s="83" t="s">
        <v>418</v>
      </c>
      <c r="D410" s="84">
        <v>0</v>
      </c>
      <c r="E410" s="85" t="str">
        <f t="shared" si="43"/>
        <v/>
      </c>
      <c r="F410" s="106" t="str">
        <f t="shared" si="49"/>
        <v/>
      </c>
      <c r="G410" s="86"/>
      <c r="H410" s="107">
        <f t="shared" si="44"/>
        <v>0</v>
      </c>
      <c r="I410" s="107">
        <f t="shared" si="45"/>
        <v>0</v>
      </c>
      <c r="J410" s="87">
        <f>IF($D410&gt;0,IFERROR(Параметры!$D$42*$H410/$H$2408,0),0)</f>
        <v>0</v>
      </c>
      <c r="K410" s="87">
        <f>IFERROR(ROUND($N410*Параметры!$D$36,2),0)</f>
        <v>0</v>
      </c>
      <c r="L410" s="87">
        <f t="shared" si="46"/>
        <v>0</v>
      </c>
      <c r="M410" s="87">
        <f t="shared" si="47"/>
        <v>0</v>
      </c>
      <c r="N410" s="107" t="str">
        <f t="shared" si="48"/>
        <v/>
      </c>
    </row>
    <row r="411" spans="2:14" x14ac:dyDescent="0.25">
      <c r="B411" s="82">
        <f>SUBTOTAL(103,$D$8:D411)</f>
        <v>404</v>
      </c>
      <c r="C411" s="83" t="s">
        <v>419</v>
      </c>
      <c r="D411" s="84">
        <v>0</v>
      </c>
      <c r="E411" s="85" t="str">
        <f t="shared" si="43"/>
        <v/>
      </c>
      <c r="F411" s="106" t="str">
        <f t="shared" si="49"/>
        <v/>
      </c>
      <c r="G411" s="86"/>
      <c r="H411" s="107">
        <f t="shared" si="44"/>
        <v>0</v>
      </c>
      <c r="I411" s="107">
        <f t="shared" si="45"/>
        <v>0</v>
      </c>
      <c r="J411" s="87">
        <f>IF($D411&gt;0,IFERROR(Параметры!$D$42*$H411/$H$2408,0),0)</f>
        <v>0</v>
      </c>
      <c r="K411" s="87">
        <f>IFERROR(ROUND($N411*Параметры!$D$36,2),0)</f>
        <v>0</v>
      </c>
      <c r="L411" s="87">
        <f t="shared" si="46"/>
        <v>0</v>
      </c>
      <c r="M411" s="87">
        <f t="shared" si="47"/>
        <v>0</v>
      </c>
      <c r="N411" s="107" t="str">
        <f t="shared" si="48"/>
        <v/>
      </c>
    </row>
    <row r="412" spans="2:14" x14ac:dyDescent="0.25">
      <c r="B412" s="82">
        <f>SUBTOTAL(103,$D$8:D412)</f>
        <v>405</v>
      </c>
      <c r="C412" s="83" t="s">
        <v>420</v>
      </c>
      <c r="D412" s="84">
        <v>0</v>
      </c>
      <c r="E412" s="85" t="str">
        <f t="shared" si="43"/>
        <v/>
      </c>
      <c r="F412" s="106" t="str">
        <f t="shared" si="49"/>
        <v/>
      </c>
      <c r="G412" s="86"/>
      <c r="H412" s="107">
        <f t="shared" si="44"/>
        <v>0</v>
      </c>
      <c r="I412" s="107">
        <f t="shared" si="45"/>
        <v>0</v>
      </c>
      <c r="J412" s="87">
        <f>IF($D412&gt;0,IFERROR(Параметры!$D$42*$H412/$H$2408,0),0)</f>
        <v>0</v>
      </c>
      <c r="K412" s="87">
        <f>IFERROR(ROUND($N412*Параметры!$D$36,2),0)</f>
        <v>0</v>
      </c>
      <c r="L412" s="87">
        <f t="shared" si="46"/>
        <v>0</v>
      </c>
      <c r="M412" s="87">
        <f t="shared" si="47"/>
        <v>0</v>
      </c>
      <c r="N412" s="107" t="str">
        <f t="shared" si="48"/>
        <v/>
      </c>
    </row>
    <row r="413" spans="2:14" x14ac:dyDescent="0.25">
      <c r="B413" s="82">
        <f>SUBTOTAL(103,$D$8:D413)</f>
        <v>406</v>
      </c>
      <c r="C413" s="83" t="s">
        <v>421</v>
      </c>
      <c r="D413" s="84">
        <v>0</v>
      </c>
      <c r="E413" s="85" t="str">
        <f t="shared" si="43"/>
        <v/>
      </c>
      <c r="F413" s="106" t="str">
        <f t="shared" si="49"/>
        <v/>
      </c>
      <c r="G413" s="86"/>
      <c r="H413" s="107">
        <f t="shared" si="44"/>
        <v>0</v>
      </c>
      <c r="I413" s="107">
        <f t="shared" si="45"/>
        <v>0</v>
      </c>
      <c r="J413" s="87">
        <f>IF($D413&gt;0,IFERROR(Параметры!$D$42*$H413/$H$2408,0),0)</f>
        <v>0</v>
      </c>
      <c r="K413" s="87">
        <f>IFERROR(ROUND($N413*Параметры!$D$36,2),0)</f>
        <v>0</v>
      </c>
      <c r="L413" s="87">
        <f t="shared" si="46"/>
        <v>0</v>
      </c>
      <c r="M413" s="87">
        <f t="shared" si="47"/>
        <v>0</v>
      </c>
      <c r="N413" s="107" t="str">
        <f t="shared" si="48"/>
        <v/>
      </c>
    </row>
    <row r="414" spans="2:14" x14ac:dyDescent="0.25">
      <c r="B414" s="82">
        <f>SUBTOTAL(103,$D$8:D414)</f>
        <v>407</v>
      </c>
      <c r="C414" s="83" t="s">
        <v>422</v>
      </c>
      <c r="D414" s="84">
        <v>0</v>
      </c>
      <c r="E414" s="85" t="str">
        <f t="shared" si="43"/>
        <v/>
      </c>
      <c r="F414" s="106" t="str">
        <f t="shared" si="49"/>
        <v/>
      </c>
      <c r="G414" s="86"/>
      <c r="H414" s="107">
        <f t="shared" si="44"/>
        <v>0</v>
      </c>
      <c r="I414" s="107">
        <f t="shared" si="45"/>
        <v>0</v>
      </c>
      <c r="J414" s="87">
        <f>IF($D414&gt;0,IFERROR(Параметры!$D$42*$H414/$H$2408,0),0)</f>
        <v>0</v>
      </c>
      <c r="K414" s="87">
        <f>IFERROR(ROUND($N414*Параметры!$D$36,2),0)</f>
        <v>0</v>
      </c>
      <c r="L414" s="87">
        <f t="shared" si="46"/>
        <v>0</v>
      </c>
      <c r="M414" s="87">
        <f t="shared" si="47"/>
        <v>0</v>
      </c>
      <c r="N414" s="107" t="str">
        <f t="shared" si="48"/>
        <v/>
      </c>
    </row>
    <row r="415" spans="2:14" x14ac:dyDescent="0.25">
      <c r="B415" s="82">
        <f>SUBTOTAL(103,$D$8:D415)</f>
        <v>408</v>
      </c>
      <c r="C415" s="83" t="s">
        <v>423</v>
      </c>
      <c r="D415" s="84">
        <v>0</v>
      </c>
      <c r="E415" s="85" t="str">
        <f t="shared" si="43"/>
        <v/>
      </c>
      <c r="F415" s="106" t="str">
        <f t="shared" si="49"/>
        <v/>
      </c>
      <c r="G415" s="86"/>
      <c r="H415" s="107">
        <f t="shared" si="44"/>
        <v>0</v>
      </c>
      <c r="I415" s="107">
        <f t="shared" si="45"/>
        <v>0</v>
      </c>
      <c r="J415" s="87">
        <f>IF($D415&gt;0,IFERROR(Параметры!$D$42*$H415/$H$2408,0),0)</f>
        <v>0</v>
      </c>
      <c r="K415" s="87">
        <f>IFERROR(ROUND($N415*Параметры!$D$36,2),0)</f>
        <v>0</v>
      </c>
      <c r="L415" s="87">
        <f t="shared" si="46"/>
        <v>0</v>
      </c>
      <c r="M415" s="87">
        <f t="shared" si="47"/>
        <v>0</v>
      </c>
      <c r="N415" s="107" t="str">
        <f t="shared" si="48"/>
        <v/>
      </c>
    </row>
    <row r="416" spans="2:14" x14ac:dyDescent="0.25">
      <c r="B416" s="82">
        <f>SUBTOTAL(103,$D$8:D416)</f>
        <v>409</v>
      </c>
      <c r="C416" s="83" t="s">
        <v>424</v>
      </c>
      <c r="D416" s="84">
        <v>0</v>
      </c>
      <c r="E416" s="85" t="str">
        <f t="shared" si="43"/>
        <v/>
      </c>
      <c r="F416" s="106" t="str">
        <f t="shared" si="49"/>
        <v/>
      </c>
      <c r="G416" s="86"/>
      <c r="H416" s="107">
        <f t="shared" si="44"/>
        <v>0</v>
      </c>
      <c r="I416" s="107">
        <f t="shared" si="45"/>
        <v>0</v>
      </c>
      <c r="J416" s="87">
        <f>IF($D416&gt;0,IFERROR(Параметры!$D$42*$H416/$H$2408,0),0)</f>
        <v>0</v>
      </c>
      <c r="K416" s="87">
        <f>IFERROR(ROUND($N416*Параметры!$D$36,2),0)</f>
        <v>0</v>
      </c>
      <c r="L416" s="87">
        <f t="shared" si="46"/>
        <v>0</v>
      </c>
      <c r="M416" s="87">
        <f t="shared" si="47"/>
        <v>0</v>
      </c>
      <c r="N416" s="107" t="str">
        <f t="shared" si="48"/>
        <v/>
      </c>
    </row>
    <row r="417" spans="2:14" x14ac:dyDescent="0.25">
      <c r="B417" s="82">
        <f>SUBTOTAL(103,$D$8:D417)</f>
        <v>410</v>
      </c>
      <c r="C417" s="83" t="s">
        <v>425</v>
      </c>
      <c r="D417" s="84">
        <v>0</v>
      </c>
      <c r="E417" s="85" t="str">
        <f t="shared" si="43"/>
        <v/>
      </c>
      <c r="F417" s="106" t="str">
        <f t="shared" si="49"/>
        <v/>
      </c>
      <c r="G417" s="86"/>
      <c r="H417" s="107">
        <f t="shared" si="44"/>
        <v>0</v>
      </c>
      <c r="I417" s="107">
        <f t="shared" si="45"/>
        <v>0</v>
      </c>
      <c r="J417" s="87">
        <f>IF($D417&gt;0,IFERROR(Параметры!$D$42*$H417/$H$2408,0),0)</f>
        <v>0</v>
      </c>
      <c r="K417" s="87">
        <f>IFERROR(ROUND($N417*Параметры!$D$36,2),0)</f>
        <v>0</v>
      </c>
      <c r="L417" s="87">
        <f t="shared" si="46"/>
        <v>0</v>
      </c>
      <c r="M417" s="87">
        <f t="shared" si="47"/>
        <v>0</v>
      </c>
      <c r="N417" s="107" t="str">
        <f t="shared" si="48"/>
        <v/>
      </c>
    </row>
    <row r="418" spans="2:14" x14ac:dyDescent="0.25">
      <c r="B418" s="82">
        <f>SUBTOTAL(103,$D$8:D418)</f>
        <v>411</v>
      </c>
      <c r="C418" s="83" t="s">
        <v>426</v>
      </c>
      <c r="D418" s="84">
        <v>0</v>
      </c>
      <c r="E418" s="85" t="str">
        <f t="shared" si="43"/>
        <v/>
      </c>
      <c r="F418" s="106" t="str">
        <f t="shared" si="49"/>
        <v/>
      </c>
      <c r="G418" s="86"/>
      <c r="H418" s="107">
        <f t="shared" si="44"/>
        <v>0</v>
      </c>
      <c r="I418" s="107">
        <f t="shared" si="45"/>
        <v>0</v>
      </c>
      <c r="J418" s="87">
        <f>IF($D418&gt;0,IFERROR(Параметры!$D$42*$H418/$H$2408,0),0)</f>
        <v>0</v>
      </c>
      <c r="K418" s="87">
        <f>IFERROR(ROUND($N418*Параметры!$D$36,2),0)</f>
        <v>0</v>
      </c>
      <c r="L418" s="87">
        <f t="shared" si="46"/>
        <v>0</v>
      </c>
      <c r="M418" s="87">
        <f t="shared" si="47"/>
        <v>0</v>
      </c>
      <c r="N418" s="107" t="str">
        <f t="shared" si="48"/>
        <v/>
      </c>
    </row>
    <row r="419" spans="2:14" x14ac:dyDescent="0.25">
      <c r="B419" s="82">
        <f>SUBTOTAL(103,$D$8:D419)</f>
        <v>412</v>
      </c>
      <c r="C419" s="83" t="s">
        <v>427</v>
      </c>
      <c r="D419" s="84">
        <v>0</v>
      </c>
      <c r="E419" s="85" t="str">
        <f t="shared" si="43"/>
        <v/>
      </c>
      <c r="F419" s="106" t="str">
        <f t="shared" si="49"/>
        <v/>
      </c>
      <c r="G419" s="86"/>
      <c r="H419" s="107">
        <f t="shared" si="44"/>
        <v>0</v>
      </c>
      <c r="I419" s="107">
        <f t="shared" si="45"/>
        <v>0</v>
      </c>
      <c r="J419" s="87">
        <f>IF($D419&gt;0,IFERROR(Параметры!$D$42*$H419/$H$2408,0),0)</f>
        <v>0</v>
      </c>
      <c r="K419" s="87">
        <f>IFERROR(ROUND($N419*Параметры!$D$36,2),0)</f>
        <v>0</v>
      </c>
      <c r="L419" s="87">
        <f t="shared" si="46"/>
        <v>0</v>
      </c>
      <c r="M419" s="87">
        <f t="shared" si="47"/>
        <v>0</v>
      </c>
      <c r="N419" s="107" t="str">
        <f t="shared" si="48"/>
        <v/>
      </c>
    </row>
    <row r="420" spans="2:14" x14ac:dyDescent="0.25">
      <c r="B420" s="82">
        <f>SUBTOTAL(103,$D$8:D420)</f>
        <v>413</v>
      </c>
      <c r="C420" s="83" t="s">
        <v>428</v>
      </c>
      <c r="D420" s="84">
        <v>0</v>
      </c>
      <c r="E420" s="85" t="str">
        <f t="shared" si="43"/>
        <v/>
      </c>
      <c r="F420" s="106" t="str">
        <f t="shared" si="49"/>
        <v/>
      </c>
      <c r="G420" s="86"/>
      <c r="H420" s="107">
        <f t="shared" si="44"/>
        <v>0</v>
      </c>
      <c r="I420" s="107">
        <f t="shared" si="45"/>
        <v>0</v>
      </c>
      <c r="J420" s="87">
        <f>IF($D420&gt;0,IFERROR(Параметры!$D$42*$H420/$H$2408,0),0)</f>
        <v>0</v>
      </c>
      <c r="K420" s="87">
        <f>IFERROR(ROUND($N420*Параметры!$D$36,2),0)</f>
        <v>0</v>
      </c>
      <c r="L420" s="87">
        <f t="shared" si="46"/>
        <v>0</v>
      </c>
      <c r="M420" s="87">
        <f t="shared" si="47"/>
        <v>0</v>
      </c>
      <c r="N420" s="107" t="str">
        <f t="shared" si="48"/>
        <v/>
      </c>
    </row>
    <row r="421" spans="2:14" x14ac:dyDescent="0.25">
      <c r="B421" s="82">
        <f>SUBTOTAL(103,$D$8:D421)</f>
        <v>414</v>
      </c>
      <c r="C421" s="83" t="s">
        <v>429</v>
      </c>
      <c r="D421" s="84">
        <v>0</v>
      </c>
      <c r="E421" s="85" t="str">
        <f t="shared" si="43"/>
        <v/>
      </c>
      <c r="F421" s="106" t="str">
        <f t="shared" si="49"/>
        <v/>
      </c>
      <c r="G421" s="86"/>
      <c r="H421" s="107">
        <f t="shared" si="44"/>
        <v>0</v>
      </c>
      <c r="I421" s="107">
        <f t="shared" si="45"/>
        <v>0</v>
      </c>
      <c r="J421" s="87">
        <f>IF($D421&gt;0,IFERROR(Параметры!$D$42*$H421/$H$2408,0),0)</f>
        <v>0</v>
      </c>
      <c r="K421" s="87">
        <f>IFERROR(ROUND($N421*Параметры!$D$36,2),0)</f>
        <v>0</v>
      </c>
      <c r="L421" s="87">
        <f t="shared" si="46"/>
        <v>0</v>
      </c>
      <c r="M421" s="87">
        <f t="shared" si="47"/>
        <v>0</v>
      </c>
      <c r="N421" s="107" t="str">
        <f t="shared" si="48"/>
        <v/>
      </c>
    </row>
    <row r="422" spans="2:14" x14ac:dyDescent="0.25">
      <c r="B422" s="82">
        <f>SUBTOTAL(103,$D$8:D422)</f>
        <v>415</v>
      </c>
      <c r="C422" s="83" t="s">
        <v>430</v>
      </c>
      <c r="D422" s="84">
        <v>0</v>
      </c>
      <c r="E422" s="85" t="str">
        <f t="shared" si="43"/>
        <v/>
      </c>
      <c r="F422" s="106" t="str">
        <f t="shared" si="49"/>
        <v/>
      </c>
      <c r="G422" s="86"/>
      <c r="H422" s="107">
        <f t="shared" si="44"/>
        <v>0</v>
      </c>
      <c r="I422" s="107">
        <f t="shared" si="45"/>
        <v>0</v>
      </c>
      <c r="J422" s="87">
        <f>IF($D422&gt;0,IFERROR(Параметры!$D$42*$H422/$H$2408,0),0)</f>
        <v>0</v>
      </c>
      <c r="K422" s="87">
        <f>IFERROR(ROUND($N422*Параметры!$D$36,2),0)</f>
        <v>0</v>
      </c>
      <c r="L422" s="87">
        <f t="shared" si="46"/>
        <v>0</v>
      </c>
      <c r="M422" s="87">
        <f t="shared" si="47"/>
        <v>0</v>
      </c>
      <c r="N422" s="107" t="str">
        <f t="shared" si="48"/>
        <v/>
      </c>
    </row>
    <row r="423" spans="2:14" x14ac:dyDescent="0.25">
      <c r="B423" s="82">
        <f>SUBTOTAL(103,$D$8:D423)</f>
        <v>416</v>
      </c>
      <c r="C423" s="83" t="s">
        <v>431</v>
      </c>
      <c r="D423" s="84">
        <v>0</v>
      </c>
      <c r="E423" s="85" t="str">
        <f t="shared" si="43"/>
        <v/>
      </c>
      <c r="F423" s="106" t="str">
        <f t="shared" si="49"/>
        <v/>
      </c>
      <c r="G423" s="86"/>
      <c r="H423" s="107">
        <f t="shared" si="44"/>
        <v>0</v>
      </c>
      <c r="I423" s="107">
        <f t="shared" si="45"/>
        <v>0</v>
      </c>
      <c r="J423" s="87">
        <f>IF($D423&gt;0,IFERROR(Параметры!$D$42*$H423/$H$2408,0),0)</f>
        <v>0</v>
      </c>
      <c r="K423" s="87">
        <f>IFERROR(ROUND($N423*Параметры!$D$36,2),0)</f>
        <v>0</v>
      </c>
      <c r="L423" s="87">
        <f t="shared" si="46"/>
        <v>0</v>
      </c>
      <c r="M423" s="87">
        <f t="shared" si="47"/>
        <v>0</v>
      </c>
      <c r="N423" s="107" t="str">
        <f t="shared" si="48"/>
        <v/>
      </c>
    </row>
    <row r="424" spans="2:14" x14ac:dyDescent="0.25">
      <c r="B424" s="82">
        <f>SUBTOTAL(103,$D$8:D424)</f>
        <v>417</v>
      </c>
      <c r="C424" s="83" t="s">
        <v>432</v>
      </c>
      <c r="D424" s="84">
        <v>0</v>
      </c>
      <c r="E424" s="85" t="str">
        <f t="shared" si="43"/>
        <v/>
      </c>
      <c r="F424" s="106" t="str">
        <f t="shared" si="49"/>
        <v/>
      </c>
      <c r="G424" s="86"/>
      <c r="H424" s="107">
        <f t="shared" si="44"/>
        <v>0</v>
      </c>
      <c r="I424" s="107">
        <f t="shared" si="45"/>
        <v>0</v>
      </c>
      <c r="J424" s="87">
        <f>IF($D424&gt;0,IFERROR(Параметры!$D$42*$H424/$H$2408,0),0)</f>
        <v>0</v>
      </c>
      <c r="K424" s="87">
        <f>IFERROR(ROUND($N424*Параметры!$D$36,2),0)</f>
        <v>0</v>
      </c>
      <c r="L424" s="87">
        <f t="shared" si="46"/>
        <v>0</v>
      </c>
      <c r="M424" s="87">
        <f t="shared" si="47"/>
        <v>0</v>
      </c>
      <c r="N424" s="107" t="str">
        <f t="shared" si="48"/>
        <v/>
      </c>
    </row>
    <row r="425" spans="2:14" x14ac:dyDescent="0.25">
      <c r="B425" s="82">
        <f>SUBTOTAL(103,$D$8:D425)</f>
        <v>418</v>
      </c>
      <c r="C425" s="83" t="s">
        <v>433</v>
      </c>
      <c r="D425" s="84">
        <v>0</v>
      </c>
      <c r="E425" s="85" t="str">
        <f t="shared" si="43"/>
        <v/>
      </c>
      <c r="F425" s="106" t="str">
        <f t="shared" si="49"/>
        <v/>
      </c>
      <c r="G425" s="86"/>
      <c r="H425" s="107">
        <f t="shared" si="44"/>
        <v>0</v>
      </c>
      <c r="I425" s="107">
        <f t="shared" si="45"/>
        <v>0</v>
      </c>
      <c r="J425" s="87">
        <f>IF($D425&gt;0,IFERROR(Параметры!$D$42*$H425/$H$2408,0),0)</f>
        <v>0</v>
      </c>
      <c r="K425" s="87">
        <f>IFERROR(ROUND($N425*Параметры!$D$36,2),0)</f>
        <v>0</v>
      </c>
      <c r="L425" s="87">
        <f t="shared" si="46"/>
        <v>0</v>
      </c>
      <c r="M425" s="87">
        <f t="shared" si="47"/>
        <v>0</v>
      </c>
      <c r="N425" s="107" t="str">
        <f t="shared" si="48"/>
        <v/>
      </c>
    </row>
    <row r="426" spans="2:14" x14ac:dyDescent="0.25">
      <c r="B426" s="82">
        <f>SUBTOTAL(103,$D$8:D426)</f>
        <v>419</v>
      </c>
      <c r="C426" s="83" t="s">
        <v>434</v>
      </c>
      <c r="D426" s="84">
        <v>0</v>
      </c>
      <c r="E426" s="85" t="str">
        <f t="shared" si="43"/>
        <v/>
      </c>
      <c r="F426" s="106" t="str">
        <f t="shared" si="49"/>
        <v/>
      </c>
      <c r="G426" s="86"/>
      <c r="H426" s="107">
        <f t="shared" si="44"/>
        <v>0</v>
      </c>
      <c r="I426" s="107">
        <f t="shared" si="45"/>
        <v>0</v>
      </c>
      <c r="J426" s="87">
        <f>IF($D426&gt;0,IFERROR(Параметры!$D$42*$H426/$H$2408,0),0)</f>
        <v>0</v>
      </c>
      <c r="K426" s="87">
        <f>IFERROR(ROUND($N426*Параметры!$D$36,2),0)</f>
        <v>0</v>
      </c>
      <c r="L426" s="87">
        <f t="shared" si="46"/>
        <v>0</v>
      </c>
      <c r="M426" s="87">
        <f t="shared" si="47"/>
        <v>0</v>
      </c>
      <c r="N426" s="107" t="str">
        <f t="shared" si="48"/>
        <v/>
      </c>
    </row>
    <row r="427" spans="2:14" x14ac:dyDescent="0.25">
      <c r="B427" s="82">
        <f>SUBTOTAL(103,$D$8:D427)</f>
        <v>420</v>
      </c>
      <c r="C427" s="83" t="s">
        <v>435</v>
      </c>
      <c r="D427" s="84">
        <v>0</v>
      </c>
      <c r="E427" s="85" t="str">
        <f t="shared" si="43"/>
        <v/>
      </c>
      <c r="F427" s="106" t="str">
        <f t="shared" si="49"/>
        <v/>
      </c>
      <c r="G427" s="86"/>
      <c r="H427" s="107">
        <f t="shared" si="44"/>
        <v>0</v>
      </c>
      <c r="I427" s="107">
        <f t="shared" si="45"/>
        <v>0</v>
      </c>
      <c r="J427" s="87">
        <f>IF($D427&gt;0,IFERROR(Параметры!$D$42*$H427/$H$2408,0),0)</f>
        <v>0</v>
      </c>
      <c r="K427" s="87">
        <f>IFERROR(ROUND($N427*Параметры!$D$36,2),0)</f>
        <v>0</v>
      </c>
      <c r="L427" s="87">
        <f t="shared" si="46"/>
        <v>0</v>
      </c>
      <c r="M427" s="87">
        <f t="shared" si="47"/>
        <v>0</v>
      </c>
      <c r="N427" s="107" t="str">
        <f t="shared" si="48"/>
        <v/>
      </c>
    </row>
    <row r="428" spans="2:14" x14ac:dyDescent="0.25">
      <c r="B428" s="82">
        <f>SUBTOTAL(103,$D$8:D428)</f>
        <v>421</v>
      </c>
      <c r="C428" s="83" t="s">
        <v>436</v>
      </c>
      <c r="D428" s="84">
        <f t="array" ref="D428:D487">TRANSPOSE('Зарядная карта'!$C$12:$BJ$12)</f>
        <v>4</v>
      </c>
      <c r="E428" s="85">
        <f t="shared" si="43"/>
        <v>62.814700000000002</v>
      </c>
      <c r="F428" s="106">
        <f t="shared" si="49"/>
        <v>2</v>
      </c>
      <c r="G428" s="86"/>
      <c r="H428" s="107">
        <f t="shared" si="44"/>
        <v>3.44</v>
      </c>
      <c r="I428" s="107">
        <f t="shared" si="45"/>
        <v>0.56000000000000005</v>
      </c>
      <c r="J428" s="87">
        <f>IF($D428&gt;0,IFERROR(Параметры!$D$42*$H428/$H$2408,0),0)</f>
        <v>60.103959390862947</v>
      </c>
      <c r="K428" s="87">
        <f>IFERROR(ROUND($N428*Параметры!$D$36,2),0)</f>
        <v>59.54</v>
      </c>
      <c r="L428" s="87">
        <f t="shared" si="46"/>
        <v>3.2747000000000002</v>
      </c>
      <c r="M428" s="87">
        <f t="shared" si="47"/>
        <v>3.8420790191534921</v>
      </c>
      <c r="N428" s="107">
        <f t="shared" si="48"/>
        <v>2</v>
      </c>
    </row>
    <row r="429" spans="2:14" x14ac:dyDescent="0.25">
      <c r="B429" s="82">
        <f>SUBTOTAL(103,$D$8:D429)</f>
        <v>422</v>
      </c>
      <c r="C429" s="83" t="s">
        <v>437</v>
      </c>
      <c r="D429" s="84">
        <v>8</v>
      </c>
      <c r="E429" s="85">
        <f t="shared" si="43"/>
        <v>188.44409999999999</v>
      </c>
      <c r="F429" s="106">
        <f t="shared" si="49"/>
        <v>2</v>
      </c>
      <c r="G429" s="86"/>
      <c r="H429" s="107">
        <f t="shared" si="44"/>
        <v>6.88</v>
      </c>
      <c r="I429" s="107">
        <f t="shared" si="45"/>
        <v>1.1200000000000001</v>
      </c>
      <c r="J429" s="87">
        <f>IF($D429&gt;0,IFERROR(Параметры!$D$42*$H429/$H$2408,0),0)</f>
        <v>120.20791878172589</v>
      </c>
      <c r="K429" s="87">
        <f>IFERROR(ROUND($N429*Параметры!$D$36,2),0)</f>
        <v>178.62</v>
      </c>
      <c r="L429" s="87">
        <f t="shared" si="46"/>
        <v>9.8240999999999996</v>
      </c>
      <c r="M429" s="87">
        <f t="shared" si="47"/>
        <v>11.526237057460476</v>
      </c>
      <c r="N429" s="107">
        <f t="shared" si="48"/>
        <v>6</v>
      </c>
    </row>
    <row r="430" spans="2:14" x14ac:dyDescent="0.25">
      <c r="B430" s="82">
        <f>SUBTOTAL(103,$D$8:D430)</f>
        <v>423</v>
      </c>
      <c r="C430" s="83" t="s">
        <v>438</v>
      </c>
      <c r="D430" s="84">
        <v>8</v>
      </c>
      <c r="E430" s="85">
        <f t="shared" si="43"/>
        <v>188.44409999999999</v>
      </c>
      <c r="F430" s="106">
        <f t="shared" si="49"/>
        <v>2</v>
      </c>
      <c r="G430" s="86"/>
      <c r="H430" s="107">
        <f t="shared" si="44"/>
        <v>6.88</v>
      </c>
      <c r="I430" s="107">
        <f t="shared" si="45"/>
        <v>1.1200000000000001</v>
      </c>
      <c r="J430" s="87">
        <f>IF($D430&gt;0,IFERROR(Параметры!$D$42*$H430/$H$2408,0),0)</f>
        <v>120.20791878172589</v>
      </c>
      <c r="K430" s="87">
        <f>IFERROR(ROUND($N430*Параметры!$D$36,2),0)</f>
        <v>178.62</v>
      </c>
      <c r="L430" s="87">
        <f t="shared" si="46"/>
        <v>9.8240999999999996</v>
      </c>
      <c r="M430" s="87">
        <f t="shared" si="47"/>
        <v>11.526237057460476</v>
      </c>
      <c r="N430" s="107">
        <f t="shared" si="48"/>
        <v>6</v>
      </c>
    </row>
    <row r="431" spans="2:14" x14ac:dyDescent="0.25">
      <c r="B431" s="82">
        <f>SUBTOTAL(103,$D$8:D431)</f>
        <v>424</v>
      </c>
      <c r="C431" s="83" t="s">
        <v>439</v>
      </c>
      <c r="D431" s="84">
        <v>8</v>
      </c>
      <c r="E431" s="85">
        <f t="shared" si="43"/>
        <v>188.44409999999999</v>
      </c>
      <c r="F431" s="106">
        <f t="shared" si="49"/>
        <v>2</v>
      </c>
      <c r="G431" s="86"/>
      <c r="H431" s="107">
        <f t="shared" si="44"/>
        <v>6.88</v>
      </c>
      <c r="I431" s="107">
        <f t="shared" si="45"/>
        <v>1.1200000000000001</v>
      </c>
      <c r="J431" s="87">
        <f>IF($D431&gt;0,IFERROR(Параметры!$D$42*$H431/$H$2408,0),0)</f>
        <v>120.20791878172589</v>
      </c>
      <c r="K431" s="87">
        <f>IFERROR(ROUND($N431*Параметры!$D$36,2),0)</f>
        <v>178.62</v>
      </c>
      <c r="L431" s="87">
        <f t="shared" si="46"/>
        <v>9.8240999999999996</v>
      </c>
      <c r="M431" s="87">
        <f t="shared" si="47"/>
        <v>11.526237057460476</v>
      </c>
      <c r="N431" s="107">
        <f t="shared" si="48"/>
        <v>6</v>
      </c>
    </row>
    <row r="432" spans="2:14" x14ac:dyDescent="0.25">
      <c r="B432" s="82">
        <f>SUBTOTAL(103,$D$8:D432)</f>
        <v>425</v>
      </c>
      <c r="C432" s="83" t="s">
        <v>440</v>
      </c>
      <c r="D432" s="84">
        <v>8</v>
      </c>
      <c r="E432" s="85">
        <f t="shared" si="43"/>
        <v>188.44409999999999</v>
      </c>
      <c r="F432" s="106">
        <f t="shared" si="49"/>
        <v>2</v>
      </c>
      <c r="G432" s="86"/>
      <c r="H432" s="107">
        <f t="shared" si="44"/>
        <v>6.88</v>
      </c>
      <c r="I432" s="107">
        <f t="shared" si="45"/>
        <v>1.1200000000000001</v>
      </c>
      <c r="J432" s="87">
        <f>IF($D432&gt;0,IFERROR(Параметры!$D$42*$H432/$H$2408,0),0)</f>
        <v>120.20791878172589</v>
      </c>
      <c r="K432" s="87">
        <f>IFERROR(ROUND($N432*Параметры!$D$36,2),0)</f>
        <v>178.62</v>
      </c>
      <c r="L432" s="87">
        <f t="shared" si="46"/>
        <v>9.8240999999999996</v>
      </c>
      <c r="M432" s="87">
        <f t="shared" si="47"/>
        <v>11.526237057460476</v>
      </c>
      <c r="N432" s="107">
        <f t="shared" si="48"/>
        <v>6</v>
      </c>
    </row>
    <row r="433" spans="2:14" x14ac:dyDescent="0.25">
      <c r="B433" s="82">
        <f>SUBTOTAL(103,$D$8:D433)</f>
        <v>426</v>
      </c>
      <c r="C433" s="83" t="s">
        <v>441</v>
      </c>
      <c r="D433" s="84">
        <v>8</v>
      </c>
      <c r="E433" s="85">
        <f t="shared" si="43"/>
        <v>188.44409999999999</v>
      </c>
      <c r="F433" s="106">
        <f t="shared" si="49"/>
        <v>2</v>
      </c>
      <c r="G433" s="86"/>
      <c r="H433" s="107">
        <f t="shared" si="44"/>
        <v>6.88</v>
      </c>
      <c r="I433" s="107">
        <f t="shared" si="45"/>
        <v>1.1200000000000001</v>
      </c>
      <c r="J433" s="87">
        <f>IF($D433&gt;0,IFERROR(Параметры!$D$42*$H433/$H$2408,0),0)</f>
        <v>120.20791878172589</v>
      </c>
      <c r="K433" s="87">
        <f>IFERROR(ROUND($N433*Параметры!$D$36,2),0)</f>
        <v>178.62</v>
      </c>
      <c r="L433" s="87">
        <f t="shared" si="46"/>
        <v>9.8240999999999996</v>
      </c>
      <c r="M433" s="87">
        <f t="shared" si="47"/>
        <v>11.526237057460476</v>
      </c>
      <c r="N433" s="107">
        <f t="shared" si="48"/>
        <v>6</v>
      </c>
    </row>
    <row r="434" spans="2:14" x14ac:dyDescent="0.25">
      <c r="B434" s="82">
        <f>SUBTOTAL(103,$D$8:D434)</f>
        <v>427</v>
      </c>
      <c r="C434" s="83" t="s">
        <v>442</v>
      </c>
      <c r="D434" s="84">
        <v>8</v>
      </c>
      <c r="E434" s="85">
        <f t="shared" si="43"/>
        <v>188.44409999999999</v>
      </c>
      <c r="F434" s="106">
        <f t="shared" si="49"/>
        <v>2</v>
      </c>
      <c r="G434" s="86"/>
      <c r="H434" s="107">
        <f t="shared" si="44"/>
        <v>6.88</v>
      </c>
      <c r="I434" s="107">
        <f t="shared" si="45"/>
        <v>1.1200000000000001</v>
      </c>
      <c r="J434" s="87">
        <f>IF($D434&gt;0,IFERROR(Параметры!$D$42*$H434/$H$2408,0),0)</f>
        <v>120.20791878172589</v>
      </c>
      <c r="K434" s="87">
        <f>IFERROR(ROUND($N434*Параметры!$D$36,2),0)</f>
        <v>178.62</v>
      </c>
      <c r="L434" s="87">
        <f t="shared" si="46"/>
        <v>9.8240999999999996</v>
      </c>
      <c r="M434" s="87">
        <f t="shared" si="47"/>
        <v>11.526237057460476</v>
      </c>
      <c r="N434" s="107">
        <f t="shared" si="48"/>
        <v>6</v>
      </c>
    </row>
    <row r="435" spans="2:14" x14ac:dyDescent="0.25">
      <c r="B435" s="82">
        <f>SUBTOTAL(103,$D$8:D435)</f>
        <v>428</v>
      </c>
      <c r="C435" s="83" t="s">
        <v>443</v>
      </c>
      <c r="D435" s="84">
        <v>8</v>
      </c>
      <c r="E435" s="85">
        <f t="shared" si="43"/>
        <v>188.44409999999999</v>
      </c>
      <c r="F435" s="106">
        <f t="shared" si="49"/>
        <v>2</v>
      </c>
      <c r="G435" s="86"/>
      <c r="H435" s="107">
        <f t="shared" si="44"/>
        <v>6.88</v>
      </c>
      <c r="I435" s="107">
        <f t="shared" si="45"/>
        <v>1.1200000000000001</v>
      </c>
      <c r="J435" s="87">
        <f>IF($D435&gt;0,IFERROR(Параметры!$D$42*$H435/$H$2408,0),0)</f>
        <v>120.20791878172589</v>
      </c>
      <c r="K435" s="87">
        <f>IFERROR(ROUND($N435*Параметры!$D$36,2),0)</f>
        <v>178.62</v>
      </c>
      <c r="L435" s="87">
        <f t="shared" si="46"/>
        <v>9.8240999999999996</v>
      </c>
      <c r="M435" s="87">
        <f t="shared" si="47"/>
        <v>11.526237057460476</v>
      </c>
      <c r="N435" s="107">
        <f t="shared" si="48"/>
        <v>6</v>
      </c>
    </row>
    <row r="436" spans="2:14" x14ac:dyDescent="0.25">
      <c r="B436" s="82">
        <f>SUBTOTAL(103,$D$8:D436)</f>
        <v>429</v>
      </c>
      <c r="C436" s="83" t="s">
        <v>444</v>
      </c>
      <c r="D436" s="84">
        <v>8</v>
      </c>
      <c r="E436" s="85">
        <f t="shared" si="43"/>
        <v>188.44409999999999</v>
      </c>
      <c r="F436" s="106">
        <f t="shared" si="49"/>
        <v>2</v>
      </c>
      <c r="G436" s="86"/>
      <c r="H436" s="107">
        <f t="shared" si="44"/>
        <v>6.88</v>
      </c>
      <c r="I436" s="107">
        <f t="shared" si="45"/>
        <v>1.1200000000000001</v>
      </c>
      <c r="J436" s="87">
        <f>IF($D436&gt;0,IFERROR(Параметры!$D$42*$H436/$H$2408,0),0)</f>
        <v>120.20791878172589</v>
      </c>
      <c r="K436" s="87">
        <f>IFERROR(ROUND($N436*Параметры!$D$36,2),0)</f>
        <v>178.62</v>
      </c>
      <c r="L436" s="87">
        <f t="shared" si="46"/>
        <v>9.8240999999999996</v>
      </c>
      <c r="M436" s="87">
        <f t="shared" si="47"/>
        <v>11.526237057460476</v>
      </c>
      <c r="N436" s="107">
        <f t="shared" si="48"/>
        <v>6</v>
      </c>
    </row>
    <row r="437" spans="2:14" x14ac:dyDescent="0.25">
      <c r="B437" s="82">
        <f>SUBTOTAL(103,$D$8:D437)</f>
        <v>430</v>
      </c>
      <c r="C437" s="83" t="s">
        <v>445</v>
      </c>
      <c r="D437" s="84">
        <v>8</v>
      </c>
      <c r="E437" s="85">
        <f t="shared" si="43"/>
        <v>188.44409999999999</v>
      </c>
      <c r="F437" s="106">
        <f t="shared" si="49"/>
        <v>2</v>
      </c>
      <c r="G437" s="86"/>
      <c r="H437" s="107">
        <f t="shared" si="44"/>
        <v>6.88</v>
      </c>
      <c r="I437" s="107">
        <f t="shared" si="45"/>
        <v>1.1200000000000001</v>
      </c>
      <c r="J437" s="87">
        <f>IF($D437&gt;0,IFERROR(Параметры!$D$42*$H437/$H$2408,0),0)</f>
        <v>120.20791878172589</v>
      </c>
      <c r="K437" s="87">
        <f>IFERROR(ROUND($N437*Параметры!$D$36,2),0)</f>
        <v>178.62</v>
      </c>
      <c r="L437" s="87">
        <f t="shared" si="46"/>
        <v>9.8240999999999996</v>
      </c>
      <c r="M437" s="87">
        <f t="shared" si="47"/>
        <v>11.526237057460476</v>
      </c>
      <c r="N437" s="107">
        <f t="shared" si="48"/>
        <v>6</v>
      </c>
    </row>
    <row r="438" spans="2:14" x14ac:dyDescent="0.25">
      <c r="B438" s="82">
        <f>SUBTOTAL(103,$D$8:D438)</f>
        <v>431</v>
      </c>
      <c r="C438" s="83" t="s">
        <v>446</v>
      </c>
      <c r="D438" s="84">
        <v>0</v>
      </c>
      <c r="E438" s="85" t="str">
        <f t="shared" si="43"/>
        <v/>
      </c>
      <c r="F438" s="106" t="str">
        <f t="shared" si="49"/>
        <v/>
      </c>
      <c r="G438" s="86"/>
      <c r="H438" s="107">
        <f t="shared" si="44"/>
        <v>0</v>
      </c>
      <c r="I438" s="107">
        <f t="shared" si="45"/>
        <v>0</v>
      </c>
      <c r="J438" s="87">
        <f>IF($D438&gt;0,IFERROR(Параметры!$D$42*$H438/$H$2408,0),0)</f>
        <v>0</v>
      </c>
      <c r="K438" s="87">
        <f>IFERROR(ROUND($N438*Параметры!$D$36,2),0)</f>
        <v>0</v>
      </c>
      <c r="L438" s="87">
        <f t="shared" si="46"/>
        <v>0</v>
      </c>
      <c r="M438" s="87">
        <f t="shared" si="47"/>
        <v>0</v>
      </c>
      <c r="N438" s="107" t="str">
        <f t="shared" si="48"/>
        <v/>
      </c>
    </row>
    <row r="439" spans="2:14" x14ac:dyDescent="0.25">
      <c r="B439" s="82">
        <f>SUBTOTAL(103,$D$8:D439)</f>
        <v>432</v>
      </c>
      <c r="C439" s="83" t="s">
        <v>447</v>
      </c>
      <c r="D439" s="84">
        <v>0</v>
      </c>
      <c r="E439" s="85" t="str">
        <f t="shared" si="43"/>
        <v/>
      </c>
      <c r="F439" s="106" t="str">
        <f t="shared" si="49"/>
        <v/>
      </c>
      <c r="G439" s="86"/>
      <c r="H439" s="107">
        <f t="shared" si="44"/>
        <v>0</v>
      </c>
      <c r="I439" s="107">
        <f t="shared" si="45"/>
        <v>0</v>
      </c>
      <c r="J439" s="87">
        <f>IF($D439&gt;0,IFERROR(Параметры!$D$42*$H439/$H$2408,0),0)</f>
        <v>0</v>
      </c>
      <c r="K439" s="87">
        <f>IFERROR(ROUND($N439*Параметры!$D$36,2),0)</f>
        <v>0</v>
      </c>
      <c r="L439" s="87">
        <f t="shared" si="46"/>
        <v>0</v>
      </c>
      <c r="M439" s="87">
        <f t="shared" si="47"/>
        <v>0</v>
      </c>
      <c r="N439" s="107" t="str">
        <f t="shared" si="48"/>
        <v/>
      </c>
    </row>
    <row r="440" spans="2:14" x14ac:dyDescent="0.25">
      <c r="B440" s="82">
        <f>SUBTOTAL(103,$D$8:D440)</f>
        <v>433</v>
      </c>
      <c r="C440" s="83" t="s">
        <v>448</v>
      </c>
      <c r="D440" s="84">
        <v>0</v>
      </c>
      <c r="E440" s="85" t="str">
        <f t="shared" si="43"/>
        <v/>
      </c>
      <c r="F440" s="106" t="str">
        <f t="shared" si="49"/>
        <v/>
      </c>
      <c r="G440" s="86"/>
      <c r="H440" s="107">
        <f t="shared" si="44"/>
        <v>0</v>
      </c>
      <c r="I440" s="107">
        <f t="shared" si="45"/>
        <v>0</v>
      </c>
      <c r="J440" s="87">
        <f>IF($D440&gt;0,IFERROR(Параметры!$D$42*$H440/$H$2408,0),0)</f>
        <v>0</v>
      </c>
      <c r="K440" s="87">
        <f>IFERROR(ROUND($N440*Параметры!$D$36,2),0)</f>
        <v>0</v>
      </c>
      <c r="L440" s="87">
        <f t="shared" si="46"/>
        <v>0</v>
      </c>
      <c r="M440" s="87">
        <f t="shared" si="47"/>
        <v>0</v>
      </c>
      <c r="N440" s="107" t="str">
        <f t="shared" si="48"/>
        <v/>
      </c>
    </row>
    <row r="441" spans="2:14" x14ac:dyDescent="0.25">
      <c r="B441" s="82">
        <f>SUBTOTAL(103,$D$8:D441)</f>
        <v>434</v>
      </c>
      <c r="C441" s="83" t="s">
        <v>449</v>
      </c>
      <c r="D441" s="84">
        <v>0</v>
      </c>
      <c r="E441" s="85" t="str">
        <f t="shared" si="43"/>
        <v/>
      </c>
      <c r="F441" s="106" t="str">
        <f t="shared" si="49"/>
        <v/>
      </c>
      <c r="G441" s="86"/>
      <c r="H441" s="107">
        <f t="shared" si="44"/>
        <v>0</v>
      </c>
      <c r="I441" s="107">
        <f t="shared" si="45"/>
        <v>0</v>
      </c>
      <c r="J441" s="87">
        <f>IF($D441&gt;0,IFERROR(Параметры!$D$42*$H441/$H$2408,0),0)</f>
        <v>0</v>
      </c>
      <c r="K441" s="87">
        <f>IFERROR(ROUND($N441*Параметры!$D$36,2),0)</f>
        <v>0</v>
      </c>
      <c r="L441" s="87">
        <f t="shared" si="46"/>
        <v>0</v>
      </c>
      <c r="M441" s="87">
        <f t="shared" si="47"/>
        <v>0</v>
      </c>
      <c r="N441" s="107" t="str">
        <f t="shared" si="48"/>
        <v/>
      </c>
    </row>
    <row r="442" spans="2:14" x14ac:dyDescent="0.25">
      <c r="B442" s="82">
        <f>SUBTOTAL(103,$D$8:D442)</f>
        <v>435</v>
      </c>
      <c r="C442" s="83" t="s">
        <v>450</v>
      </c>
      <c r="D442" s="84">
        <v>0</v>
      </c>
      <c r="E442" s="85" t="str">
        <f t="shared" si="43"/>
        <v/>
      </c>
      <c r="F442" s="106" t="str">
        <f t="shared" si="49"/>
        <v/>
      </c>
      <c r="G442" s="86"/>
      <c r="H442" s="107">
        <f t="shared" si="44"/>
        <v>0</v>
      </c>
      <c r="I442" s="107">
        <f t="shared" si="45"/>
        <v>0</v>
      </c>
      <c r="J442" s="87">
        <f>IF($D442&gt;0,IFERROR(Параметры!$D$42*$H442/$H$2408,0),0)</f>
        <v>0</v>
      </c>
      <c r="K442" s="87">
        <f>IFERROR(ROUND($N442*Параметры!$D$36,2),0)</f>
        <v>0</v>
      </c>
      <c r="L442" s="87">
        <f t="shared" si="46"/>
        <v>0</v>
      </c>
      <c r="M442" s="87">
        <f t="shared" si="47"/>
        <v>0</v>
      </c>
      <c r="N442" s="107" t="str">
        <f t="shared" si="48"/>
        <v/>
      </c>
    </row>
    <row r="443" spans="2:14" x14ac:dyDescent="0.25">
      <c r="B443" s="82">
        <f>SUBTOTAL(103,$D$8:D443)</f>
        <v>436</v>
      </c>
      <c r="C443" s="83" t="s">
        <v>451</v>
      </c>
      <c r="D443" s="84">
        <v>0</v>
      </c>
      <c r="E443" s="85" t="str">
        <f t="shared" si="43"/>
        <v/>
      </c>
      <c r="F443" s="106" t="str">
        <f t="shared" si="49"/>
        <v/>
      </c>
      <c r="G443" s="86"/>
      <c r="H443" s="107">
        <f t="shared" si="44"/>
        <v>0</v>
      </c>
      <c r="I443" s="107">
        <f t="shared" si="45"/>
        <v>0</v>
      </c>
      <c r="J443" s="87">
        <f>IF($D443&gt;0,IFERROR(Параметры!$D$42*$H443/$H$2408,0),0)</f>
        <v>0</v>
      </c>
      <c r="K443" s="87">
        <f>IFERROR(ROUND($N443*Параметры!$D$36,2),0)</f>
        <v>0</v>
      </c>
      <c r="L443" s="87">
        <f t="shared" si="46"/>
        <v>0</v>
      </c>
      <c r="M443" s="87">
        <f t="shared" si="47"/>
        <v>0</v>
      </c>
      <c r="N443" s="107" t="str">
        <f t="shared" si="48"/>
        <v/>
      </c>
    </row>
    <row r="444" spans="2:14" x14ac:dyDescent="0.25">
      <c r="B444" s="82">
        <f>SUBTOTAL(103,$D$8:D444)</f>
        <v>437</v>
      </c>
      <c r="C444" s="83" t="s">
        <v>452</v>
      </c>
      <c r="D444" s="84">
        <v>0</v>
      </c>
      <c r="E444" s="85" t="str">
        <f t="shared" si="43"/>
        <v/>
      </c>
      <c r="F444" s="106" t="str">
        <f t="shared" si="49"/>
        <v/>
      </c>
      <c r="G444" s="86"/>
      <c r="H444" s="107">
        <f t="shared" si="44"/>
        <v>0</v>
      </c>
      <c r="I444" s="107">
        <f t="shared" si="45"/>
        <v>0</v>
      </c>
      <c r="J444" s="87">
        <f>IF($D444&gt;0,IFERROR(Параметры!$D$42*$H444/$H$2408,0),0)</f>
        <v>0</v>
      </c>
      <c r="K444" s="87">
        <f>IFERROR(ROUND($N444*Параметры!$D$36,2),0)</f>
        <v>0</v>
      </c>
      <c r="L444" s="87">
        <f t="shared" si="46"/>
        <v>0</v>
      </c>
      <c r="M444" s="87">
        <f t="shared" si="47"/>
        <v>0</v>
      </c>
      <c r="N444" s="107" t="str">
        <f t="shared" si="48"/>
        <v/>
      </c>
    </row>
    <row r="445" spans="2:14" x14ac:dyDescent="0.25">
      <c r="B445" s="82">
        <f>SUBTOTAL(103,$D$8:D445)</f>
        <v>438</v>
      </c>
      <c r="C445" s="83" t="s">
        <v>453</v>
      </c>
      <c r="D445" s="84">
        <v>0</v>
      </c>
      <c r="E445" s="85" t="str">
        <f t="shared" si="43"/>
        <v/>
      </c>
      <c r="F445" s="106" t="str">
        <f t="shared" si="49"/>
        <v/>
      </c>
      <c r="G445" s="86"/>
      <c r="H445" s="107">
        <f t="shared" si="44"/>
        <v>0</v>
      </c>
      <c r="I445" s="107">
        <f t="shared" si="45"/>
        <v>0</v>
      </c>
      <c r="J445" s="87">
        <f>IF($D445&gt;0,IFERROR(Параметры!$D$42*$H445/$H$2408,0),0)</f>
        <v>0</v>
      </c>
      <c r="K445" s="87">
        <f>IFERROR(ROUND($N445*Параметры!$D$36,2),0)</f>
        <v>0</v>
      </c>
      <c r="L445" s="87">
        <f t="shared" si="46"/>
        <v>0</v>
      </c>
      <c r="M445" s="87">
        <f t="shared" si="47"/>
        <v>0</v>
      </c>
      <c r="N445" s="107" t="str">
        <f t="shared" si="48"/>
        <v/>
      </c>
    </row>
    <row r="446" spans="2:14" x14ac:dyDescent="0.25">
      <c r="B446" s="82">
        <f>SUBTOTAL(103,$D$8:D446)</f>
        <v>439</v>
      </c>
      <c r="C446" s="83" t="s">
        <v>454</v>
      </c>
      <c r="D446" s="84">
        <v>0</v>
      </c>
      <c r="E446" s="85" t="str">
        <f t="shared" si="43"/>
        <v/>
      </c>
      <c r="F446" s="106" t="str">
        <f t="shared" si="49"/>
        <v/>
      </c>
      <c r="G446" s="86"/>
      <c r="H446" s="107">
        <f t="shared" si="44"/>
        <v>0</v>
      </c>
      <c r="I446" s="107">
        <f t="shared" si="45"/>
        <v>0</v>
      </c>
      <c r="J446" s="87">
        <f>IF($D446&gt;0,IFERROR(Параметры!$D$42*$H446/$H$2408,0),0)</f>
        <v>0</v>
      </c>
      <c r="K446" s="87">
        <f>IFERROR(ROUND($N446*Параметры!$D$36,2),0)</f>
        <v>0</v>
      </c>
      <c r="L446" s="87">
        <f t="shared" si="46"/>
        <v>0</v>
      </c>
      <c r="M446" s="87">
        <f t="shared" si="47"/>
        <v>0</v>
      </c>
      <c r="N446" s="107" t="str">
        <f t="shared" si="48"/>
        <v/>
      </c>
    </row>
    <row r="447" spans="2:14" x14ac:dyDescent="0.25">
      <c r="B447" s="82">
        <f>SUBTOTAL(103,$D$8:D447)</f>
        <v>440</v>
      </c>
      <c r="C447" s="83" t="s">
        <v>455</v>
      </c>
      <c r="D447" s="84">
        <v>0</v>
      </c>
      <c r="E447" s="85" t="str">
        <f t="shared" si="43"/>
        <v/>
      </c>
      <c r="F447" s="106" t="str">
        <f t="shared" si="49"/>
        <v/>
      </c>
      <c r="G447" s="86"/>
      <c r="H447" s="107">
        <f t="shared" si="44"/>
        <v>0</v>
      </c>
      <c r="I447" s="107">
        <f t="shared" si="45"/>
        <v>0</v>
      </c>
      <c r="J447" s="87">
        <f>IF($D447&gt;0,IFERROR(Параметры!$D$42*$H447/$H$2408,0),0)</f>
        <v>0</v>
      </c>
      <c r="K447" s="87">
        <f>IFERROR(ROUND($N447*Параметры!$D$36,2),0)</f>
        <v>0</v>
      </c>
      <c r="L447" s="87">
        <f t="shared" si="46"/>
        <v>0</v>
      </c>
      <c r="M447" s="87">
        <f t="shared" si="47"/>
        <v>0</v>
      </c>
      <c r="N447" s="107" t="str">
        <f t="shared" si="48"/>
        <v/>
      </c>
    </row>
    <row r="448" spans="2:14" x14ac:dyDescent="0.25">
      <c r="B448" s="82">
        <f>SUBTOTAL(103,$D$8:D448)</f>
        <v>441</v>
      </c>
      <c r="C448" s="83" t="s">
        <v>456</v>
      </c>
      <c r="D448" s="84">
        <v>0</v>
      </c>
      <c r="E448" s="85" t="str">
        <f t="shared" si="43"/>
        <v/>
      </c>
      <c r="F448" s="106" t="str">
        <f t="shared" si="49"/>
        <v/>
      </c>
      <c r="G448" s="86"/>
      <c r="H448" s="107">
        <f t="shared" si="44"/>
        <v>0</v>
      </c>
      <c r="I448" s="107">
        <f t="shared" si="45"/>
        <v>0</v>
      </c>
      <c r="J448" s="87">
        <f>IF($D448&gt;0,IFERROR(Параметры!$D$42*$H448/$H$2408,0),0)</f>
        <v>0</v>
      </c>
      <c r="K448" s="87">
        <f>IFERROR(ROUND($N448*Параметры!$D$36,2),0)</f>
        <v>0</v>
      </c>
      <c r="L448" s="87">
        <f t="shared" si="46"/>
        <v>0</v>
      </c>
      <c r="M448" s="87">
        <f t="shared" si="47"/>
        <v>0</v>
      </c>
      <c r="N448" s="107" t="str">
        <f t="shared" si="48"/>
        <v/>
      </c>
    </row>
    <row r="449" spans="2:14" x14ac:dyDescent="0.25">
      <c r="B449" s="82">
        <f>SUBTOTAL(103,$D$8:D449)</f>
        <v>442</v>
      </c>
      <c r="C449" s="83" t="s">
        <v>457</v>
      </c>
      <c r="D449" s="84">
        <v>0</v>
      </c>
      <c r="E449" s="85" t="str">
        <f t="shared" si="43"/>
        <v/>
      </c>
      <c r="F449" s="106" t="str">
        <f t="shared" si="49"/>
        <v/>
      </c>
      <c r="G449" s="86"/>
      <c r="H449" s="107">
        <f t="shared" si="44"/>
        <v>0</v>
      </c>
      <c r="I449" s="107">
        <f t="shared" si="45"/>
        <v>0</v>
      </c>
      <c r="J449" s="87">
        <f>IF($D449&gt;0,IFERROR(Параметры!$D$42*$H449/$H$2408,0),0)</f>
        <v>0</v>
      </c>
      <c r="K449" s="87">
        <f>IFERROR(ROUND($N449*Параметры!$D$36,2),0)</f>
        <v>0</v>
      </c>
      <c r="L449" s="87">
        <f t="shared" si="46"/>
        <v>0</v>
      </c>
      <c r="M449" s="87">
        <f t="shared" si="47"/>
        <v>0</v>
      </c>
      <c r="N449" s="107" t="str">
        <f t="shared" si="48"/>
        <v/>
      </c>
    </row>
    <row r="450" spans="2:14" x14ac:dyDescent="0.25">
      <c r="B450" s="82">
        <f>SUBTOTAL(103,$D$8:D450)</f>
        <v>443</v>
      </c>
      <c r="C450" s="83" t="s">
        <v>458</v>
      </c>
      <c r="D450" s="84">
        <v>0</v>
      </c>
      <c r="E450" s="85" t="str">
        <f t="shared" si="43"/>
        <v/>
      </c>
      <c r="F450" s="106" t="str">
        <f t="shared" si="49"/>
        <v/>
      </c>
      <c r="G450" s="86"/>
      <c r="H450" s="107">
        <f t="shared" si="44"/>
        <v>0</v>
      </c>
      <c r="I450" s="107">
        <f t="shared" si="45"/>
        <v>0</v>
      </c>
      <c r="J450" s="87">
        <f>IF($D450&gt;0,IFERROR(Параметры!$D$42*$H450/$H$2408,0),0)</f>
        <v>0</v>
      </c>
      <c r="K450" s="87">
        <f>IFERROR(ROUND($N450*Параметры!$D$36,2),0)</f>
        <v>0</v>
      </c>
      <c r="L450" s="87">
        <f t="shared" si="46"/>
        <v>0</v>
      </c>
      <c r="M450" s="87">
        <f t="shared" si="47"/>
        <v>0</v>
      </c>
      <c r="N450" s="107" t="str">
        <f t="shared" si="48"/>
        <v/>
      </c>
    </row>
    <row r="451" spans="2:14" x14ac:dyDescent="0.25">
      <c r="B451" s="82">
        <f>SUBTOTAL(103,$D$8:D451)</f>
        <v>444</v>
      </c>
      <c r="C451" s="83" t="s">
        <v>459</v>
      </c>
      <c r="D451" s="84">
        <v>0</v>
      </c>
      <c r="E451" s="85" t="str">
        <f t="shared" si="43"/>
        <v/>
      </c>
      <c r="F451" s="106" t="str">
        <f t="shared" si="49"/>
        <v/>
      </c>
      <c r="G451" s="86"/>
      <c r="H451" s="107">
        <f t="shared" si="44"/>
        <v>0</v>
      </c>
      <c r="I451" s="107">
        <f t="shared" si="45"/>
        <v>0</v>
      </c>
      <c r="J451" s="87">
        <f>IF($D451&gt;0,IFERROR(Параметры!$D$42*$H451/$H$2408,0),0)</f>
        <v>0</v>
      </c>
      <c r="K451" s="87">
        <f>IFERROR(ROUND($N451*Параметры!$D$36,2),0)</f>
        <v>0</v>
      </c>
      <c r="L451" s="87">
        <f t="shared" si="46"/>
        <v>0</v>
      </c>
      <c r="M451" s="87">
        <f t="shared" si="47"/>
        <v>0</v>
      </c>
      <c r="N451" s="107" t="str">
        <f t="shared" si="48"/>
        <v/>
      </c>
    </row>
    <row r="452" spans="2:14" x14ac:dyDescent="0.25">
      <c r="B452" s="82">
        <f>SUBTOTAL(103,$D$8:D452)</f>
        <v>445</v>
      </c>
      <c r="C452" s="83" t="s">
        <v>460</v>
      </c>
      <c r="D452" s="84">
        <v>0</v>
      </c>
      <c r="E452" s="85" t="str">
        <f t="shared" si="43"/>
        <v/>
      </c>
      <c r="F452" s="106" t="str">
        <f t="shared" si="49"/>
        <v/>
      </c>
      <c r="G452" s="86"/>
      <c r="H452" s="107">
        <f t="shared" si="44"/>
        <v>0</v>
      </c>
      <c r="I452" s="107">
        <f t="shared" si="45"/>
        <v>0</v>
      </c>
      <c r="J452" s="87">
        <f>IF($D452&gt;0,IFERROR(Параметры!$D$42*$H452/$H$2408,0),0)</f>
        <v>0</v>
      </c>
      <c r="K452" s="87">
        <f>IFERROR(ROUND($N452*Параметры!$D$36,2),0)</f>
        <v>0</v>
      </c>
      <c r="L452" s="87">
        <f t="shared" si="46"/>
        <v>0</v>
      </c>
      <c r="M452" s="87">
        <f t="shared" si="47"/>
        <v>0</v>
      </c>
      <c r="N452" s="107" t="str">
        <f t="shared" si="48"/>
        <v/>
      </c>
    </row>
    <row r="453" spans="2:14" x14ac:dyDescent="0.25">
      <c r="B453" s="82">
        <f>SUBTOTAL(103,$D$8:D453)</f>
        <v>446</v>
      </c>
      <c r="C453" s="83" t="s">
        <v>461</v>
      </c>
      <c r="D453" s="84">
        <v>0</v>
      </c>
      <c r="E453" s="85" t="str">
        <f t="shared" si="43"/>
        <v/>
      </c>
      <c r="F453" s="106" t="str">
        <f t="shared" si="49"/>
        <v/>
      </c>
      <c r="G453" s="86"/>
      <c r="H453" s="107">
        <f t="shared" si="44"/>
        <v>0</v>
      </c>
      <c r="I453" s="107">
        <f t="shared" si="45"/>
        <v>0</v>
      </c>
      <c r="J453" s="87">
        <f>IF($D453&gt;0,IFERROR(Параметры!$D$42*$H453/$H$2408,0),0)</f>
        <v>0</v>
      </c>
      <c r="K453" s="87">
        <f>IFERROR(ROUND($N453*Параметры!$D$36,2),0)</f>
        <v>0</v>
      </c>
      <c r="L453" s="87">
        <f t="shared" si="46"/>
        <v>0</v>
      </c>
      <c r="M453" s="87">
        <f t="shared" si="47"/>
        <v>0</v>
      </c>
      <c r="N453" s="107" t="str">
        <f t="shared" si="48"/>
        <v/>
      </c>
    </row>
    <row r="454" spans="2:14" x14ac:dyDescent="0.25">
      <c r="B454" s="82">
        <f>SUBTOTAL(103,$D$8:D454)</f>
        <v>447</v>
      </c>
      <c r="C454" s="83" t="s">
        <v>462</v>
      </c>
      <c r="D454" s="84">
        <v>0</v>
      </c>
      <c r="E454" s="85" t="str">
        <f t="shared" si="43"/>
        <v/>
      </c>
      <c r="F454" s="106" t="str">
        <f t="shared" si="49"/>
        <v/>
      </c>
      <c r="G454" s="86"/>
      <c r="H454" s="107">
        <f t="shared" si="44"/>
        <v>0</v>
      </c>
      <c r="I454" s="107">
        <f t="shared" si="45"/>
        <v>0</v>
      </c>
      <c r="J454" s="87">
        <f>IF($D454&gt;0,IFERROR(Параметры!$D$42*$H454/$H$2408,0),0)</f>
        <v>0</v>
      </c>
      <c r="K454" s="87">
        <f>IFERROR(ROUND($N454*Параметры!$D$36,2),0)</f>
        <v>0</v>
      </c>
      <c r="L454" s="87">
        <f t="shared" si="46"/>
        <v>0</v>
      </c>
      <c r="M454" s="87">
        <f t="shared" si="47"/>
        <v>0</v>
      </c>
      <c r="N454" s="107" t="str">
        <f t="shared" si="48"/>
        <v/>
      </c>
    </row>
    <row r="455" spans="2:14" x14ac:dyDescent="0.25">
      <c r="B455" s="82">
        <f>SUBTOTAL(103,$D$8:D455)</f>
        <v>448</v>
      </c>
      <c r="C455" s="83" t="s">
        <v>463</v>
      </c>
      <c r="D455" s="84">
        <v>0</v>
      </c>
      <c r="E455" s="85" t="str">
        <f t="shared" si="43"/>
        <v/>
      </c>
      <c r="F455" s="106" t="str">
        <f t="shared" si="49"/>
        <v/>
      </c>
      <c r="G455" s="86"/>
      <c r="H455" s="107">
        <f t="shared" si="44"/>
        <v>0</v>
      </c>
      <c r="I455" s="107">
        <f t="shared" si="45"/>
        <v>0</v>
      </c>
      <c r="J455" s="87">
        <f>IF($D455&gt;0,IFERROR(Параметры!$D$42*$H455/$H$2408,0),0)</f>
        <v>0</v>
      </c>
      <c r="K455" s="87">
        <f>IFERROR(ROUND($N455*Параметры!$D$36,2),0)</f>
        <v>0</v>
      </c>
      <c r="L455" s="87">
        <f t="shared" si="46"/>
        <v>0</v>
      </c>
      <c r="M455" s="87">
        <f t="shared" si="47"/>
        <v>0</v>
      </c>
      <c r="N455" s="107" t="str">
        <f t="shared" si="48"/>
        <v/>
      </c>
    </row>
    <row r="456" spans="2:14" x14ac:dyDescent="0.25">
      <c r="B456" s="82">
        <f>SUBTOTAL(103,$D$8:D456)</f>
        <v>449</v>
      </c>
      <c r="C456" s="83" t="s">
        <v>464</v>
      </c>
      <c r="D456" s="84">
        <v>0</v>
      </c>
      <c r="E456" s="85" t="str">
        <f t="shared" ref="E456:E519" si="50">IF($D456&lt;1,"",$K456+$L456)</f>
        <v/>
      </c>
      <c r="F456" s="106" t="str">
        <f t="shared" si="49"/>
        <v/>
      </c>
      <c r="G456" s="86"/>
      <c r="H456" s="107">
        <f t="shared" ref="H456:H519" si="51">IF($D456&gt;0,$D456*КИС,0)</f>
        <v>0</v>
      </c>
      <c r="I456" s="107">
        <f t="shared" ref="I456:I519" si="52">IF($D456&gt;0,$D456-$H456,0)</f>
        <v>0</v>
      </c>
      <c r="J456" s="87">
        <f>IF($D456&gt;0,IFERROR(Параметры!$D$42*$H456/$H$2408,0),0)</f>
        <v>0</v>
      </c>
      <c r="K456" s="87">
        <f>IFERROR(ROUND($N456*Параметры!$D$36,2),0)</f>
        <v>0</v>
      </c>
      <c r="L456" s="87">
        <f t="shared" ref="L456:L519" si="53">IF($K456&gt;0,$K456*0.055,0)</f>
        <v>0</v>
      </c>
      <c r="M456" s="87">
        <f t="shared" ref="M456:M519" si="54">IFERROR($L456/Плотность_ДТ,0)</f>
        <v>0</v>
      </c>
      <c r="N456" s="107" t="str">
        <f t="shared" ref="N456:N519" si="55">IF($D456&gt;0,MAX(0,$D456-IF($F456="",0,$F456)),"")</f>
        <v/>
      </c>
    </row>
    <row r="457" spans="2:14" x14ac:dyDescent="0.25">
      <c r="B457" s="82">
        <f>SUBTOTAL(103,$D$8:D457)</f>
        <v>450</v>
      </c>
      <c r="C457" s="83" t="s">
        <v>465</v>
      </c>
      <c r="D457" s="84">
        <v>0</v>
      </c>
      <c r="E457" s="85" t="str">
        <f t="shared" si="50"/>
        <v/>
      </c>
      <c r="F457" s="106" t="str">
        <f t="shared" si="49"/>
        <v/>
      </c>
      <c r="G457" s="86"/>
      <c r="H457" s="107">
        <f t="shared" si="51"/>
        <v>0</v>
      </c>
      <c r="I457" s="107">
        <f t="shared" si="52"/>
        <v>0</v>
      </c>
      <c r="J457" s="87">
        <f>IF($D457&gt;0,IFERROR(Параметры!$D$42*$H457/$H$2408,0),0)</f>
        <v>0</v>
      </c>
      <c r="K457" s="87">
        <f>IFERROR(ROUND($N457*Параметры!$D$36,2),0)</f>
        <v>0</v>
      </c>
      <c r="L457" s="87">
        <f t="shared" si="53"/>
        <v>0</v>
      </c>
      <c r="M457" s="87">
        <f t="shared" si="54"/>
        <v>0</v>
      </c>
      <c r="N457" s="107" t="str">
        <f t="shared" si="55"/>
        <v/>
      </c>
    </row>
    <row r="458" spans="2:14" x14ac:dyDescent="0.25">
      <c r="B458" s="82">
        <f>SUBTOTAL(103,$D$8:D458)</f>
        <v>451</v>
      </c>
      <c r="C458" s="83" t="s">
        <v>466</v>
      </c>
      <c r="D458" s="84">
        <v>0</v>
      </c>
      <c r="E458" s="85" t="str">
        <f t="shared" si="50"/>
        <v/>
      </c>
      <c r="F458" s="106" t="str">
        <f t="shared" si="49"/>
        <v/>
      </c>
      <c r="G458" s="86"/>
      <c r="H458" s="107">
        <f t="shared" si="51"/>
        <v>0</v>
      </c>
      <c r="I458" s="107">
        <f t="shared" si="52"/>
        <v>0</v>
      </c>
      <c r="J458" s="87">
        <f>IF($D458&gt;0,IFERROR(Параметры!$D$42*$H458/$H$2408,0),0)</f>
        <v>0</v>
      </c>
      <c r="K458" s="87">
        <f>IFERROR(ROUND($N458*Параметры!$D$36,2),0)</f>
        <v>0</v>
      </c>
      <c r="L458" s="87">
        <f t="shared" si="53"/>
        <v>0</v>
      </c>
      <c r="M458" s="87">
        <f t="shared" si="54"/>
        <v>0</v>
      </c>
      <c r="N458" s="107" t="str">
        <f t="shared" si="55"/>
        <v/>
      </c>
    </row>
    <row r="459" spans="2:14" x14ac:dyDescent="0.25">
      <c r="B459" s="82">
        <f>SUBTOTAL(103,$D$8:D459)</f>
        <v>452</v>
      </c>
      <c r="C459" s="83" t="s">
        <v>467</v>
      </c>
      <c r="D459" s="84">
        <v>0</v>
      </c>
      <c r="E459" s="85" t="str">
        <f t="shared" si="50"/>
        <v/>
      </c>
      <c r="F459" s="106" t="str">
        <f t="shared" ref="F459:F495" si="56">IF(D459&gt;0,2,"")</f>
        <v/>
      </c>
      <c r="G459" s="86"/>
      <c r="H459" s="107">
        <f t="shared" si="51"/>
        <v>0</v>
      </c>
      <c r="I459" s="107">
        <f t="shared" si="52"/>
        <v>0</v>
      </c>
      <c r="J459" s="87">
        <f>IF($D459&gt;0,IFERROR(Параметры!$D$42*$H459/$H$2408,0),0)</f>
        <v>0</v>
      </c>
      <c r="K459" s="87">
        <f>IFERROR(ROUND($N459*Параметры!$D$36,2),0)</f>
        <v>0</v>
      </c>
      <c r="L459" s="87">
        <f t="shared" si="53"/>
        <v>0</v>
      </c>
      <c r="M459" s="87">
        <f t="shared" si="54"/>
        <v>0</v>
      </c>
      <c r="N459" s="107" t="str">
        <f t="shared" si="55"/>
        <v/>
      </c>
    </row>
    <row r="460" spans="2:14" x14ac:dyDescent="0.25">
      <c r="B460" s="82">
        <f>SUBTOTAL(103,$D$8:D460)</f>
        <v>453</v>
      </c>
      <c r="C460" s="83" t="s">
        <v>468</v>
      </c>
      <c r="D460" s="84">
        <v>0</v>
      </c>
      <c r="E460" s="85" t="str">
        <f t="shared" si="50"/>
        <v/>
      </c>
      <c r="F460" s="106" t="str">
        <f t="shared" si="56"/>
        <v/>
      </c>
      <c r="G460" s="86"/>
      <c r="H460" s="107">
        <f t="shared" si="51"/>
        <v>0</v>
      </c>
      <c r="I460" s="107">
        <f t="shared" si="52"/>
        <v>0</v>
      </c>
      <c r="J460" s="87">
        <f>IF($D460&gt;0,IFERROR(Параметры!$D$42*$H460/$H$2408,0),0)</f>
        <v>0</v>
      </c>
      <c r="K460" s="87">
        <f>IFERROR(ROUND($N460*Параметры!$D$36,2),0)</f>
        <v>0</v>
      </c>
      <c r="L460" s="87">
        <f t="shared" si="53"/>
        <v>0</v>
      </c>
      <c r="M460" s="87">
        <f t="shared" si="54"/>
        <v>0</v>
      </c>
      <c r="N460" s="107" t="str">
        <f t="shared" si="55"/>
        <v/>
      </c>
    </row>
    <row r="461" spans="2:14" x14ac:dyDescent="0.25">
      <c r="B461" s="82">
        <f>SUBTOTAL(103,$D$8:D461)</f>
        <v>454</v>
      </c>
      <c r="C461" s="83" t="s">
        <v>469</v>
      </c>
      <c r="D461" s="84">
        <v>0</v>
      </c>
      <c r="E461" s="85" t="str">
        <f t="shared" si="50"/>
        <v/>
      </c>
      <c r="F461" s="106" t="str">
        <f t="shared" si="56"/>
        <v/>
      </c>
      <c r="G461" s="86"/>
      <c r="H461" s="107">
        <f t="shared" si="51"/>
        <v>0</v>
      </c>
      <c r="I461" s="107">
        <f t="shared" si="52"/>
        <v>0</v>
      </c>
      <c r="J461" s="87">
        <f>IF($D461&gt;0,IFERROR(Параметры!$D$42*$H461/$H$2408,0),0)</f>
        <v>0</v>
      </c>
      <c r="K461" s="87">
        <f>IFERROR(ROUND($N461*Параметры!$D$36,2),0)</f>
        <v>0</v>
      </c>
      <c r="L461" s="87">
        <f t="shared" si="53"/>
        <v>0</v>
      </c>
      <c r="M461" s="87">
        <f t="shared" si="54"/>
        <v>0</v>
      </c>
      <c r="N461" s="107" t="str">
        <f t="shared" si="55"/>
        <v/>
      </c>
    </row>
    <row r="462" spans="2:14" x14ac:dyDescent="0.25">
      <c r="B462" s="82">
        <f>SUBTOTAL(103,$D$8:D462)</f>
        <v>455</v>
      </c>
      <c r="C462" s="83" t="s">
        <v>470</v>
      </c>
      <c r="D462" s="84">
        <v>0</v>
      </c>
      <c r="E462" s="85" t="str">
        <f t="shared" si="50"/>
        <v/>
      </c>
      <c r="F462" s="106" t="str">
        <f t="shared" si="56"/>
        <v/>
      </c>
      <c r="G462" s="86"/>
      <c r="H462" s="107">
        <f t="shared" si="51"/>
        <v>0</v>
      </c>
      <c r="I462" s="107">
        <f t="shared" si="52"/>
        <v>0</v>
      </c>
      <c r="J462" s="87">
        <f>IF($D462&gt;0,IFERROR(Параметры!$D$42*$H462/$H$2408,0),0)</f>
        <v>0</v>
      </c>
      <c r="K462" s="87">
        <f>IFERROR(ROUND($N462*Параметры!$D$36,2),0)</f>
        <v>0</v>
      </c>
      <c r="L462" s="87">
        <f t="shared" si="53"/>
        <v>0</v>
      </c>
      <c r="M462" s="87">
        <f t="shared" si="54"/>
        <v>0</v>
      </c>
      <c r="N462" s="107" t="str">
        <f t="shared" si="55"/>
        <v/>
      </c>
    </row>
    <row r="463" spans="2:14" x14ac:dyDescent="0.25">
      <c r="B463" s="82">
        <f>SUBTOTAL(103,$D$8:D463)</f>
        <v>456</v>
      </c>
      <c r="C463" s="83" t="s">
        <v>471</v>
      </c>
      <c r="D463" s="84">
        <v>0</v>
      </c>
      <c r="E463" s="85" t="str">
        <f t="shared" si="50"/>
        <v/>
      </c>
      <c r="F463" s="106" t="str">
        <f t="shared" si="56"/>
        <v/>
      </c>
      <c r="G463" s="86"/>
      <c r="H463" s="107">
        <f t="shared" si="51"/>
        <v>0</v>
      </c>
      <c r="I463" s="107">
        <f t="shared" si="52"/>
        <v>0</v>
      </c>
      <c r="J463" s="87">
        <f>IF($D463&gt;0,IFERROR(Параметры!$D$42*$H463/$H$2408,0),0)</f>
        <v>0</v>
      </c>
      <c r="K463" s="87">
        <f>IFERROR(ROUND($N463*Параметры!$D$36,2),0)</f>
        <v>0</v>
      </c>
      <c r="L463" s="87">
        <f t="shared" si="53"/>
        <v>0</v>
      </c>
      <c r="M463" s="87">
        <f t="shared" si="54"/>
        <v>0</v>
      </c>
      <c r="N463" s="107" t="str">
        <f t="shared" si="55"/>
        <v/>
      </c>
    </row>
    <row r="464" spans="2:14" x14ac:dyDescent="0.25">
      <c r="B464" s="82">
        <f>SUBTOTAL(103,$D$8:D464)</f>
        <v>457</v>
      </c>
      <c r="C464" s="83" t="s">
        <v>472</v>
      </c>
      <c r="D464" s="84">
        <v>0</v>
      </c>
      <c r="E464" s="85" t="str">
        <f t="shared" si="50"/>
        <v/>
      </c>
      <c r="F464" s="106" t="str">
        <f t="shared" si="56"/>
        <v/>
      </c>
      <c r="G464" s="86"/>
      <c r="H464" s="107">
        <f t="shared" si="51"/>
        <v>0</v>
      </c>
      <c r="I464" s="107">
        <f t="shared" si="52"/>
        <v>0</v>
      </c>
      <c r="J464" s="87">
        <f>IF($D464&gt;0,IFERROR(Параметры!$D$42*$H464/$H$2408,0),0)</f>
        <v>0</v>
      </c>
      <c r="K464" s="87">
        <f>IFERROR(ROUND($N464*Параметры!$D$36,2),0)</f>
        <v>0</v>
      </c>
      <c r="L464" s="87">
        <f t="shared" si="53"/>
        <v>0</v>
      </c>
      <c r="M464" s="87">
        <f t="shared" si="54"/>
        <v>0</v>
      </c>
      <c r="N464" s="107" t="str">
        <f t="shared" si="55"/>
        <v/>
      </c>
    </row>
    <row r="465" spans="2:14" x14ac:dyDescent="0.25">
      <c r="B465" s="82">
        <f>SUBTOTAL(103,$D$8:D465)</f>
        <v>458</v>
      </c>
      <c r="C465" s="83" t="s">
        <v>473</v>
      </c>
      <c r="D465" s="84">
        <v>0</v>
      </c>
      <c r="E465" s="85" t="str">
        <f t="shared" si="50"/>
        <v/>
      </c>
      <c r="F465" s="106" t="str">
        <f t="shared" si="56"/>
        <v/>
      </c>
      <c r="G465" s="86"/>
      <c r="H465" s="107">
        <f t="shared" si="51"/>
        <v>0</v>
      </c>
      <c r="I465" s="107">
        <f t="shared" si="52"/>
        <v>0</v>
      </c>
      <c r="J465" s="87">
        <f>IF($D465&gt;0,IFERROR(Параметры!$D$42*$H465/$H$2408,0),0)</f>
        <v>0</v>
      </c>
      <c r="K465" s="87">
        <f>IFERROR(ROUND($N465*Параметры!$D$36,2),0)</f>
        <v>0</v>
      </c>
      <c r="L465" s="87">
        <f t="shared" si="53"/>
        <v>0</v>
      </c>
      <c r="M465" s="87">
        <f t="shared" si="54"/>
        <v>0</v>
      </c>
      <c r="N465" s="107" t="str">
        <f t="shared" si="55"/>
        <v/>
      </c>
    </row>
    <row r="466" spans="2:14" x14ac:dyDescent="0.25">
      <c r="B466" s="82">
        <f>SUBTOTAL(103,$D$8:D466)</f>
        <v>459</v>
      </c>
      <c r="C466" s="83" t="s">
        <v>474</v>
      </c>
      <c r="D466" s="84">
        <v>0</v>
      </c>
      <c r="E466" s="85" t="str">
        <f t="shared" si="50"/>
        <v/>
      </c>
      <c r="F466" s="106" t="str">
        <f t="shared" si="56"/>
        <v/>
      </c>
      <c r="G466" s="86"/>
      <c r="H466" s="107">
        <f t="shared" si="51"/>
        <v>0</v>
      </c>
      <c r="I466" s="107">
        <f t="shared" si="52"/>
        <v>0</v>
      </c>
      <c r="J466" s="87">
        <f>IF($D466&gt;0,IFERROR(Параметры!$D$42*$H466/$H$2408,0),0)</f>
        <v>0</v>
      </c>
      <c r="K466" s="87">
        <f>IFERROR(ROUND($N466*Параметры!$D$36,2),0)</f>
        <v>0</v>
      </c>
      <c r="L466" s="87">
        <f t="shared" si="53"/>
        <v>0</v>
      </c>
      <c r="M466" s="87">
        <f t="shared" si="54"/>
        <v>0</v>
      </c>
      <c r="N466" s="107" t="str">
        <f t="shared" si="55"/>
        <v/>
      </c>
    </row>
    <row r="467" spans="2:14" x14ac:dyDescent="0.25">
      <c r="B467" s="82">
        <f>SUBTOTAL(103,$D$8:D467)</f>
        <v>460</v>
      </c>
      <c r="C467" s="83" t="s">
        <v>475</v>
      </c>
      <c r="D467" s="84">
        <v>0</v>
      </c>
      <c r="E467" s="85" t="str">
        <f t="shared" si="50"/>
        <v/>
      </c>
      <c r="F467" s="106" t="str">
        <f t="shared" si="56"/>
        <v/>
      </c>
      <c r="G467" s="86"/>
      <c r="H467" s="107">
        <f t="shared" si="51"/>
        <v>0</v>
      </c>
      <c r="I467" s="107">
        <f t="shared" si="52"/>
        <v>0</v>
      </c>
      <c r="J467" s="87">
        <f>IF($D467&gt;0,IFERROR(Параметры!$D$42*$H467/$H$2408,0),0)</f>
        <v>0</v>
      </c>
      <c r="K467" s="87">
        <f>IFERROR(ROUND($N467*Параметры!$D$36,2),0)</f>
        <v>0</v>
      </c>
      <c r="L467" s="87">
        <f t="shared" si="53"/>
        <v>0</v>
      </c>
      <c r="M467" s="87">
        <f t="shared" si="54"/>
        <v>0</v>
      </c>
      <c r="N467" s="107" t="str">
        <f t="shared" si="55"/>
        <v/>
      </c>
    </row>
    <row r="468" spans="2:14" x14ac:dyDescent="0.25">
      <c r="B468" s="82">
        <f>SUBTOTAL(103,$D$8:D468)</f>
        <v>461</v>
      </c>
      <c r="C468" s="83" t="s">
        <v>476</v>
      </c>
      <c r="D468" s="84">
        <v>0</v>
      </c>
      <c r="E468" s="85" t="str">
        <f t="shared" si="50"/>
        <v/>
      </c>
      <c r="F468" s="106" t="str">
        <f t="shared" si="56"/>
        <v/>
      </c>
      <c r="G468" s="86"/>
      <c r="H468" s="107">
        <f t="shared" si="51"/>
        <v>0</v>
      </c>
      <c r="I468" s="107">
        <f t="shared" si="52"/>
        <v>0</v>
      </c>
      <c r="J468" s="87">
        <f>IF($D468&gt;0,IFERROR(Параметры!$D$42*$H468/$H$2408,0),0)</f>
        <v>0</v>
      </c>
      <c r="K468" s="87">
        <f>IFERROR(ROUND($N468*Параметры!$D$36,2),0)</f>
        <v>0</v>
      </c>
      <c r="L468" s="87">
        <f t="shared" si="53"/>
        <v>0</v>
      </c>
      <c r="M468" s="87">
        <f t="shared" si="54"/>
        <v>0</v>
      </c>
      <c r="N468" s="107" t="str">
        <f t="shared" si="55"/>
        <v/>
      </c>
    </row>
    <row r="469" spans="2:14" x14ac:dyDescent="0.25">
      <c r="B469" s="82">
        <f>SUBTOTAL(103,$D$8:D469)</f>
        <v>462</v>
      </c>
      <c r="C469" s="83" t="s">
        <v>477</v>
      </c>
      <c r="D469" s="84">
        <v>0</v>
      </c>
      <c r="E469" s="85" t="str">
        <f t="shared" si="50"/>
        <v/>
      </c>
      <c r="F469" s="106" t="str">
        <f t="shared" si="56"/>
        <v/>
      </c>
      <c r="G469" s="86"/>
      <c r="H469" s="107">
        <f t="shared" si="51"/>
        <v>0</v>
      </c>
      <c r="I469" s="107">
        <f t="shared" si="52"/>
        <v>0</v>
      </c>
      <c r="J469" s="87">
        <f>IF($D469&gt;0,IFERROR(Параметры!$D$42*$H469/$H$2408,0),0)</f>
        <v>0</v>
      </c>
      <c r="K469" s="87">
        <f>IFERROR(ROUND($N469*Параметры!$D$36,2),0)</f>
        <v>0</v>
      </c>
      <c r="L469" s="87">
        <f t="shared" si="53"/>
        <v>0</v>
      </c>
      <c r="M469" s="87">
        <f t="shared" si="54"/>
        <v>0</v>
      </c>
      <c r="N469" s="107" t="str">
        <f t="shared" si="55"/>
        <v/>
      </c>
    </row>
    <row r="470" spans="2:14" x14ac:dyDescent="0.25">
      <c r="B470" s="82">
        <f>SUBTOTAL(103,$D$8:D470)</f>
        <v>463</v>
      </c>
      <c r="C470" s="83" t="s">
        <v>478</v>
      </c>
      <c r="D470" s="84">
        <v>0</v>
      </c>
      <c r="E470" s="85" t="str">
        <f t="shared" si="50"/>
        <v/>
      </c>
      <c r="F470" s="106" t="str">
        <f t="shared" si="56"/>
        <v/>
      </c>
      <c r="G470" s="86"/>
      <c r="H470" s="107">
        <f t="shared" si="51"/>
        <v>0</v>
      </c>
      <c r="I470" s="107">
        <f t="shared" si="52"/>
        <v>0</v>
      </c>
      <c r="J470" s="87">
        <f>IF($D470&gt;0,IFERROR(Параметры!$D$42*$H470/$H$2408,0),0)</f>
        <v>0</v>
      </c>
      <c r="K470" s="87">
        <f>IFERROR(ROUND($N470*Параметры!$D$36,2),0)</f>
        <v>0</v>
      </c>
      <c r="L470" s="87">
        <f t="shared" si="53"/>
        <v>0</v>
      </c>
      <c r="M470" s="87">
        <f t="shared" si="54"/>
        <v>0</v>
      </c>
      <c r="N470" s="107" t="str">
        <f t="shared" si="55"/>
        <v/>
      </c>
    </row>
    <row r="471" spans="2:14" x14ac:dyDescent="0.25">
      <c r="B471" s="82">
        <f>SUBTOTAL(103,$D$8:D471)</f>
        <v>464</v>
      </c>
      <c r="C471" s="83" t="s">
        <v>479</v>
      </c>
      <c r="D471" s="84">
        <v>0</v>
      </c>
      <c r="E471" s="85" t="str">
        <f t="shared" si="50"/>
        <v/>
      </c>
      <c r="F471" s="106" t="str">
        <f t="shared" si="56"/>
        <v/>
      </c>
      <c r="G471" s="86"/>
      <c r="H471" s="107">
        <f t="shared" si="51"/>
        <v>0</v>
      </c>
      <c r="I471" s="107">
        <f t="shared" si="52"/>
        <v>0</v>
      </c>
      <c r="J471" s="87">
        <f>IF($D471&gt;0,IFERROR(Параметры!$D$42*$H471/$H$2408,0),0)</f>
        <v>0</v>
      </c>
      <c r="K471" s="87">
        <f>IFERROR(ROUND($N471*Параметры!$D$36,2),0)</f>
        <v>0</v>
      </c>
      <c r="L471" s="87">
        <f t="shared" si="53"/>
        <v>0</v>
      </c>
      <c r="M471" s="87">
        <f t="shared" si="54"/>
        <v>0</v>
      </c>
      <c r="N471" s="107" t="str">
        <f t="shared" si="55"/>
        <v/>
      </c>
    </row>
    <row r="472" spans="2:14" x14ac:dyDescent="0.25">
      <c r="B472" s="82">
        <f>SUBTOTAL(103,$D$8:D472)</f>
        <v>465</v>
      </c>
      <c r="C472" s="83" t="s">
        <v>480</v>
      </c>
      <c r="D472" s="84">
        <v>0</v>
      </c>
      <c r="E472" s="85" t="str">
        <f t="shared" si="50"/>
        <v/>
      </c>
      <c r="F472" s="106" t="str">
        <f t="shared" si="56"/>
        <v/>
      </c>
      <c r="G472" s="86"/>
      <c r="H472" s="107">
        <f t="shared" si="51"/>
        <v>0</v>
      </c>
      <c r="I472" s="107">
        <f t="shared" si="52"/>
        <v>0</v>
      </c>
      <c r="J472" s="87">
        <f>IF($D472&gt;0,IFERROR(Параметры!$D$42*$H472/$H$2408,0),0)</f>
        <v>0</v>
      </c>
      <c r="K472" s="87">
        <f>IFERROR(ROUND($N472*Параметры!$D$36,2),0)</f>
        <v>0</v>
      </c>
      <c r="L472" s="87">
        <f t="shared" si="53"/>
        <v>0</v>
      </c>
      <c r="M472" s="87">
        <f t="shared" si="54"/>
        <v>0</v>
      </c>
      <c r="N472" s="107" t="str">
        <f t="shared" si="55"/>
        <v/>
      </c>
    </row>
    <row r="473" spans="2:14" x14ac:dyDescent="0.25">
      <c r="B473" s="82">
        <f>SUBTOTAL(103,$D$8:D473)</f>
        <v>466</v>
      </c>
      <c r="C473" s="83" t="s">
        <v>481</v>
      </c>
      <c r="D473" s="84">
        <v>0</v>
      </c>
      <c r="E473" s="85" t="str">
        <f t="shared" si="50"/>
        <v/>
      </c>
      <c r="F473" s="106" t="str">
        <f t="shared" si="56"/>
        <v/>
      </c>
      <c r="G473" s="86"/>
      <c r="H473" s="107">
        <f t="shared" si="51"/>
        <v>0</v>
      </c>
      <c r="I473" s="107">
        <f t="shared" si="52"/>
        <v>0</v>
      </c>
      <c r="J473" s="87">
        <f>IF($D473&gt;0,IFERROR(Параметры!$D$42*$H473/$H$2408,0),0)</f>
        <v>0</v>
      </c>
      <c r="K473" s="87">
        <f>IFERROR(ROUND($N473*Параметры!$D$36,2),0)</f>
        <v>0</v>
      </c>
      <c r="L473" s="87">
        <f t="shared" si="53"/>
        <v>0</v>
      </c>
      <c r="M473" s="87">
        <f t="shared" si="54"/>
        <v>0</v>
      </c>
      <c r="N473" s="107" t="str">
        <f t="shared" si="55"/>
        <v/>
      </c>
    </row>
    <row r="474" spans="2:14" x14ac:dyDescent="0.25">
      <c r="B474" s="82">
        <f>SUBTOTAL(103,$D$8:D474)</f>
        <v>467</v>
      </c>
      <c r="C474" s="83" t="s">
        <v>482</v>
      </c>
      <c r="D474" s="84">
        <v>0</v>
      </c>
      <c r="E474" s="85" t="str">
        <f t="shared" si="50"/>
        <v/>
      </c>
      <c r="F474" s="106" t="str">
        <f t="shared" si="56"/>
        <v/>
      </c>
      <c r="G474" s="86"/>
      <c r="H474" s="107">
        <f t="shared" si="51"/>
        <v>0</v>
      </c>
      <c r="I474" s="107">
        <f t="shared" si="52"/>
        <v>0</v>
      </c>
      <c r="J474" s="87">
        <f>IF($D474&gt;0,IFERROR(Параметры!$D$42*$H474/$H$2408,0),0)</f>
        <v>0</v>
      </c>
      <c r="K474" s="87">
        <f>IFERROR(ROUND($N474*Параметры!$D$36,2),0)</f>
        <v>0</v>
      </c>
      <c r="L474" s="87">
        <f t="shared" si="53"/>
        <v>0</v>
      </c>
      <c r="M474" s="87">
        <f t="shared" si="54"/>
        <v>0</v>
      </c>
      <c r="N474" s="107" t="str">
        <f t="shared" si="55"/>
        <v/>
      </c>
    </row>
    <row r="475" spans="2:14" x14ac:dyDescent="0.25">
      <c r="B475" s="82">
        <f>SUBTOTAL(103,$D$8:D475)</f>
        <v>468</v>
      </c>
      <c r="C475" s="83" t="s">
        <v>483</v>
      </c>
      <c r="D475" s="84">
        <v>0</v>
      </c>
      <c r="E475" s="85" t="str">
        <f t="shared" si="50"/>
        <v/>
      </c>
      <c r="F475" s="106" t="str">
        <f t="shared" si="56"/>
        <v/>
      </c>
      <c r="G475" s="86"/>
      <c r="H475" s="107">
        <f t="shared" si="51"/>
        <v>0</v>
      </c>
      <c r="I475" s="107">
        <f t="shared" si="52"/>
        <v>0</v>
      </c>
      <c r="J475" s="87">
        <f>IF($D475&gt;0,IFERROR(Параметры!$D$42*$H475/$H$2408,0),0)</f>
        <v>0</v>
      </c>
      <c r="K475" s="87">
        <f>IFERROR(ROUND($N475*Параметры!$D$36,2),0)</f>
        <v>0</v>
      </c>
      <c r="L475" s="87">
        <f t="shared" si="53"/>
        <v>0</v>
      </c>
      <c r="M475" s="87">
        <f t="shared" si="54"/>
        <v>0</v>
      </c>
      <c r="N475" s="107" t="str">
        <f t="shared" si="55"/>
        <v/>
      </c>
    </row>
    <row r="476" spans="2:14" x14ac:dyDescent="0.25">
      <c r="B476" s="82">
        <f>SUBTOTAL(103,$D$8:D476)</f>
        <v>469</v>
      </c>
      <c r="C476" s="83" t="s">
        <v>484</v>
      </c>
      <c r="D476" s="84">
        <v>0</v>
      </c>
      <c r="E476" s="85" t="str">
        <f t="shared" si="50"/>
        <v/>
      </c>
      <c r="F476" s="106" t="str">
        <f t="shared" si="56"/>
        <v/>
      </c>
      <c r="G476" s="86"/>
      <c r="H476" s="107">
        <f t="shared" si="51"/>
        <v>0</v>
      </c>
      <c r="I476" s="107">
        <f t="shared" si="52"/>
        <v>0</v>
      </c>
      <c r="J476" s="87">
        <f>IF($D476&gt;0,IFERROR(Параметры!$D$42*$H476/$H$2408,0),0)</f>
        <v>0</v>
      </c>
      <c r="K476" s="87">
        <f>IFERROR(ROUND($N476*Параметры!$D$36,2),0)</f>
        <v>0</v>
      </c>
      <c r="L476" s="87">
        <f t="shared" si="53"/>
        <v>0</v>
      </c>
      <c r="M476" s="87">
        <f t="shared" si="54"/>
        <v>0</v>
      </c>
      <c r="N476" s="107" t="str">
        <f t="shared" si="55"/>
        <v/>
      </c>
    </row>
    <row r="477" spans="2:14" x14ac:dyDescent="0.25">
      <c r="B477" s="82">
        <f>SUBTOTAL(103,$D$8:D477)</f>
        <v>470</v>
      </c>
      <c r="C477" s="83" t="s">
        <v>485</v>
      </c>
      <c r="D477" s="84">
        <v>0</v>
      </c>
      <c r="E477" s="85" t="str">
        <f t="shared" si="50"/>
        <v/>
      </c>
      <c r="F477" s="106" t="str">
        <f t="shared" si="56"/>
        <v/>
      </c>
      <c r="G477" s="86"/>
      <c r="H477" s="107">
        <f t="shared" si="51"/>
        <v>0</v>
      </c>
      <c r="I477" s="107">
        <f t="shared" si="52"/>
        <v>0</v>
      </c>
      <c r="J477" s="87">
        <f>IF($D477&gt;0,IFERROR(Параметры!$D$42*$H477/$H$2408,0),0)</f>
        <v>0</v>
      </c>
      <c r="K477" s="87">
        <f>IFERROR(ROUND($N477*Параметры!$D$36,2),0)</f>
        <v>0</v>
      </c>
      <c r="L477" s="87">
        <f t="shared" si="53"/>
        <v>0</v>
      </c>
      <c r="M477" s="87">
        <f t="shared" si="54"/>
        <v>0</v>
      </c>
      <c r="N477" s="107" t="str">
        <f t="shared" si="55"/>
        <v/>
      </c>
    </row>
    <row r="478" spans="2:14" x14ac:dyDescent="0.25">
      <c r="B478" s="82">
        <f>SUBTOTAL(103,$D$8:D478)</f>
        <v>471</v>
      </c>
      <c r="C478" s="83" t="s">
        <v>486</v>
      </c>
      <c r="D478" s="84">
        <v>0</v>
      </c>
      <c r="E478" s="85" t="str">
        <f t="shared" si="50"/>
        <v/>
      </c>
      <c r="F478" s="106" t="str">
        <f t="shared" si="56"/>
        <v/>
      </c>
      <c r="G478" s="86"/>
      <c r="H478" s="107">
        <f t="shared" si="51"/>
        <v>0</v>
      </c>
      <c r="I478" s="107">
        <f t="shared" si="52"/>
        <v>0</v>
      </c>
      <c r="J478" s="87">
        <f>IF($D478&gt;0,IFERROR(Параметры!$D$42*$H478/$H$2408,0),0)</f>
        <v>0</v>
      </c>
      <c r="K478" s="87">
        <f>IFERROR(ROUND($N478*Параметры!$D$36,2),0)</f>
        <v>0</v>
      </c>
      <c r="L478" s="87">
        <f t="shared" si="53"/>
        <v>0</v>
      </c>
      <c r="M478" s="87">
        <f t="shared" si="54"/>
        <v>0</v>
      </c>
      <c r="N478" s="107" t="str">
        <f t="shared" si="55"/>
        <v/>
      </c>
    </row>
    <row r="479" spans="2:14" x14ac:dyDescent="0.25">
      <c r="B479" s="82">
        <f>SUBTOTAL(103,$D$8:D479)</f>
        <v>472</v>
      </c>
      <c r="C479" s="83" t="s">
        <v>487</v>
      </c>
      <c r="D479" s="84">
        <v>0</v>
      </c>
      <c r="E479" s="85" t="str">
        <f t="shared" si="50"/>
        <v/>
      </c>
      <c r="F479" s="106" t="str">
        <f t="shared" si="56"/>
        <v/>
      </c>
      <c r="G479" s="86"/>
      <c r="H479" s="107">
        <f t="shared" si="51"/>
        <v>0</v>
      </c>
      <c r="I479" s="107">
        <f t="shared" si="52"/>
        <v>0</v>
      </c>
      <c r="J479" s="87">
        <f>IF($D479&gt;0,IFERROR(Параметры!$D$42*$H479/$H$2408,0),0)</f>
        <v>0</v>
      </c>
      <c r="K479" s="87">
        <f>IFERROR(ROUND($N479*Параметры!$D$36,2),0)</f>
        <v>0</v>
      </c>
      <c r="L479" s="87">
        <f t="shared" si="53"/>
        <v>0</v>
      </c>
      <c r="M479" s="87">
        <f t="shared" si="54"/>
        <v>0</v>
      </c>
      <c r="N479" s="107" t="str">
        <f t="shared" si="55"/>
        <v/>
      </c>
    </row>
    <row r="480" spans="2:14" x14ac:dyDescent="0.25">
      <c r="B480" s="82">
        <f>SUBTOTAL(103,$D$8:D480)</f>
        <v>473</v>
      </c>
      <c r="C480" s="83" t="s">
        <v>488</v>
      </c>
      <c r="D480" s="84">
        <v>0</v>
      </c>
      <c r="E480" s="85" t="str">
        <f t="shared" si="50"/>
        <v/>
      </c>
      <c r="F480" s="106" t="str">
        <f t="shared" si="56"/>
        <v/>
      </c>
      <c r="G480" s="86"/>
      <c r="H480" s="107">
        <f t="shared" si="51"/>
        <v>0</v>
      </c>
      <c r="I480" s="107">
        <f t="shared" si="52"/>
        <v>0</v>
      </c>
      <c r="J480" s="87">
        <f>IF($D480&gt;0,IFERROR(Параметры!$D$42*$H480/$H$2408,0),0)</f>
        <v>0</v>
      </c>
      <c r="K480" s="87">
        <f>IFERROR(ROUND($N480*Параметры!$D$36,2),0)</f>
        <v>0</v>
      </c>
      <c r="L480" s="87">
        <f t="shared" si="53"/>
        <v>0</v>
      </c>
      <c r="M480" s="87">
        <f t="shared" si="54"/>
        <v>0</v>
      </c>
      <c r="N480" s="107" t="str">
        <f t="shared" si="55"/>
        <v/>
      </c>
    </row>
    <row r="481" spans="2:14" x14ac:dyDescent="0.25">
      <c r="B481" s="82">
        <f>SUBTOTAL(103,$D$8:D481)</f>
        <v>474</v>
      </c>
      <c r="C481" s="83" t="s">
        <v>489</v>
      </c>
      <c r="D481" s="84">
        <v>0</v>
      </c>
      <c r="E481" s="85" t="str">
        <f t="shared" si="50"/>
        <v/>
      </c>
      <c r="F481" s="106" t="str">
        <f t="shared" si="56"/>
        <v/>
      </c>
      <c r="G481" s="86"/>
      <c r="H481" s="107">
        <f t="shared" si="51"/>
        <v>0</v>
      </c>
      <c r="I481" s="107">
        <f t="shared" si="52"/>
        <v>0</v>
      </c>
      <c r="J481" s="87">
        <f>IF($D481&gt;0,IFERROR(Параметры!$D$42*$H481/$H$2408,0),0)</f>
        <v>0</v>
      </c>
      <c r="K481" s="87">
        <f>IFERROR(ROUND($N481*Параметры!$D$36,2),0)</f>
        <v>0</v>
      </c>
      <c r="L481" s="87">
        <f t="shared" si="53"/>
        <v>0</v>
      </c>
      <c r="M481" s="87">
        <f t="shared" si="54"/>
        <v>0</v>
      </c>
      <c r="N481" s="107" t="str">
        <f t="shared" si="55"/>
        <v/>
      </c>
    </row>
    <row r="482" spans="2:14" x14ac:dyDescent="0.25">
      <c r="B482" s="82">
        <f>SUBTOTAL(103,$D$8:D482)</f>
        <v>475</v>
      </c>
      <c r="C482" s="83" t="s">
        <v>490</v>
      </c>
      <c r="D482" s="84">
        <v>0</v>
      </c>
      <c r="E482" s="85" t="str">
        <f t="shared" si="50"/>
        <v/>
      </c>
      <c r="F482" s="106" t="str">
        <f t="shared" si="56"/>
        <v/>
      </c>
      <c r="G482" s="86"/>
      <c r="H482" s="107">
        <f t="shared" si="51"/>
        <v>0</v>
      </c>
      <c r="I482" s="107">
        <f t="shared" si="52"/>
        <v>0</v>
      </c>
      <c r="J482" s="87">
        <f>IF($D482&gt;0,IFERROR(Параметры!$D$42*$H482/$H$2408,0),0)</f>
        <v>0</v>
      </c>
      <c r="K482" s="87">
        <f>IFERROR(ROUND($N482*Параметры!$D$36,2),0)</f>
        <v>0</v>
      </c>
      <c r="L482" s="87">
        <f t="shared" si="53"/>
        <v>0</v>
      </c>
      <c r="M482" s="87">
        <f t="shared" si="54"/>
        <v>0</v>
      </c>
      <c r="N482" s="107" t="str">
        <f t="shared" si="55"/>
        <v/>
      </c>
    </row>
    <row r="483" spans="2:14" x14ac:dyDescent="0.25">
      <c r="B483" s="82">
        <f>SUBTOTAL(103,$D$8:D483)</f>
        <v>476</v>
      </c>
      <c r="C483" s="83" t="s">
        <v>491</v>
      </c>
      <c r="D483" s="84">
        <v>0</v>
      </c>
      <c r="E483" s="85" t="str">
        <f t="shared" si="50"/>
        <v/>
      </c>
      <c r="F483" s="106" t="str">
        <f t="shared" si="56"/>
        <v/>
      </c>
      <c r="G483" s="86"/>
      <c r="H483" s="107">
        <f t="shared" si="51"/>
        <v>0</v>
      </c>
      <c r="I483" s="107">
        <f t="shared" si="52"/>
        <v>0</v>
      </c>
      <c r="J483" s="87">
        <f>IF($D483&gt;0,IFERROR(Параметры!$D$42*$H483/$H$2408,0),0)</f>
        <v>0</v>
      </c>
      <c r="K483" s="87">
        <f>IFERROR(ROUND($N483*Параметры!$D$36,2),0)</f>
        <v>0</v>
      </c>
      <c r="L483" s="87">
        <f t="shared" si="53"/>
        <v>0</v>
      </c>
      <c r="M483" s="87">
        <f t="shared" si="54"/>
        <v>0</v>
      </c>
      <c r="N483" s="107" t="str">
        <f t="shared" si="55"/>
        <v/>
      </c>
    </row>
    <row r="484" spans="2:14" x14ac:dyDescent="0.25">
      <c r="B484" s="82">
        <f>SUBTOTAL(103,$D$8:D484)</f>
        <v>477</v>
      </c>
      <c r="C484" s="83" t="s">
        <v>492</v>
      </c>
      <c r="D484" s="84">
        <v>0</v>
      </c>
      <c r="E484" s="85" t="str">
        <f t="shared" si="50"/>
        <v/>
      </c>
      <c r="F484" s="106" t="str">
        <f t="shared" si="56"/>
        <v/>
      </c>
      <c r="G484" s="86"/>
      <c r="H484" s="107">
        <f t="shared" si="51"/>
        <v>0</v>
      </c>
      <c r="I484" s="107">
        <f t="shared" si="52"/>
        <v>0</v>
      </c>
      <c r="J484" s="87">
        <f>IF($D484&gt;0,IFERROR(Параметры!$D$42*$H484/$H$2408,0),0)</f>
        <v>0</v>
      </c>
      <c r="K484" s="87">
        <f>IFERROR(ROUND($N484*Параметры!$D$36,2),0)</f>
        <v>0</v>
      </c>
      <c r="L484" s="87">
        <f t="shared" si="53"/>
        <v>0</v>
      </c>
      <c r="M484" s="87">
        <f t="shared" si="54"/>
        <v>0</v>
      </c>
      <c r="N484" s="107" t="str">
        <f t="shared" si="55"/>
        <v/>
      </c>
    </row>
    <row r="485" spans="2:14" x14ac:dyDescent="0.25">
      <c r="B485" s="82">
        <f>SUBTOTAL(103,$D$8:D485)</f>
        <v>478</v>
      </c>
      <c r="C485" s="83" t="s">
        <v>493</v>
      </c>
      <c r="D485" s="84">
        <v>0</v>
      </c>
      <c r="E485" s="85" t="str">
        <f t="shared" si="50"/>
        <v/>
      </c>
      <c r="F485" s="106" t="str">
        <f t="shared" si="56"/>
        <v/>
      </c>
      <c r="G485" s="86"/>
      <c r="H485" s="107">
        <f t="shared" si="51"/>
        <v>0</v>
      </c>
      <c r="I485" s="107">
        <f t="shared" si="52"/>
        <v>0</v>
      </c>
      <c r="J485" s="87">
        <f>IF($D485&gt;0,IFERROR(Параметры!$D$42*$H485/$H$2408,0),0)</f>
        <v>0</v>
      </c>
      <c r="K485" s="87">
        <f>IFERROR(ROUND($N485*Параметры!$D$36,2),0)</f>
        <v>0</v>
      </c>
      <c r="L485" s="87">
        <f t="shared" si="53"/>
        <v>0</v>
      </c>
      <c r="M485" s="87">
        <f t="shared" si="54"/>
        <v>0</v>
      </c>
      <c r="N485" s="107" t="str">
        <f t="shared" si="55"/>
        <v/>
      </c>
    </row>
    <row r="486" spans="2:14" x14ac:dyDescent="0.25">
      <c r="B486" s="82">
        <f>SUBTOTAL(103,$D$8:D486)</f>
        <v>479</v>
      </c>
      <c r="C486" s="83" t="s">
        <v>494</v>
      </c>
      <c r="D486" s="84">
        <v>0</v>
      </c>
      <c r="E486" s="85" t="str">
        <f t="shared" si="50"/>
        <v/>
      </c>
      <c r="F486" s="106" t="str">
        <f t="shared" si="56"/>
        <v/>
      </c>
      <c r="G486" s="86"/>
      <c r="H486" s="107">
        <f t="shared" si="51"/>
        <v>0</v>
      </c>
      <c r="I486" s="107">
        <f t="shared" si="52"/>
        <v>0</v>
      </c>
      <c r="J486" s="87">
        <f>IF($D486&gt;0,IFERROR(Параметры!$D$42*$H486/$H$2408,0),0)</f>
        <v>0</v>
      </c>
      <c r="K486" s="87">
        <f>IFERROR(ROUND($N486*Параметры!$D$36,2),0)</f>
        <v>0</v>
      </c>
      <c r="L486" s="87">
        <f t="shared" si="53"/>
        <v>0</v>
      </c>
      <c r="M486" s="87">
        <f t="shared" si="54"/>
        <v>0</v>
      </c>
      <c r="N486" s="107" t="str">
        <f t="shared" si="55"/>
        <v/>
      </c>
    </row>
    <row r="487" spans="2:14" x14ac:dyDescent="0.25">
      <c r="B487" s="82">
        <f>SUBTOTAL(103,$D$8:D487)</f>
        <v>480</v>
      </c>
      <c r="C487" s="83" t="s">
        <v>495</v>
      </c>
      <c r="D487" s="84">
        <v>0</v>
      </c>
      <c r="E487" s="85" t="str">
        <f t="shared" si="50"/>
        <v/>
      </c>
      <c r="F487" s="106" t="str">
        <f t="shared" si="56"/>
        <v/>
      </c>
      <c r="G487" s="86"/>
      <c r="H487" s="107">
        <f t="shared" si="51"/>
        <v>0</v>
      </c>
      <c r="I487" s="107">
        <f t="shared" si="52"/>
        <v>0</v>
      </c>
      <c r="J487" s="87">
        <f>IF($D487&gt;0,IFERROR(Параметры!$D$42*$H487/$H$2408,0),0)</f>
        <v>0</v>
      </c>
      <c r="K487" s="87">
        <f>IFERROR(ROUND($N487*Параметры!$D$36,2),0)</f>
        <v>0</v>
      </c>
      <c r="L487" s="87">
        <f t="shared" si="53"/>
        <v>0</v>
      </c>
      <c r="M487" s="87">
        <f t="shared" si="54"/>
        <v>0</v>
      </c>
      <c r="N487" s="107" t="str">
        <f t="shared" si="55"/>
        <v/>
      </c>
    </row>
    <row r="488" spans="2:14" x14ac:dyDescent="0.25">
      <c r="B488" s="82">
        <f>SUBTOTAL(103,$D$8:D488)</f>
        <v>481</v>
      </c>
      <c r="C488" s="83" t="s">
        <v>496</v>
      </c>
      <c r="D488" s="84">
        <f t="array" ref="D488:D547">TRANSPOSE('Зарядная карта'!$C$13:$BJ$13)</f>
        <v>4</v>
      </c>
      <c r="E488" s="85">
        <f t="shared" si="50"/>
        <v>62.814700000000002</v>
      </c>
      <c r="F488" s="106">
        <f t="shared" si="56"/>
        <v>2</v>
      </c>
      <c r="G488" s="86"/>
      <c r="H488" s="107">
        <f t="shared" si="51"/>
        <v>3.44</v>
      </c>
      <c r="I488" s="107">
        <f t="shared" si="52"/>
        <v>0.56000000000000005</v>
      </c>
      <c r="J488" s="87">
        <f>IF($D488&gt;0,IFERROR(Параметры!$D$42*$H488/$H$2408,0),0)</f>
        <v>60.103959390862947</v>
      </c>
      <c r="K488" s="87">
        <f>IFERROR(ROUND($N488*Параметры!$D$36,2),0)</f>
        <v>59.54</v>
      </c>
      <c r="L488" s="87">
        <f t="shared" si="53"/>
        <v>3.2747000000000002</v>
      </c>
      <c r="M488" s="87">
        <f t="shared" si="54"/>
        <v>3.8420790191534921</v>
      </c>
      <c r="N488" s="107">
        <f t="shared" si="55"/>
        <v>2</v>
      </c>
    </row>
    <row r="489" spans="2:14" x14ac:dyDescent="0.25">
      <c r="B489" s="82">
        <f>SUBTOTAL(103,$D$8:D489)</f>
        <v>482</v>
      </c>
      <c r="C489" s="83" t="s">
        <v>497</v>
      </c>
      <c r="D489" s="84">
        <v>8</v>
      </c>
      <c r="E489" s="85">
        <f t="shared" si="50"/>
        <v>188.44409999999999</v>
      </c>
      <c r="F489" s="106">
        <f t="shared" si="56"/>
        <v>2</v>
      </c>
      <c r="G489" s="86"/>
      <c r="H489" s="107">
        <f t="shared" si="51"/>
        <v>6.88</v>
      </c>
      <c r="I489" s="107">
        <f t="shared" si="52"/>
        <v>1.1200000000000001</v>
      </c>
      <c r="J489" s="87">
        <f>IF($D489&gt;0,IFERROR(Параметры!$D$42*$H489/$H$2408,0),0)</f>
        <v>120.20791878172589</v>
      </c>
      <c r="K489" s="87">
        <f>IFERROR(ROUND($N489*Параметры!$D$36,2),0)</f>
        <v>178.62</v>
      </c>
      <c r="L489" s="87">
        <f t="shared" si="53"/>
        <v>9.8240999999999996</v>
      </c>
      <c r="M489" s="87">
        <f t="shared" si="54"/>
        <v>11.526237057460476</v>
      </c>
      <c r="N489" s="107">
        <f t="shared" si="55"/>
        <v>6</v>
      </c>
    </row>
    <row r="490" spans="2:14" x14ac:dyDescent="0.25">
      <c r="B490" s="82">
        <f>SUBTOTAL(103,$D$8:D490)</f>
        <v>483</v>
      </c>
      <c r="C490" s="83" t="s">
        <v>498</v>
      </c>
      <c r="D490" s="84">
        <v>8</v>
      </c>
      <c r="E490" s="85">
        <f t="shared" si="50"/>
        <v>188.44409999999999</v>
      </c>
      <c r="F490" s="106">
        <f t="shared" si="56"/>
        <v>2</v>
      </c>
      <c r="G490" s="86"/>
      <c r="H490" s="107">
        <f t="shared" si="51"/>
        <v>6.88</v>
      </c>
      <c r="I490" s="107">
        <f t="shared" si="52"/>
        <v>1.1200000000000001</v>
      </c>
      <c r="J490" s="87">
        <f>IF($D490&gt;0,IFERROR(Параметры!$D$42*$H490/$H$2408,0),0)</f>
        <v>120.20791878172589</v>
      </c>
      <c r="K490" s="87">
        <f>IFERROR(ROUND($N490*Параметры!$D$36,2),0)</f>
        <v>178.62</v>
      </c>
      <c r="L490" s="87">
        <f t="shared" si="53"/>
        <v>9.8240999999999996</v>
      </c>
      <c r="M490" s="87">
        <f t="shared" si="54"/>
        <v>11.526237057460476</v>
      </c>
      <c r="N490" s="107">
        <f t="shared" si="55"/>
        <v>6</v>
      </c>
    </row>
    <row r="491" spans="2:14" x14ac:dyDescent="0.25">
      <c r="B491" s="82">
        <f>SUBTOTAL(103,$D$8:D491)</f>
        <v>484</v>
      </c>
      <c r="C491" s="83" t="s">
        <v>499</v>
      </c>
      <c r="D491" s="84">
        <v>8</v>
      </c>
      <c r="E491" s="85">
        <f t="shared" si="50"/>
        <v>188.44409999999999</v>
      </c>
      <c r="F491" s="106">
        <f t="shared" si="56"/>
        <v>2</v>
      </c>
      <c r="G491" s="86"/>
      <c r="H491" s="107">
        <f t="shared" si="51"/>
        <v>6.88</v>
      </c>
      <c r="I491" s="107">
        <f t="shared" si="52"/>
        <v>1.1200000000000001</v>
      </c>
      <c r="J491" s="87">
        <f>IF($D491&gt;0,IFERROR(Параметры!$D$42*$H491/$H$2408,0),0)</f>
        <v>120.20791878172589</v>
      </c>
      <c r="K491" s="87">
        <f>IFERROR(ROUND($N491*Параметры!$D$36,2),0)</f>
        <v>178.62</v>
      </c>
      <c r="L491" s="87">
        <f t="shared" si="53"/>
        <v>9.8240999999999996</v>
      </c>
      <c r="M491" s="87">
        <f t="shared" si="54"/>
        <v>11.526237057460476</v>
      </c>
      <c r="N491" s="107">
        <f t="shared" si="55"/>
        <v>6</v>
      </c>
    </row>
    <row r="492" spans="2:14" x14ac:dyDescent="0.25">
      <c r="B492" s="82">
        <f>SUBTOTAL(103,$D$8:D492)</f>
        <v>485</v>
      </c>
      <c r="C492" s="83" t="s">
        <v>500</v>
      </c>
      <c r="D492" s="84">
        <v>8</v>
      </c>
      <c r="E492" s="85">
        <f t="shared" si="50"/>
        <v>188.44409999999999</v>
      </c>
      <c r="F492" s="106">
        <f t="shared" si="56"/>
        <v>2</v>
      </c>
      <c r="G492" s="86"/>
      <c r="H492" s="107">
        <f t="shared" si="51"/>
        <v>6.88</v>
      </c>
      <c r="I492" s="107">
        <f t="shared" si="52"/>
        <v>1.1200000000000001</v>
      </c>
      <c r="J492" s="87">
        <f>IF($D492&gt;0,IFERROR(Параметры!$D$42*$H492/$H$2408,0),0)</f>
        <v>120.20791878172589</v>
      </c>
      <c r="K492" s="87">
        <f>IFERROR(ROUND($N492*Параметры!$D$36,2),0)</f>
        <v>178.62</v>
      </c>
      <c r="L492" s="87">
        <f t="shared" si="53"/>
        <v>9.8240999999999996</v>
      </c>
      <c r="M492" s="87">
        <f t="shared" si="54"/>
        <v>11.526237057460476</v>
      </c>
      <c r="N492" s="107">
        <f t="shared" si="55"/>
        <v>6</v>
      </c>
    </row>
    <row r="493" spans="2:14" x14ac:dyDescent="0.25">
      <c r="B493" s="82">
        <f>SUBTOTAL(103,$D$8:D493)</f>
        <v>486</v>
      </c>
      <c r="C493" s="83" t="s">
        <v>501</v>
      </c>
      <c r="D493" s="84">
        <v>8</v>
      </c>
      <c r="E493" s="85">
        <f t="shared" si="50"/>
        <v>188.44409999999999</v>
      </c>
      <c r="F493" s="106">
        <f t="shared" si="56"/>
        <v>2</v>
      </c>
      <c r="G493" s="86"/>
      <c r="H493" s="107">
        <f t="shared" si="51"/>
        <v>6.88</v>
      </c>
      <c r="I493" s="107">
        <f t="shared" si="52"/>
        <v>1.1200000000000001</v>
      </c>
      <c r="J493" s="87">
        <f>IF($D493&gt;0,IFERROR(Параметры!$D$42*$H493/$H$2408,0),0)</f>
        <v>120.20791878172589</v>
      </c>
      <c r="K493" s="87">
        <f>IFERROR(ROUND($N493*Параметры!$D$36,2),0)</f>
        <v>178.62</v>
      </c>
      <c r="L493" s="87">
        <f t="shared" si="53"/>
        <v>9.8240999999999996</v>
      </c>
      <c r="M493" s="87">
        <f t="shared" si="54"/>
        <v>11.526237057460476</v>
      </c>
      <c r="N493" s="107">
        <f t="shared" si="55"/>
        <v>6</v>
      </c>
    </row>
    <row r="494" spans="2:14" x14ac:dyDescent="0.25">
      <c r="B494" s="82">
        <f>SUBTOTAL(103,$D$8:D494)</f>
        <v>487</v>
      </c>
      <c r="C494" s="83" t="s">
        <v>502</v>
      </c>
      <c r="D494" s="84">
        <v>8</v>
      </c>
      <c r="E494" s="85">
        <f t="shared" si="50"/>
        <v>188.44409999999999</v>
      </c>
      <c r="F494" s="106">
        <f t="shared" si="56"/>
        <v>2</v>
      </c>
      <c r="G494" s="86"/>
      <c r="H494" s="107">
        <f t="shared" si="51"/>
        <v>6.88</v>
      </c>
      <c r="I494" s="107">
        <f t="shared" si="52"/>
        <v>1.1200000000000001</v>
      </c>
      <c r="J494" s="87">
        <f>IF($D494&gt;0,IFERROR(Параметры!$D$42*$H494/$H$2408,0),0)</f>
        <v>120.20791878172589</v>
      </c>
      <c r="K494" s="87">
        <f>IFERROR(ROUND($N494*Параметры!$D$36,2),0)</f>
        <v>178.62</v>
      </c>
      <c r="L494" s="87">
        <f t="shared" si="53"/>
        <v>9.8240999999999996</v>
      </c>
      <c r="M494" s="87">
        <f t="shared" si="54"/>
        <v>11.526237057460476</v>
      </c>
      <c r="N494" s="107">
        <f t="shared" si="55"/>
        <v>6</v>
      </c>
    </row>
    <row r="495" spans="2:14" x14ac:dyDescent="0.25">
      <c r="B495" s="82">
        <f>SUBTOTAL(103,$D$8:D495)</f>
        <v>488</v>
      </c>
      <c r="C495" s="83" t="s">
        <v>503</v>
      </c>
      <c r="D495" s="84">
        <v>8</v>
      </c>
      <c r="E495" s="85">
        <f t="shared" si="50"/>
        <v>188.44409999999999</v>
      </c>
      <c r="F495" s="106">
        <f t="shared" si="56"/>
        <v>2</v>
      </c>
      <c r="G495" s="86"/>
      <c r="H495" s="107">
        <f t="shared" si="51"/>
        <v>6.88</v>
      </c>
      <c r="I495" s="107">
        <f t="shared" si="52"/>
        <v>1.1200000000000001</v>
      </c>
      <c r="J495" s="87">
        <f>IF($D495&gt;0,IFERROR(Параметры!$D$42*$H495/$H$2408,0),0)</f>
        <v>120.20791878172589</v>
      </c>
      <c r="K495" s="87">
        <f>IFERROR(ROUND($N495*Параметры!$D$36,2),0)</f>
        <v>178.62</v>
      </c>
      <c r="L495" s="87">
        <f t="shared" si="53"/>
        <v>9.8240999999999996</v>
      </c>
      <c r="M495" s="87">
        <f t="shared" si="54"/>
        <v>11.526237057460476</v>
      </c>
      <c r="N495" s="107">
        <f t="shared" si="55"/>
        <v>6</v>
      </c>
    </row>
    <row r="496" spans="2:14" x14ac:dyDescent="0.25">
      <c r="B496" s="82">
        <f>SUBTOTAL(103,$D$8:D496)</f>
        <v>489</v>
      </c>
      <c r="C496" s="83" t="s">
        <v>504</v>
      </c>
      <c r="D496" s="84">
        <v>8</v>
      </c>
      <c r="E496" s="85">
        <f t="shared" si="50"/>
        <v>188.44409999999999</v>
      </c>
      <c r="F496" s="106">
        <f t="shared" ref="F496:F522" si="57">IF(D496&gt;0,2,"")</f>
        <v>2</v>
      </c>
      <c r="G496" s="86"/>
      <c r="H496" s="107">
        <f t="shared" si="51"/>
        <v>6.88</v>
      </c>
      <c r="I496" s="107">
        <f t="shared" si="52"/>
        <v>1.1200000000000001</v>
      </c>
      <c r="J496" s="87">
        <f>IF($D496&gt;0,IFERROR(Параметры!$D$42*$H496/$H$2408,0),0)</f>
        <v>120.20791878172589</v>
      </c>
      <c r="K496" s="87">
        <f>IFERROR(ROUND($N496*Параметры!$D$36,2),0)</f>
        <v>178.62</v>
      </c>
      <c r="L496" s="87">
        <f t="shared" si="53"/>
        <v>9.8240999999999996</v>
      </c>
      <c r="M496" s="87">
        <f t="shared" si="54"/>
        <v>11.526237057460476</v>
      </c>
      <c r="N496" s="107">
        <f t="shared" si="55"/>
        <v>6</v>
      </c>
    </row>
    <row r="497" spans="2:14" x14ac:dyDescent="0.25">
      <c r="B497" s="82">
        <f>SUBTOTAL(103,$D$8:D497)</f>
        <v>490</v>
      </c>
      <c r="C497" s="83" t="s">
        <v>505</v>
      </c>
      <c r="D497" s="84">
        <v>8</v>
      </c>
      <c r="E497" s="85">
        <f t="shared" si="50"/>
        <v>188.44409999999999</v>
      </c>
      <c r="F497" s="106">
        <f t="shared" si="57"/>
        <v>2</v>
      </c>
      <c r="G497" s="86"/>
      <c r="H497" s="107">
        <f t="shared" si="51"/>
        <v>6.88</v>
      </c>
      <c r="I497" s="107">
        <f t="shared" si="52"/>
        <v>1.1200000000000001</v>
      </c>
      <c r="J497" s="87">
        <f>IF($D497&gt;0,IFERROR(Параметры!$D$42*$H497/$H$2408,0),0)</f>
        <v>120.20791878172589</v>
      </c>
      <c r="K497" s="87">
        <f>IFERROR(ROUND($N497*Параметры!$D$36,2),0)</f>
        <v>178.62</v>
      </c>
      <c r="L497" s="87">
        <f t="shared" si="53"/>
        <v>9.8240999999999996</v>
      </c>
      <c r="M497" s="87">
        <f t="shared" si="54"/>
        <v>11.526237057460476</v>
      </c>
      <c r="N497" s="107">
        <f t="shared" si="55"/>
        <v>6</v>
      </c>
    </row>
    <row r="498" spans="2:14" x14ac:dyDescent="0.25">
      <c r="B498" s="82">
        <f>SUBTOTAL(103,$D$8:D498)</f>
        <v>491</v>
      </c>
      <c r="C498" s="83" t="s">
        <v>506</v>
      </c>
      <c r="D498" s="84">
        <v>0</v>
      </c>
      <c r="E498" s="85" t="str">
        <f t="shared" si="50"/>
        <v/>
      </c>
      <c r="F498" s="106" t="str">
        <f t="shared" si="57"/>
        <v/>
      </c>
      <c r="G498" s="86"/>
      <c r="H498" s="107">
        <f t="shared" si="51"/>
        <v>0</v>
      </c>
      <c r="I498" s="107">
        <f t="shared" si="52"/>
        <v>0</v>
      </c>
      <c r="J498" s="87">
        <f>IF($D498&gt;0,IFERROR(Параметры!$D$42*$H498/$H$2408,0),0)</f>
        <v>0</v>
      </c>
      <c r="K498" s="87">
        <f>IFERROR(ROUND($N498*Параметры!$D$36,2),0)</f>
        <v>0</v>
      </c>
      <c r="L498" s="87">
        <f t="shared" si="53"/>
        <v>0</v>
      </c>
      <c r="M498" s="87">
        <f t="shared" si="54"/>
        <v>0</v>
      </c>
      <c r="N498" s="107" t="str">
        <f t="shared" si="55"/>
        <v/>
      </c>
    </row>
    <row r="499" spans="2:14" x14ac:dyDescent="0.25">
      <c r="B499" s="82">
        <f>SUBTOTAL(103,$D$8:D499)</f>
        <v>492</v>
      </c>
      <c r="C499" s="83" t="s">
        <v>507</v>
      </c>
      <c r="D499" s="84">
        <v>0</v>
      </c>
      <c r="E499" s="85" t="str">
        <f t="shared" si="50"/>
        <v/>
      </c>
      <c r="F499" s="106" t="str">
        <f t="shared" si="57"/>
        <v/>
      </c>
      <c r="G499" s="86"/>
      <c r="H499" s="107">
        <f t="shared" si="51"/>
        <v>0</v>
      </c>
      <c r="I499" s="107">
        <f t="shared" si="52"/>
        <v>0</v>
      </c>
      <c r="J499" s="87">
        <f>IF($D499&gt;0,IFERROR(Параметры!$D$42*$H499/$H$2408,0),0)</f>
        <v>0</v>
      </c>
      <c r="K499" s="87">
        <f>IFERROR(ROUND($N499*Параметры!$D$36,2),0)</f>
        <v>0</v>
      </c>
      <c r="L499" s="87">
        <f t="shared" si="53"/>
        <v>0</v>
      </c>
      <c r="M499" s="87">
        <f t="shared" si="54"/>
        <v>0</v>
      </c>
      <c r="N499" s="107" t="str">
        <f t="shared" si="55"/>
        <v/>
      </c>
    </row>
    <row r="500" spans="2:14" x14ac:dyDescent="0.25">
      <c r="B500" s="82">
        <f>SUBTOTAL(103,$D$8:D500)</f>
        <v>493</v>
      </c>
      <c r="C500" s="83" t="s">
        <v>508</v>
      </c>
      <c r="D500" s="84">
        <v>0</v>
      </c>
      <c r="E500" s="85" t="str">
        <f t="shared" si="50"/>
        <v/>
      </c>
      <c r="F500" s="106" t="str">
        <f t="shared" si="57"/>
        <v/>
      </c>
      <c r="G500" s="86"/>
      <c r="H500" s="107">
        <f t="shared" si="51"/>
        <v>0</v>
      </c>
      <c r="I500" s="107">
        <f t="shared" si="52"/>
        <v>0</v>
      </c>
      <c r="J500" s="87">
        <f>IF($D500&gt;0,IFERROR(Параметры!$D$42*$H500/$H$2408,0),0)</f>
        <v>0</v>
      </c>
      <c r="K500" s="87">
        <f>IFERROR(ROUND($N500*Параметры!$D$36,2),0)</f>
        <v>0</v>
      </c>
      <c r="L500" s="87">
        <f t="shared" si="53"/>
        <v>0</v>
      </c>
      <c r="M500" s="87">
        <f t="shared" si="54"/>
        <v>0</v>
      </c>
      <c r="N500" s="107" t="str">
        <f t="shared" si="55"/>
        <v/>
      </c>
    </row>
    <row r="501" spans="2:14" x14ac:dyDescent="0.25">
      <c r="B501" s="82">
        <f>SUBTOTAL(103,$D$8:D501)</f>
        <v>494</v>
      </c>
      <c r="C501" s="83" t="s">
        <v>509</v>
      </c>
      <c r="D501" s="84">
        <v>0</v>
      </c>
      <c r="E501" s="85" t="str">
        <f t="shared" si="50"/>
        <v/>
      </c>
      <c r="F501" s="106" t="str">
        <f t="shared" si="57"/>
        <v/>
      </c>
      <c r="G501" s="86"/>
      <c r="H501" s="107">
        <f t="shared" si="51"/>
        <v>0</v>
      </c>
      <c r="I501" s="107">
        <f t="shared" si="52"/>
        <v>0</v>
      </c>
      <c r="J501" s="87">
        <f>IF($D501&gt;0,IFERROR(Параметры!$D$42*$H501/$H$2408,0),0)</f>
        <v>0</v>
      </c>
      <c r="K501" s="87">
        <f>IFERROR(ROUND($N501*Параметры!$D$36,2),0)</f>
        <v>0</v>
      </c>
      <c r="L501" s="87">
        <f t="shared" si="53"/>
        <v>0</v>
      </c>
      <c r="M501" s="87">
        <f t="shared" si="54"/>
        <v>0</v>
      </c>
      <c r="N501" s="107" t="str">
        <f t="shared" si="55"/>
        <v/>
      </c>
    </row>
    <row r="502" spans="2:14" x14ac:dyDescent="0.25">
      <c r="B502" s="82">
        <f>SUBTOTAL(103,$D$8:D502)</f>
        <v>495</v>
      </c>
      <c r="C502" s="83" t="s">
        <v>510</v>
      </c>
      <c r="D502" s="84">
        <v>0</v>
      </c>
      <c r="E502" s="85" t="str">
        <f t="shared" si="50"/>
        <v/>
      </c>
      <c r="F502" s="106" t="str">
        <f t="shared" si="57"/>
        <v/>
      </c>
      <c r="G502" s="86"/>
      <c r="H502" s="107">
        <f t="shared" si="51"/>
        <v>0</v>
      </c>
      <c r="I502" s="107">
        <f t="shared" si="52"/>
        <v>0</v>
      </c>
      <c r="J502" s="87">
        <f>IF($D502&gt;0,IFERROR(Параметры!$D$42*$H502/$H$2408,0),0)</f>
        <v>0</v>
      </c>
      <c r="K502" s="87">
        <f>IFERROR(ROUND($N502*Параметры!$D$36,2),0)</f>
        <v>0</v>
      </c>
      <c r="L502" s="87">
        <f t="shared" si="53"/>
        <v>0</v>
      </c>
      <c r="M502" s="87">
        <f t="shared" si="54"/>
        <v>0</v>
      </c>
      <c r="N502" s="107" t="str">
        <f t="shared" si="55"/>
        <v/>
      </c>
    </row>
    <row r="503" spans="2:14" x14ac:dyDescent="0.25">
      <c r="B503" s="82">
        <f>SUBTOTAL(103,$D$8:D503)</f>
        <v>496</v>
      </c>
      <c r="C503" s="83" t="s">
        <v>511</v>
      </c>
      <c r="D503" s="84">
        <v>0</v>
      </c>
      <c r="E503" s="85" t="str">
        <f t="shared" si="50"/>
        <v/>
      </c>
      <c r="F503" s="106" t="str">
        <f t="shared" si="57"/>
        <v/>
      </c>
      <c r="G503" s="86"/>
      <c r="H503" s="107">
        <f t="shared" si="51"/>
        <v>0</v>
      </c>
      <c r="I503" s="107">
        <f t="shared" si="52"/>
        <v>0</v>
      </c>
      <c r="J503" s="87">
        <f>IF($D503&gt;0,IFERROR(Параметры!$D$42*$H503/$H$2408,0),0)</f>
        <v>0</v>
      </c>
      <c r="K503" s="87">
        <f>IFERROR(ROUND($N503*Параметры!$D$36,2),0)</f>
        <v>0</v>
      </c>
      <c r="L503" s="87">
        <f t="shared" si="53"/>
        <v>0</v>
      </c>
      <c r="M503" s="87">
        <f t="shared" si="54"/>
        <v>0</v>
      </c>
      <c r="N503" s="107" t="str">
        <f t="shared" si="55"/>
        <v/>
      </c>
    </row>
    <row r="504" spans="2:14" x14ac:dyDescent="0.25">
      <c r="B504" s="82">
        <f>SUBTOTAL(103,$D$8:D504)</f>
        <v>497</v>
      </c>
      <c r="C504" s="83" t="s">
        <v>512</v>
      </c>
      <c r="D504" s="84">
        <v>0</v>
      </c>
      <c r="E504" s="85" t="str">
        <f t="shared" si="50"/>
        <v/>
      </c>
      <c r="F504" s="106" t="str">
        <f t="shared" si="57"/>
        <v/>
      </c>
      <c r="G504" s="86"/>
      <c r="H504" s="107">
        <f t="shared" si="51"/>
        <v>0</v>
      </c>
      <c r="I504" s="107">
        <f t="shared" si="52"/>
        <v>0</v>
      </c>
      <c r="J504" s="87">
        <f>IF($D504&gt;0,IFERROR(Параметры!$D$42*$H504/$H$2408,0),0)</f>
        <v>0</v>
      </c>
      <c r="K504" s="87">
        <f>IFERROR(ROUND($N504*Параметры!$D$36,2),0)</f>
        <v>0</v>
      </c>
      <c r="L504" s="87">
        <f t="shared" si="53"/>
        <v>0</v>
      </c>
      <c r="M504" s="87">
        <f t="shared" si="54"/>
        <v>0</v>
      </c>
      <c r="N504" s="107" t="str">
        <f t="shared" si="55"/>
        <v/>
      </c>
    </row>
    <row r="505" spans="2:14" x14ac:dyDescent="0.25">
      <c r="B505" s="82">
        <f>SUBTOTAL(103,$D$8:D505)</f>
        <v>498</v>
      </c>
      <c r="C505" s="83" t="s">
        <v>513</v>
      </c>
      <c r="D505" s="84">
        <v>0</v>
      </c>
      <c r="E505" s="85" t="str">
        <f t="shared" si="50"/>
        <v/>
      </c>
      <c r="F505" s="106" t="str">
        <f t="shared" si="57"/>
        <v/>
      </c>
      <c r="G505" s="86"/>
      <c r="H505" s="107">
        <f t="shared" si="51"/>
        <v>0</v>
      </c>
      <c r="I505" s="107">
        <f t="shared" si="52"/>
        <v>0</v>
      </c>
      <c r="J505" s="87">
        <f>IF($D505&gt;0,IFERROR(Параметры!$D$42*$H505/$H$2408,0),0)</f>
        <v>0</v>
      </c>
      <c r="K505" s="87">
        <f>IFERROR(ROUND($N505*Параметры!$D$36,2),0)</f>
        <v>0</v>
      </c>
      <c r="L505" s="87">
        <f t="shared" si="53"/>
        <v>0</v>
      </c>
      <c r="M505" s="87">
        <f t="shared" si="54"/>
        <v>0</v>
      </c>
      <c r="N505" s="107" t="str">
        <f t="shared" si="55"/>
        <v/>
      </c>
    </row>
    <row r="506" spans="2:14" x14ac:dyDescent="0.25">
      <c r="B506" s="82">
        <f>SUBTOTAL(103,$D$8:D506)</f>
        <v>499</v>
      </c>
      <c r="C506" s="83" t="s">
        <v>514</v>
      </c>
      <c r="D506" s="84">
        <v>0</v>
      </c>
      <c r="E506" s="85" t="str">
        <f t="shared" si="50"/>
        <v/>
      </c>
      <c r="F506" s="106" t="str">
        <f t="shared" si="57"/>
        <v/>
      </c>
      <c r="G506" s="86"/>
      <c r="H506" s="107">
        <f t="shared" si="51"/>
        <v>0</v>
      </c>
      <c r="I506" s="107">
        <f t="shared" si="52"/>
        <v>0</v>
      </c>
      <c r="J506" s="87">
        <f>IF($D506&gt;0,IFERROR(Параметры!$D$42*$H506/$H$2408,0),0)</f>
        <v>0</v>
      </c>
      <c r="K506" s="87">
        <f>IFERROR(ROUND($N506*Параметры!$D$36,2),0)</f>
        <v>0</v>
      </c>
      <c r="L506" s="87">
        <f t="shared" si="53"/>
        <v>0</v>
      </c>
      <c r="M506" s="87">
        <f t="shared" si="54"/>
        <v>0</v>
      </c>
      <c r="N506" s="107" t="str">
        <f t="shared" si="55"/>
        <v/>
      </c>
    </row>
    <row r="507" spans="2:14" x14ac:dyDescent="0.25">
      <c r="B507" s="82">
        <f>SUBTOTAL(103,$D$8:D507)</f>
        <v>500</v>
      </c>
      <c r="C507" s="83" t="s">
        <v>515</v>
      </c>
      <c r="D507" s="84">
        <v>0</v>
      </c>
      <c r="E507" s="85" t="str">
        <f t="shared" si="50"/>
        <v/>
      </c>
      <c r="F507" s="106" t="str">
        <f t="shared" si="57"/>
        <v/>
      </c>
      <c r="G507" s="86"/>
      <c r="H507" s="107">
        <f t="shared" si="51"/>
        <v>0</v>
      </c>
      <c r="I507" s="107">
        <f t="shared" si="52"/>
        <v>0</v>
      </c>
      <c r="J507" s="87">
        <f>IF($D507&gt;0,IFERROR(Параметры!$D$42*$H507/$H$2408,0),0)</f>
        <v>0</v>
      </c>
      <c r="K507" s="87">
        <f>IFERROR(ROUND($N507*Параметры!$D$36,2),0)</f>
        <v>0</v>
      </c>
      <c r="L507" s="87">
        <f t="shared" si="53"/>
        <v>0</v>
      </c>
      <c r="M507" s="87">
        <f t="shared" si="54"/>
        <v>0</v>
      </c>
      <c r="N507" s="107" t="str">
        <f t="shared" si="55"/>
        <v/>
      </c>
    </row>
    <row r="508" spans="2:14" x14ac:dyDescent="0.25">
      <c r="B508" s="82">
        <f>SUBTOTAL(103,$D$8:D508)</f>
        <v>501</v>
      </c>
      <c r="C508" s="83" t="s">
        <v>516</v>
      </c>
      <c r="D508" s="84">
        <v>0</v>
      </c>
      <c r="E508" s="85" t="str">
        <f t="shared" si="50"/>
        <v/>
      </c>
      <c r="F508" s="106" t="str">
        <f t="shared" si="57"/>
        <v/>
      </c>
      <c r="G508" s="86"/>
      <c r="H508" s="107">
        <f t="shared" si="51"/>
        <v>0</v>
      </c>
      <c r="I508" s="107">
        <f t="shared" si="52"/>
        <v>0</v>
      </c>
      <c r="J508" s="87">
        <f>IF($D508&gt;0,IFERROR(Параметры!$D$42*$H508/$H$2408,0),0)</f>
        <v>0</v>
      </c>
      <c r="K508" s="87">
        <f>IFERROR(ROUND($N508*Параметры!$D$36,2),0)</f>
        <v>0</v>
      </c>
      <c r="L508" s="87">
        <f t="shared" si="53"/>
        <v>0</v>
      </c>
      <c r="M508" s="87">
        <f t="shared" si="54"/>
        <v>0</v>
      </c>
      <c r="N508" s="107" t="str">
        <f t="shared" si="55"/>
        <v/>
      </c>
    </row>
    <row r="509" spans="2:14" x14ac:dyDescent="0.25">
      <c r="B509" s="82">
        <f>SUBTOTAL(103,$D$8:D509)</f>
        <v>502</v>
      </c>
      <c r="C509" s="83" t="s">
        <v>517</v>
      </c>
      <c r="D509" s="84">
        <v>0</v>
      </c>
      <c r="E509" s="85" t="str">
        <f t="shared" si="50"/>
        <v/>
      </c>
      <c r="F509" s="106" t="str">
        <f t="shared" si="57"/>
        <v/>
      </c>
      <c r="G509" s="86"/>
      <c r="H509" s="107">
        <f t="shared" si="51"/>
        <v>0</v>
      </c>
      <c r="I509" s="107">
        <f t="shared" si="52"/>
        <v>0</v>
      </c>
      <c r="J509" s="87">
        <f>IF($D509&gt;0,IFERROR(Параметры!$D$42*$H509/$H$2408,0),0)</f>
        <v>0</v>
      </c>
      <c r="K509" s="87">
        <f>IFERROR(ROUND($N509*Параметры!$D$36,2),0)</f>
        <v>0</v>
      </c>
      <c r="L509" s="87">
        <f t="shared" si="53"/>
        <v>0</v>
      </c>
      <c r="M509" s="87">
        <f t="shared" si="54"/>
        <v>0</v>
      </c>
      <c r="N509" s="107" t="str">
        <f t="shared" si="55"/>
        <v/>
      </c>
    </row>
    <row r="510" spans="2:14" x14ac:dyDescent="0.25">
      <c r="B510" s="82">
        <f>SUBTOTAL(103,$D$8:D510)</f>
        <v>503</v>
      </c>
      <c r="C510" s="83" t="s">
        <v>518</v>
      </c>
      <c r="D510" s="84">
        <v>0</v>
      </c>
      <c r="E510" s="85" t="str">
        <f t="shared" si="50"/>
        <v/>
      </c>
      <c r="F510" s="106" t="str">
        <f t="shared" si="57"/>
        <v/>
      </c>
      <c r="G510" s="86"/>
      <c r="H510" s="107">
        <f t="shared" si="51"/>
        <v>0</v>
      </c>
      <c r="I510" s="107">
        <f t="shared" si="52"/>
        <v>0</v>
      </c>
      <c r="J510" s="87">
        <f>IF($D510&gt;0,IFERROR(Параметры!$D$42*$H510/$H$2408,0),0)</f>
        <v>0</v>
      </c>
      <c r="K510" s="87">
        <f>IFERROR(ROUND($N510*Параметры!$D$36,2),0)</f>
        <v>0</v>
      </c>
      <c r="L510" s="87">
        <f t="shared" si="53"/>
        <v>0</v>
      </c>
      <c r="M510" s="87">
        <f t="shared" si="54"/>
        <v>0</v>
      </c>
      <c r="N510" s="107" t="str">
        <f t="shared" si="55"/>
        <v/>
      </c>
    </row>
    <row r="511" spans="2:14" x14ac:dyDescent="0.25">
      <c r="B511" s="82">
        <f>SUBTOTAL(103,$D$8:D511)</f>
        <v>504</v>
      </c>
      <c r="C511" s="83" t="s">
        <v>519</v>
      </c>
      <c r="D511" s="84">
        <v>0</v>
      </c>
      <c r="E511" s="85" t="str">
        <f t="shared" si="50"/>
        <v/>
      </c>
      <c r="F511" s="106" t="str">
        <f t="shared" si="57"/>
        <v/>
      </c>
      <c r="G511" s="86"/>
      <c r="H511" s="107">
        <f t="shared" si="51"/>
        <v>0</v>
      </c>
      <c r="I511" s="107">
        <f t="shared" si="52"/>
        <v>0</v>
      </c>
      <c r="J511" s="87">
        <f>IF($D511&gt;0,IFERROR(Параметры!$D$42*$H511/$H$2408,0),0)</f>
        <v>0</v>
      </c>
      <c r="K511" s="87">
        <f>IFERROR(ROUND($N511*Параметры!$D$36,2),0)</f>
        <v>0</v>
      </c>
      <c r="L511" s="87">
        <f t="shared" si="53"/>
        <v>0</v>
      </c>
      <c r="M511" s="87">
        <f t="shared" si="54"/>
        <v>0</v>
      </c>
      <c r="N511" s="107" t="str">
        <f t="shared" si="55"/>
        <v/>
      </c>
    </row>
    <row r="512" spans="2:14" x14ac:dyDescent="0.25">
      <c r="B512" s="82">
        <f>SUBTOTAL(103,$D$8:D512)</f>
        <v>505</v>
      </c>
      <c r="C512" s="83" t="s">
        <v>520</v>
      </c>
      <c r="D512" s="84">
        <v>0</v>
      </c>
      <c r="E512" s="85" t="str">
        <f t="shared" si="50"/>
        <v/>
      </c>
      <c r="F512" s="106" t="str">
        <f t="shared" si="57"/>
        <v/>
      </c>
      <c r="G512" s="86"/>
      <c r="H512" s="107">
        <f t="shared" si="51"/>
        <v>0</v>
      </c>
      <c r="I512" s="107">
        <f t="shared" si="52"/>
        <v>0</v>
      </c>
      <c r="J512" s="87">
        <f>IF($D512&gt;0,IFERROR(Параметры!$D$42*$H512/$H$2408,0),0)</f>
        <v>0</v>
      </c>
      <c r="K512" s="87">
        <f>IFERROR(ROUND($N512*Параметры!$D$36,2),0)</f>
        <v>0</v>
      </c>
      <c r="L512" s="87">
        <f t="shared" si="53"/>
        <v>0</v>
      </c>
      <c r="M512" s="87">
        <f t="shared" si="54"/>
        <v>0</v>
      </c>
      <c r="N512" s="107" t="str">
        <f t="shared" si="55"/>
        <v/>
      </c>
    </row>
    <row r="513" spans="2:14" x14ac:dyDescent="0.25">
      <c r="B513" s="82">
        <f>SUBTOTAL(103,$D$8:D513)</f>
        <v>506</v>
      </c>
      <c r="C513" s="83" t="s">
        <v>521</v>
      </c>
      <c r="D513" s="84">
        <v>0</v>
      </c>
      <c r="E513" s="85" t="str">
        <f t="shared" si="50"/>
        <v/>
      </c>
      <c r="F513" s="106" t="str">
        <f t="shared" si="57"/>
        <v/>
      </c>
      <c r="G513" s="86"/>
      <c r="H513" s="107">
        <f t="shared" si="51"/>
        <v>0</v>
      </c>
      <c r="I513" s="107">
        <f t="shared" si="52"/>
        <v>0</v>
      </c>
      <c r="J513" s="87">
        <f>IF($D513&gt;0,IFERROR(Параметры!$D$42*$H513/$H$2408,0),0)</f>
        <v>0</v>
      </c>
      <c r="K513" s="87">
        <f>IFERROR(ROUND($N513*Параметры!$D$36,2),0)</f>
        <v>0</v>
      </c>
      <c r="L513" s="87">
        <f t="shared" si="53"/>
        <v>0</v>
      </c>
      <c r="M513" s="87">
        <f t="shared" si="54"/>
        <v>0</v>
      </c>
      <c r="N513" s="107" t="str">
        <f t="shared" si="55"/>
        <v/>
      </c>
    </row>
    <row r="514" spans="2:14" x14ac:dyDescent="0.25">
      <c r="B514" s="82">
        <f>SUBTOTAL(103,$D$8:D514)</f>
        <v>507</v>
      </c>
      <c r="C514" s="83" t="s">
        <v>522</v>
      </c>
      <c r="D514" s="84">
        <v>0</v>
      </c>
      <c r="E514" s="85" t="str">
        <f t="shared" si="50"/>
        <v/>
      </c>
      <c r="F514" s="106" t="str">
        <f t="shared" si="57"/>
        <v/>
      </c>
      <c r="G514" s="86"/>
      <c r="H514" s="107">
        <f t="shared" si="51"/>
        <v>0</v>
      </c>
      <c r="I514" s="107">
        <f t="shared" si="52"/>
        <v>0</v>
      </c>
      <c r="J514" s="87">
        <f>IF($D514&gt;0,IFERROR(Параметры!$D$42*$H514/$H$2408,0),0)</f>
        <v>0</v>
      </c>
      <c r="K514" s="87">
        <f>IFERROR(ROUND($N514*Параметры!$D$36,2),0)</f>
        <v>0</v>
      </c>
      <c r="L514" s="87">
        <f t="shared" si="53"/>
        <v>0</v>
      </c>
      <c r="M514" s="87">
        <f t="shared" si="54"/>
        <v>0</v>
      </c>
      <c r="N514" s="107" t="str">
        <f t="shared" si="55"/>
        <v/>
      </c>
    </row>
    <row r="515" spans="2:14" x14ac:dyDescent="0.25">
      <c r="B515" s="82">
        <f>SUBTOTAL(103,$D$8:D515)</f>
        <v>508</v>
      </c>
      <c r="C515" s="83" t="s">
        <v>523</v>
      </c>
      <c r="D515" s="84">
        <v>0</v>
      </c>
      <c r="E515" s="85" t="str">
        <f t="shared" si="50"/>
        <v/>
      </c>
      <c r="F515" s="106" t="str">
        <f t="shared" si="57"/>
        <v/>
      </c>
      <c r="G515" s="86"/>
      <c r="H515" s="107">
        <f t="shared" si="51"/>
        <v>0</v>
      </c>
      <c r="I515" s="107">
        <f t="shared" si="52"/>
        <v>0</v>
      </c>
      <c r="J515" s="87">
        <f>IF($D515&gt;0,IFERROR(Параметры!$D$42*$H515/$H$2408,0),0)</f>
        <v>0</v>
      </c>
      <c r="K515" s="87">
        <f>IFERROR(ROUND($N515*Параметры!$D$36,2),0)</f>
        <v>0</v>
      </c>
      <c r="L515" s="87">
        <f t="shared" si="53"/>
        <v>0</v>
      </c>
      <c r="M515" s="87">
        <f t="shared" si="54"/>
        <v>0</v>
      </c>
      <c r="N515" s="107" t="str">
        <f t="shared" si="55"/>
        <v/>
      </c>
    </row>
    <row r="516" spans="2:14" x14ac:dyDescent="0.25">
      <c r="B516" s="82">
        <f>SUBTOTAL(103,$D$8:D516)</f>
        <v>509</v>
      </c>
      <c r="C516" s="83" t="s">
        <v>524</v>
      </c>
      <c r="D516" s="84">
        <v>0</v>
      </c>
      <c r="E516" s="85" t="str">
        <f t="shared" si="50"/>
        <v/>
      </c>
      <c r="F516" s="106" t="str">
        <f t="shared" si="57"/>
        <v/>
      </c>
      <c r="G516" s="86"/>
      <c r="H516" s="107">
        <f t="shared" si="51"/>
        <v>0</v>
      </c>
      <c r="I516" s="107">
        <f t="shared" si="52"/>
        <v>0</v>
      </c>
      <c r="J516" s="87">
        <f>IF($D516&gt;0,IFERROR(Параметры!$D$42*$H516/$H$2408,0),0)</f>
        <v>0</v>
      </c>
      <c r="K516" s="87">
        <f>IFERROR(ROUND($N516*Параметры!$D$36,2),0)</f>
        <v>0</v>
      </c>
      <c r="L516" s="87">
        <f t="shared" si="53"/>
        <v>0</v>
      </c>
      <c r="M516" s="87">
        <f t="shared" si="54"/>
        <v>0</v>
      </c>
      <c r="N516" s="107" t="str">
        <f t="shared" si="55"/>
        <v/>
      </c>
    </row>
    <row r="517" spans="2:14" x14ac:dyDescent="0.25">
      <c r="B517" s="82">
        <f>SUBTOTAL(103,$D$8:D517)</f>
        <v>510</v>
      </c>
      <c r="C517" s="83" t="s">
        <v>525</v>
      </c>
      <c r="D517" s="84">
        <v>0</v>
      </c>
      <c r="E517" s="85" t="str">
        <f t="shared" si="50"/>
        <v/>
      </c>
      <c r="F517" s="106" t="str">
        <f t="shared" si="57"/>
        <v/>
      </c>
      <c r="G517" s="86"/>
      <c r="H517" s="107">
        <f t="shared" si="51"/>
        <v>0</v>
      </c>
      <c r="I517" s="107">
        <f t="shared" si="52"/>
        <v>0</v>
      </c>
      <c r="J517" s="87">
        <f>IF($D517&gt;0,IFERROR(Параметры!$D$42*$H517/$H$2408,0),0)</f>
        <v>0</v>
      </c>
      <c r="K517" s="87">
        <f>IFERROR(ROUND($N517*Параметры!$D$36,2),0)</f>
        <v>0</v>
      </c>
      <c r="L517" s="87">
        <f t="shared" si="53"/>
        <v>0</v>
      </c>
      <c r="M517" s="87">
        <f t="shared" si="54"/>
        <v>0</v>
      </c>
      <c r="N517" s="107" t="str">
        <f t="shared" si="55"/>
        <v/>
      </c>
    </row>
    <row r="518" spans="2:14" x14ac:dyDescent="0.25">
      <c r="B518" s="82">
        <f>SUBTOTAL(103,$D$8:D518)</f>
        <v>511</v>
      </c>
      <c r="C518" s="83" t="s">
        <v>526</v>
      </c>
      <c r="D518" s="84">
        <v>0</v>
      </c>
      <c r="E518" s="85" t="str">
        <f t="shared" si="50"/>
        <v/>
      </c>
      <c r="F518" s="106" t="str">
        <f t="shared" si="57"/>
        <v/>
      </c>
      <c r="G518" s="86"/>
      <c r="H518" s="107">
        <f t="shared" si="51"/>
        <v>0</v>
      </c>
      <c r="I518" s="107">
        <f t="shared" si="52"/>
        <v>0</v>
      </c>
      <c r="J518" s="87">
        <f>IF($D518&gt;0,IFERROR(Параметры!$D$42*$H518/$H$2408,0),0)</f>
        <v>0</v>
      </c>
      <c r="K518" s="87">
        <f>IFERROR(ROUND($N518*Параметры!$D$36,2),0)</f>
        <v>0</v>
      </c>
      <c r="L518" s="87">
        <f t="shared" si="53"/>
        <v>0</v>
      </c>
      <c r="M518" s="87">
        <f t="shared" si="54"/>
        <v>0</v>
      </c>
      <c r="N518" s="107" t="str">
        <f t="shared" si="55"/>
        <v/>
      </c>
    </row>
    <row r="519" spans="2:14" x14ac:dyDescent="0.25">
      <c r="B519" s="82">
        <f>SUBTOTAL(103,$D$8:D519)</f>
        <v>512</v>
      </c>
      <c r="C519" s="83" t="s">
        <v>527</v>
      </c>
      <c r="D519" s="84">
        <v>0</v>
      </c>
      <c r="E519" s="85" t="str">
        <f t="shared" si="50"/>
        <v/>
      </c>
      <c r="F519" s="106" t="str">
        <f t="shared" si="57"/>
        <v/>
      </c>
      <c r="G519" s="86"/>
      <c r="H519" s="107">
        <f t="shared" si="51"/>
        <v>0</v>
      </c>
      <c r="I519" s="107">
        <f t="shared" si="52"/>
        <v>0</v>
      </c>
      <c r="J519" s="87">
        <f>IF($D519&gt;0,IFERROR(Параметры!$D$42*$H519/$H$2408,0),0)</f>
        <v>0</v>
      </c>
      <c r="K519" s="87">
        <f>IFERROR(ROUND($N519*Параметры!$D$36,2),0)</f>
        <v>0</v>
      </c>
      <c r="L519" s="87">
        <f t="shared" si="53"/>
        <v>0</v>
      </c>
      <c r="M519" s="87">
        <f t="shared" si="54"/>
        <v>0</v>
      </c>
      <c r="N519" s="107" t="str">
        <f t="shared" si="55"/>
        <v/>
      </c>
    </row>
    <row r="520" spans="2:14" x14ac:dyDescent="0.25">
      <c r="B520" s="82">
        <f>SUBTOTAL(103,$D$8:D520)</f>
        <v>513</v>
      </c>
      <c r="C520" s="83" t="s">
        <v>528</v>
      </c>
      <c r="D520" s="84">
        <v>0</v>
      </c>
      <c r="E520" s="85" t="str">
        <f t="shared" ref="E520:E583" si="58">IF($D520&lt;1,"",$K520+$L520)</f>
        <v/>
      </c>
      <c r="F520" s="106" t="str">
        <f t="shared" si="57"/>
        <v/>
      </c>
      <c r="G520" s="86"/>
      <c r="H520" s="107">
        <f t="shared" ref="H520:H583" si="59">IF($D520&gt;0,$D520*КИС,0)</f>
        <v>0</v>
      </c>
      <c r="I520" s="107">
        <f t="shared" ref="I520:I583" si="60">IF($D520&gt;0,$D520-$H520,0)</f>
        <v>0</v>
      </c>
      <c r="J520" s="87">
        <f>IF($D520&gt;0,IFERROR(Параметры!$D$42*$H520/$H$2408,0),0)</f>
        <v>0</v>
      </c>
      <c r="K520" s="87">
        <f>IFERROR(ROUND($N520*Параметры!$D$36,2),0)</f>
        <v>0</v>
      </c>
      <c r="L520" s="87">
        <f t="shared" ref="L520:L583" si="61">IF($K520&gt;0,$K520*0.055,0)</f>
        <v>0</v>
      </c>
      <c r="M520" s="87">
        <f t="shared" ref="M520:M583" si="62">IFERROR($L520/Плотность_ДТ,0)</f>
        <v>0</v>
      </c>
      <c r="N520" s="107" t="str">
        <f t="shared" ref="N520:N583" si="63">IF($D520&gt;0,MAX(0,$D520-IF($F520="",0,$F520)),"")</f>
        <v/>
      </c>
    </row>
    <row r="521" spans="2:14" x14ac:dyDescent="0.25">
      <c r="B521" s="82">
        <f>SUBTOTAL(103,$D$8:D521)</f>
        <v>514</v>
      </c>
      <c r="C521" s="83" t="s">
        <v>529</v>
      </c>
      <c r="D521" s="84">
        <v>0</v>
      </c>
      <c r="E521" s="85" t="str">
        <f t="shared" si="58"/>
        <v/>
      </c>
      <c r="F521" s="106" t="str">
        <f t="shared" si="57"/>
        <v/>
      </c>
      <c r="G521" s="86"/>
      <c r="H521" s="107">
        <f t="shared" si="59"/>
        <v>0</v>
      </c>
      <c r="I521" s="107">
        <f t="shared" si="60"/>
        <v>0</v>
      </c>
      <c r="J521" s="87">
        <f>IF($D521&gt;0,IFERROR(Параметры!$D$42*$H521/$H$2408,0),0)</f>
        <v>0</v>
      </c>
      <c r="K521" s="87">
        <f>IFERROR(ROUND($N521*Параметры!$D$36,2),0)</f>
        <v>0</v>
      </c>
      <c r="L521" s="87">
        <f t="shared" si="61"/>
        <v>0</v>
      </c>
      <c r="M521" s="87">
        <f t="shared" si="62"/>
        <v>0</v>
      </c>
      <c r="N521" s="107" t="str">
        <f t="shared" si="63"/>
        <v/>
      </c>
    </row>
    <row r="522" spans="2:14" x14ac:dyDescent="0.25">
      <c r="B522" s="82">
        <f>SUBTOTAL(103,$D$8:D522)</f>
        <v>515</v>
      </c>
      <c r="C522" s="83" t="s">
        <v>530</v>
      </c>
      <c r="D522" s="84">
        <v>0</v>
      </c>
      <c r="E522" s="85" t="str">
        <f t="shared" si="58"/>
        <v/>
      </c>
      <c r="F522" s="106" t="str">
        <f t="shared" si="57"/>
        <v/>
      </c>
      <c r="G522" s="86"/>
      <c r="H522" s="107">
        <f t="shared" si="59"/>
        <v>0</v>
      </c>
      <c r="I522" s="107">
        <f t="shared" si="60"/>
        <v>0</v>
      </c>
      <c r="J522" s="87">
        <f>IF($D522&gt;0,IFERROR(Параметры!$D$42*$H522/$H$2408,0),0)</f>
        <v>0</v>
      </c>
      <c r="K522" s="87">
        <f>IFERROR(ROUND($N522*Параметры!$D$36,2),0)</f>
        <v>0</v>
      </c>
      <c r="L522" s="87">
        <f t="shared" si="61"/>
        <v>0</v>
      </c>
      <c r="M522" s="87">
        <f t="shared" si="62"/>
        <v>0</v>
      </c>
      <c r="N522" s="107" t="str">
        <f t="shared" si="63"/>
        <v/>
      </c>
    </row>
    <row r="523" spans="2:14" x14ac:dyDescent="0.25">
      <c r="B523" s="82">
        <f>SUBTOTAL(103,$D$8:D523)</f>
        <v>516</v>
      </c>
      <c r="C523" s="83" t="s">
        <v>531</v>
      </c>
      <c r="D523" s="84">
        <v>0</v>
      </c>
      <c r="E523" s="85" t="str">
        <f t="shared" si="58"/>
        <v/>
      </c>
      <c r="F523" s="106" t="str">
        <f t="shared" ref="F523:F586" si="64">IF(D523&gt;0,2,"")</f>
        <v/>
      </c>
      <c r="G523" s="86"/>
      <c r="H523" s="107">
        <f t="shared" si="59"/>
        <v>0</v>
      </c>
      <c r="I523" s="107">
        <f t="shared" si="60"/>
        <v>0</v>
      </c>
      <c r="J523" s="87">
        <f>IF($D523&gt;0,IFERROR(Параметры!$D$42*$H523/$H$2408,0),0)</f>
        <v>0</v>
      </c>
      <c r="K523" s="87">
        <f>IFERROR(ROUND($N523*Параметры!$D$36,2),0)</f>
        <v>0</v>
      </c>
      <c r="L523" s="87">
        <f t="shared" si="61"/>
        <v>0</v>
      </c>
      <c r="M523" s="87">
        <f t="shared" si="62"/>
        <v>0</v>
      </c>
      <c r="N523" s="107" t="str">
        <f t="shared" si="63"/>
        <v/>
      </c>
    </row>
    <row r="524" spans="2:14" x14ac:dyDescent="0.25">
      <c r="B524" s="82">
        <f>SUBTOTAL(103,$D$8:D524)</f>
        <v>517</v>
      </c>
      <c r="C524" s="83" t="s">
        <v>532</v>
      </c>
      <c r="D524" s="84">
        <v>0</v>
      </c>
      <c r="E524" s="85" t="str">
        <f t="shared" si="58"/>
        <v/>
      </c>
      <c r="F524" s="106" t="str">
        <f t="shared" si="64"/>
        <v/>
      </c>
      <c r="G524" s="86"/>
      <c r="H524" s="107">
        <f t="shared" si="59"/>
        <v>0</v>
      </c>
      <c r="I524" s="107">
        <f t="shared" si="60"/>
        <v>0</v>
      </c>
      <c r="J524" s="87">
        <f>IF($D524&gt;0,IFERROR(Параметры!$D$42*$H524/$H$2408,0),0)</f>
        <v>0</v>
      </c>
      <c r="K524" s="87">
        <f>IFERROR(ROUND($N524*Параметры!$D$36,2),0)</f>
        <v>0</v>
      </c>
      <c r="L524" s="87">
        <f t="shared" si="61"/>
        <v>0</v>
      </c>
      <c r="M524" s="87">
        <f t="shared" si="62"/>
        <v>0</v>
      </c>
      <c r="N524" s="107" t="str">
        <f t="shared" si="63"/>
        <v/>
      </c>
    </row>
    <row r="525" spans="2:14" x14ac:dyDescent="0.25">
      <c r="B525" s="82">
        <f>SUBTOTAL(103,$D$8:D525)</f>
        <v>518</v>
      </c>
      <c r="C525" s="83" t="s">
        <v>533</v>
      </c>
      <c r="D525" s="84">
        <v>0</v>
      </c>
      <c r="E525" s="85" t="str">
        <f t="shared" si="58"/>
        <v/>
      </c>
      <c r="F525" s="106" t="str">
        <f t="shared" si="64"/>
        <v/>
      </c>
      <c r="G525" s="86"/>
      <c r="H525" s="107">
        <f t="shared" si="59"/>
        <v>0</v>
      </c>
      <c r="I525" s="107">
        <f t="shared" si="60"/>
        <v>0</v>
      </c>
      <c r="J525" s="87">
        <f>IF($D525&gt;0,IFERROR(Параметры!$D$42*$H525/$H$2408,0),0)</f>
        <v>0</v>
      </c>
      <c r="K525" s="87">
        <f>IFERROR(ROUND($N525*Параметры!$D$36,2),0)</f>
        <v>0</v>
      </c>
      <c r="L525" s="87">
        <f t="shared" si="61"/>
        <v>0</v>
      </c>
      <c r="M525" s="87">
        <f t="shared" si="62"/>
        <v>0</v>
      </c>
      <c r="N525" s="107" t="str">
        <f t="shared" si="63"/>
        <v/>
      </c>
    </row>
    <row r="526" spans="2:14" x14ac:dyDescent="0.25">
      <c r="B526" s="82">
        <f>SUBTOTAL(103,$D$8:D526)</f>
        <v>519</v>
      </c>
      <c r="C526" s="83" t="s">
        <v>534</v>
      </c>
      <c r="D526" s="84">
        <v>0</v>
      </c>
      <c r="E526" s="85" t="str">
        <f t="shared" si="58"/>
        <v/>
      </c>
      <c r="F526" s="106" t="str">
        <f t="shared" si="64"/>
        <v/>
      </c>
      <c r="G526" s="86"/>
      <c r="H526" s="107">
        <f t="shared" si="59"/>
        <v>0</v>
      </c>
      <c r="I526" s="107">
        <f t="shared" si="60"/>
        <v>0</v>
      </c>
      <c r="J526" s="87">
        <f>IF($D526&gt;0,IFERROR(Параметры!$D$42*$H526/$H$2408,0),0)</f>
        <v>0</v>
      </c>
      <c r="K526" s="87">
        <f>IFERROR(ROUND($N526*Параметры!$D$36,2),0)</f>
        <v>0</v>
      </c>
      <c r="L526" s="87">
        <f t="shared" si="61"/>
        <v>0</v>
      </c>
      <c r="M526" s="87">
        <f t="shared" si="62"/>
        <v>0</v>
      </c>
      <c r="N526" s="107" t="str">
        <f t="shared" si="63"/>
        <v/>
      </c>
    </row>
    <row r="527" spans="2:14" x14ac:dyDescent="0.25">
      <c r="B527" s="82">
        <f>SUBTOTAL(103,$D$8:D527)</f>
        <v>520</v>
      </c>
      <c r="C527" s="83" t="s">
        <v>535</v>
      </c>
      <c r="D527" s="84">
        <v>0</v>
      </c>
      <c r="E527" s="85" t="str">
        <f t="shared" si="58"/>
        <v/>
      </c>
      <c r="F527" s="106" t="str">
        <f t="shared" si="64"/>
        <v/>
      </c>
      <c r="G527" s="86"/>
      <c r="H527" s="107">
        <f t="shared" si="59"/>
        <v>0</v>
      </c>
      <c r="I527" s="107">
        <f t="shared" si="60"/>
        <v>0</v>
      </c>
      <c r="J527" s="87">
        <f>IF($D527&gt;0,IFERROR(Параметры!$D$42*$H527/$H$2408,0),0)</f>
        <v>0</v>
      </c>
      <c r="K527" s="87">
        <f>IFERROR(ROUND($N527*Параметры!$D$36,2),0)</f>
        <v>0</v>
      </c>
      <c r="L527" s="87">
        <f t="shared" si="61"/>
        <v>0</v>
      </c>
      <c r="M527" s="87">
        <f t="shared" si="62"/>
        <v>0</v>
      </c>
      <c r="N527" s="107" t="str">
        <f t="shared" si="63"/>
        <v/>
      </c>
    </row>
    <row r="528" spans="2:14" x14ac:dyDescent="0.25">
      <c r="B528" s="82">
        <f>SUBTOTAL(103,$D$8:D528)</f>
        <v>521</v>
      </c>
      <c r="C528" s="83" t="s">
        <v>536</v>
      </c>
      <c r="D528" s="84">
        <v>0</v>
      </c>
      <c r="E528" s="85" t="str">
        <f t="shared" si="58"/>
        <v/>
      </c>
      <c r="F528" s="106" t="str">
        <f t="shared" si="64"/>
        <v/>
      </c>
      <c r="G528" s="86"/>
      <c r="H528" s="107">
        <f t="shared" si="59"/>
        <v>0</v>
      </c>
      <c r="I528" s="107">
        <f t="shared" si="60"/>
        <v>0</v>
      </c>
      <c r="J528" s="87">
        <f>IF($D528&gt;0,IFERROR(Параметры!$D$42*$H528/$H$2408,0),0)</f>
        <v>0</v>
      </c>
      <c r="K528" s="87">
        <f>IFERROR(ROUND($N528*Параметры!$D$36,2),0)</f>
        <v>0</v>
      </c>
      <c r="L528" s="87">
        <f t="shared" si="61"/>
        <v>0</v>
      </c>
      <c r="M528" s="87">
        <f t="shared" si="62"/>
        <v>0</v>
      </c>
      <c r="N528" s="107" t="str">
        <f t="shared" si="63"/>
        <v/>
      </c>
    </row>
    <row r="529" spans="2:14" x14ac:dyDescent="0.25">
      <c r="B529" s="82">
        <f>SUBTOTAL(103,$D$8:D529)</f>
        <v>522</v>
      </c>
      <c r="C529" s="83" t="s">
        <v>537</v>
      </c>
      <c r="D529" s="84">
        <v>0</v>
      </c>
      <c r="E529" s="85" t="str">
        <f t="shared" si="58"/>
        <v/>
      </c>
      <c r="F529" s="106" t="str">
        <f t="shared" si="64"/>
        <v/>
      </c>
      <c r="G529" s="86"/>
      <c r="H529" s="107">
        <f t="shared" si="59"/>
        <v>0</v>
      </c>
      <c r="I529" s="107">
        <f t="shared" si="60"/>
        <v>0</v>
      </c>
      <c r="J529" s="87">
        <f>IF($D529&gt;0,IFERROR(Параметры!$D$42*$H529/$H$2408,0),0)</f>
        <v>0</v>
      </c>
      <c r="K529" s="87">
        <f>IFERROR(ROUND($N529*Параметры!$D$36,2),0)</f>
        <v>0</v>
      </c>
      <c r="L529" s="87">
        <f t="shared" si="61"/>
        <v>0</v>
      </c>
      <c r="M529" s="87">
        <f t="shared" si="62"/>
        <v>0</v>
      </c>
      <c r="N529" s="107" t="str">
        <f t="shared" si="63"/>
        <v/>
      </c>
    </row>
    <row r="530" spans="2:14" x14ac:dyDescent="0.25">
      <c r="B530" s="82">
        <f>SUBTOTAL(103,$D$8:D530)</f>
        <v>523</v>
      </c>
      <c r="C530" s="83" t="s">
        <v>538</v>
      </c>
      <c r="D530" s="84">
        <v>0</v>
      </c>
      <c r="E530" s="85" t="str">
        <f t="shared" si="58"/>
        <v/>
      </c>
      <c r="F530" s="106" t="str">
        <f t="shared" si="64"/>
        <v/>
      </c>
      <c r="G530" s="86"/>
      <c r="H530" s="107">
        <f t="shared" si="59"/>
        <v>0</v>
      </c>
      <c r="I530" s="107">
        <f t="shared" si="60"/>
        <v>0</v>
      </c>
      <c r="J530" s="87">
        <f>IF($D530&gt;0,IFERROR(Параметры!$D$42*$H530/$H$2408,0),0)</f>
        <v>0</v>
      </c>
      <c r="K530" s="87">
        <f>IFERROR(ROUND($N530*Параметры!$D$36,2),0)</f>
        <v>0</v>
      </c>
      <c r="L530" s="87">
        <f t="shared" si="61"/>
        <v>0</v>
      </c>
      <c r="M530" s="87">
        <f t="shared" si="62"/>
        <v>0</v>
      </c>
      <c r="N530" s="107" t="str">
        <f t="shared" si="63"/>
        <v/>
      </c>
    </row>
    <row r="531" spans="2:14" x14ac:dyDescent="0.25">
      <c r="B531" s="82">
        <f>SUBTOTAL(103,$D$8:D531)</f>
        <v>524</v>
      </c>
      <c r="C531" s="83" t="s">
        <v>539</v>
      </c>
      <c r="D531" s="84">
        <v>0</v>
      </c>
      <c r="E531" s="85" t="str">
        <f t="shared" si="58"/>
        <v/>
      </c>
      <c r="F531" s="106" t="str">
        <f t="shared" si="64"/>
        <v/>
      </c>
      <c r="G531" s="86"/>
      <c r="H531" s="107">
        <f t="shared" si="59"/>
        <v>0</v>
      </c>
      <c r="I531" s="107">
        <f t="shared" si="60"/>
        <v>0</v>
      </c>
      <c r="J531" s="87">
        <f>IF($D531&gt;0,IFERROR(Параметры!$D$42*$H531/$H$2408,0),0)</f>
        <v>0</v>
      </c>
      <c r="K531" s="87">
        <f>IFERROR(ROUND($N531*Параметры!$D$36,2),0)</f>
        <v>0</v>
      </c>
      <c r="L531" s="87">
        <f t="shared" si="61"/>
        <v>0</v>
      </c>
      <c r="M531" s="87">
        <f t="shared" si="62"/>
        <v>0</v>
      </c>
      <c r="N531" s="107" t="str">
        <f t="shared" si="63"/>
        <v/>
      </c>
    </row>
    <row r="532" spans="2:14" x14ac:dyDescent="0.25">
      <c r="B532" s="82">
        <f>SUBTOTAL(103,$D$8:D532)</f>
        <v>525</v>
      </c>
      <c r="C532" s="83" t="s">
        <v>540</v>
      </c>
      <c r="D532" s="84">
        <v>0</v>
      </c>
      <c r="E532" s="85" t="str">
        <f t="shared" si="58"/>
        <v/>
      </c>
      <c r="F532" s="106" t="str">
        <f t="shared" si="64"/>
        <v/>
      </c>
      <c r="G532" s="86"/>
      <c r="H532" s="107">
        <f t="shared" si="59"/>
        <v>0</v>
      </c>
      <c r="I532" s="107">
        <f t="shared" si="60"/>
        <v>0</v>
      </c>
      <c r="J532" s="87">
        <f>IF($D532&gt;0,IFERROR(Параметры!$D$42*$H532/$H$2408,0),0)</f>
        <v>0</v>
      </c>
      <c r="K532" s="87">
        <f>IFERROR(ROUND($N532*Параметры!$D$36,2),0)</f>
        <v>0</v>
      </c>
      <c r="L532" s="87">
        <f t="shared" si="61"/>
        <v>0</v>
      </c>
      <c r="M532" s="87">
        <f t="shared" si="62"/>
        <v>0</v>
      </c>
      <c r="N532" s="107" t="str">
        <f t="shared" si="63"/>
        <v/>
      </c>
    </row>
    <row r="533" spans="2:14" x14ac:dyDescent="0.25">
      <c r="B533" s="82">
        <f>SUBTOTAL(103,$D$8:D533)</f>
        <v>526</v>
      </c>
      <c r="C533" s="83" t="s">
        <v>541</v>
      </c>
      <c r="D533" s="84">
        <v>0</v>
      </c>
      <c r="E533" s="85" t="str">
        <f t="shared" si="58"/>
        <v/>
      </c>
      <c r="F533" s="106" t="str">
        <f t="shared" si="64"/>
        <v/>
      </c>
      <c r="G533" s="86"/>
      <c r="H533" s="107">
        <f t="shared" si="59"/>
        <v>0</v>
      </c>
      <c r="I533" s="107">
        <f t="shared" si="60"/>
        <v>0</v>
      </c>
      <c r="J533" s="87">
        <f>IF($D533&gt;0,IFERROR(Параметры!$D$42*$H533/$H$2408,0),0)</f>
        <v>0</v>
      </c>
      <c r="K533" s="87">
        <f>IFERROR(ROUND($N533*Параметры!$D$36,2),0)</f>
        <v>0</v>
      </c>
      <c r="L533" s="87">
        <f t="shared" si="61"/>
        <v>0</v>
      </c>
      <c r="M533" s="87">
        <f t="shared" si="62"/>
        <v>0</v>
      </c>
      <c r="N533" s="107" t="str">
        <f t="shared" si="63"/>
        <v/>
      </c>
    </row>
    <row r="534" spans="2:14" x14ac:dyDescent="0.25">
      <c r="B534" s="82">
        <f>SUBTOTAL(103,$D$8:D534)</f>
        <v>527</v>
      </c>
      <c r="C534" s="83" t="s">
        <v>542</v>
      </c>
      <c r="D534" s="84">
        <v>0</v>
      </c>
      <c r="E534" s="85" t="str">
        <f t="shared" si="58"/>
        <v/>
      </c>
      <c r="F534" s="106" t="str">
        <f t="shared" si="64"/>
        <v/>
      </c>
      <c r="G534" s="86"/>
      <c r="H534" s="107">
        <f t="shared" si="59"/>
        <v>0</v>
      </c>
      <c r="I534" s="107">
        <f t="shared" si="60"/>
        <v>0</v>
      </c>
      <c r="J534" s="87">
        <f>IF($D534&gt;0,IFERROR(Параметры!$D$42*$H534/$H$2408,0),0)</f>
        <v>0</v>
      </c>
      <c r="K534" s="87">
        <f>IFERROR(ROUND($N534*Параметры!$D$36,2),0)</f>
        <v>0</v>
      </c>
      <c r="L534" s="87">
        <f t="shared" si="61"/>
        <v>0</v>
      </c>
      <c r="M534" s="87">
        <f t="shared" si="62"/>
        <v>0</v>
      </c>
      <c r="N534" s="107" t="str">
        <f t="shared" si="63"/>
        <v/>
      </c>
    </row>
    <row r="535" spans="2:14" x14ac:dyDescent="0.25">
      <c r="B535" s="82">
        <f>SUBTOTAL(103,$D$8:D535)</f>
        <v>528</v>
      </c>
      <c r="C535" s="83" t="s">
        <v>543</v>
      </c>
      <c r="D535" s="84">
        <v>0</v>
      </c>
      <c r="E535" s="85" t="str">
        <f t="shared" si="58"/>
        <v/>
      </c>
      <c r="F535" s="106" t="str">
        <f t="shared" si="64"/>
        <v/>
      </c>
      <c r="G535" s="86"/>
      <c r="H535" s="107">
        <f t="shared" si="59"/>
        <v>0</v>
      </c>
      <c r="I535" s="107">
        <f t="shared" si="60"/>
        <v>0</v>
      </c>
      <c r="J535" s="87">
        <f>IF($D535&gt;0,IFERROR(Параметры!$D$42*$H535/$H$2408,0),0)</f>
        <v>0</v>
      </c>
      <c r="K535" s="87">
        <f>IFERROR(ROUND($N535*Параметры!$D$36,2),0)</f>
        <v>0</v>
      </c>
      <c r="L535" s="87">
        <f t="shared" si="61"/>
        <v>0</v>
      </c>
      <c r="M535" s="87">
        <f t="shared" si="62"/>
        <v>0</v>
      </c>
      <c r="N535" s="107" t="str">
        <f t="shared" si="63"/>
        <v/>
      </c>
    </row>
    <row r="536" spans="2:14" x14ac:dyDescent="0.25">
      <c r="B536" s="82">
        <f>SUBTOTAL(103,$D$8:D536)</f>
        <v>529</v>
      </c>
      <c r="C536" s="83" t="s">
        <v>544</v>
      </c>
      <c r="D536" s="84">
        <v>0</v>
      </c>
      <c r="E536" s="85" t="str">
        <f t="shared" si="58"/>
        <v/>
      </c>
      <c r="F536" s="106" t="str">
        <f t="shared" si="64"/>
        <v/>
      </c>
      <c r="G536" s="86"/>
      <c r="H536" s="107">
        <f t="shared" si="59"/>
        <v>0</v>
      </c>
      <c r="I536" s="107">
        <f t="shared" si="60"/>
        <v>0</v>
      </c>
      <c r="J536" s="87">
        <f>IF($D536&gt;0,IFERROR(Параметры!$D$42*$H536/$H$2408,0),0)</f>
        <v>0</v>
      </c>
      <c r="K536" s="87">
        <f>IFERROR(ROUND($N536*Параметры!$D$36,2),0)</f>
        <v>0</v>
      </c>
      <c r="L536" s="87">
        <f t="shared" si="61"/>
        <v>0</v>
      </c>
      <c r="M536" s="87">
        <f t="shared" si="62"/>
        <v>0</v>
      </c>
      <c r="N536" s="107" t="str">
        <f t="shared" si="63"/>
        <v/>
      </c>
    </row>
    <row r="537" spans="2:14" x14ac:dyDescent="0.25">
      <c r="B537" s="82">
        <f>SUBTOTAL(103,$D$8:D537)</f>
        <v>530</v>
      </c>
      <c r="C537" s="83" t="s">
        <v>545</v>
      </c>
      <c r="D537" s="84">
        <v>0</v>
      </c>
      <c r="E537" s="85" t="str">
        <f t="shared" si="58"/>
        <v/>
      </c>
      <c r="F537" s="106" t="str">
        <f t="shared" si="64"/>
        <v/>
      </c>
      <c r="G537" s="86"/>
      <c r="H537" s="107">
        <f t="shared" si="59"/>
        <v>0</v>
      </c>
      <c r="I537" s="107">
        <f t="shared" si="60"/>
        <v>0</v>
      </c>
      <c r="J537" s="87">
        <f>IF($D537&gt;0,IFERROR(Параметры!$D$42*$H537/$H$2408,0),0)</f>
        <v>0</v>
      </c>
      <c r="K537" s="87">
        <f>IFERROR(ROUND($N537*Параметры!$D$36,2),0)</f>
        <v>0</v>
      </c>
      <c r="L537" s="87">
        <f t="shared" si="61"/>
        <v>0</v>
      </c>
      <c r="M537" s="87">
        <f t="shared" si="62"/>
        <v>0</v>
      </c>
      <c r="N537" s="107" t="str">
        <f t="shared" si="63"/>
        <v/>
      </c>
    </row>
    <row r="538" spans="2:14" x14ac:dyDescent="0.25">
      <c r="B538" s="82">
        <f>SUBTOTAL(103,$D$8:D538)</f>
        <v>531</v>
      </c>
      <c r="C538" s="83" t="s">
        <v>546</v>
      </c>
      <c r="D538" s="84">
        <v>0</v>
      </c>
      <c r="E538" s="85" t="str">
        <f t="shared" si="58"/>
        <v/>
      </c>
      <c r="F538" s="106" t="str">
        <f t="shared" si="64"/>
        <v/>
      </c>
      <c r="G538" s="86"/>
      <c r="H538" s="107">
        <f t="shared" si="59"/>
        <v>0</v>
      </c>
      <c r="I538" s="107">
        <f t="shared" si="60"/>
        <v>0</v>
      </c>
      <c r="J538" s="87">
        <f>IF($D538&gt;0,IFERROR(Параметры!$D$42*$H538/$H$2408,0),0)</f>
        <v>0</v>
      </c>
      <c r="K538" s="87">
        <f>IFERROR(ROUND($N538*Параметры!$D$36,2),0)</f>
        <v>0</v>
      </c>
      <c r="L538" s="87">
        <f t="shared" si="61"/>
        <v>0</v>
      </c>
      <c r="M538" s="87">
        <f t="shared" si="62"/>
        <v>0</v>
      </c>
      <c r="N538" s="107" t="str">
        <f t="shared" si="63"/>
        <v/>
      </c>
    </row>
    <row r="539" spans="2:14" x14ac:dyDescent="0.25">
      <c r="B539" s="82">
        <f>SUBTOTAL(103,$D$8:D539)</f>
        <v>532</v>
      </c>
      <c r="C539" s="83" t="s">
        <v>547</v>
      </c>
      <c r="D539" s="84">
        <v>0</v>
      </c>
      <c r="E539" s="85" t="str">
        <f t="shared" si="58"/>
        <v/>
      </c>
      <c r="F539" s="106" t="str">
        <f t="shared" si="64"/>
        <v/>
      </c>
      <c r="G539" s="86"/>
      <c r="H539" s="107">
        <f t="shared" si="59"/>
        <v>0</v>
      </c>
      <c r="I539" s="107">
        <f t="shared" si="60"/>
        <v>0</v>
      </c>
      <c r="J539" s="87">
        <f>IF($D539&gt;0,IFERROR(Параметры!$D$42*$H539/$H$2408,0),0)</f>
        <v>0</v>
      </c>
      <c r="K539" s="87">
        <f>IFERROR(ROUND($N539*Параметры!$D$36,2),0)</f>
        <v>0</v>
      </c>
      <c r="L539" s="87">
        <f t="shared" si="61"/>
        <v>0</v>
      </c>
      <c r="M539" s="87">
        <f t="shared" si="62"/>
        <v>0</v>
      </c>
      <c r="N539" s="107" t="str">
        <f t="shared" si="63"/>
        <v/>
      </c>
    </row>
    <row r="540" spans="2:14" x14ac:dyDescent="0.25">
      <c r="B540" s="82">
        <f>SUBTOTAL(103,$D$8:D540)</f>
        <v>533</v>
      </c>
      <c r="C540" s="83" t="s">
        <v>548</v>
      </c>
      <c r="D540" s="84">
        <v>0</v>
      </c>
      <c r="E540" s="85" t="str">
        <f t="shared" si="58"/>
        <v/>
      </c>
      <c r="F540" s="106" t="str">
        <f t="shared" si="64"/>
        <v/>
      </c>
      <c r="G540" s="86"/>
      <c r="H540" s="107">
        <f t="shared" si="59"/>
        <v>0</v>
      </c>
      <c r="I540" s="107">
        <f t="shared" si="60"/>
        <v>0</v>
      </c>
      <c r="J540" s="87">
        <f>IF($D540&gt;0,IFERROR(Параметры!$D$42*$H540/$H$2408,0),0)</f>
        <v>0</v>
      </c>
      <c r="K540" s="87">
        <f>IFERROR(ROUND($N540*Параметры!$D$36,2),0)</f>
        <v>0</v>
      </c>
      <c r="L540" s="87">
        <f t="shared" si="61"/>
        <v>0</v>
      </c>
      <c r="M540" s="87">
        <f t="shared" si="62"/>
        <v>0</v>
      </c>
      <c r="N540" s="107" t="str">
        <f t="shared" si="63"/>
        <v/>
      </c>
    </row>
    <row r="541" spans="2:14" x14ac:dyDescent="0.25">
      <c r="B541" s="82">
        <f>SUBTOTAL(103,$D$8:D541)</f>
        <v>534</v>
      </c>
      <c r="C541" s="83" t="s">
        <v>549</v>
      </c>
      <c r="D541" s="84">
        <v>0</v>
      </c>
      <c r="E541" s="85" t="str">
        <f t="shared" si="58"/>
        <v/>
      </c>
      <c r="F541" s="106" t="str">
        <f t="shared" si="64"/>
        <v/>
      </c>
      <c r="G541" s="86"/>
      <c r="H541" s="107">
        <f t="shared" si="59"/>
        <v>0</v>
      </c>
      <c r="I541" s="107">
        <f t="shared" si="60"/>
        <v>0</v>
      </c>
      <c r="J541" s="87">
        <f>IF($D541&gt;0,IFERROR(Параметры!$D$42*$H541/$H$2408,0),0)</f>
        <v>0</v>
      </c>
      <c r="K541" s="87">
        <f>IFERROR(ROUND($N541*Параметры!$D$36,2),0)</f>
        <v>0</v>
      </c>
      <c r="L541" s="87">
        <f t="shared" si="61"/>
        <v>0</v>
      </c>
      <c r="M541" s="87">
        <f t="shared" si="62"/>
        <v>0</v>
      </c>
      <c r="N541" s="107" t="str">
        <f t="shared" si="63"/>
        <v/>
      </c>
    </row>
    <row r="542" spans="2:14" x14ac:dyDescent="0.25">
      <c r="B542" s="82">
        <f>SUBTOTAL(103,$D$8:D542)</f>
        <v>535</v>
      </c>
      <c r="C542" s="83" t="s">
        <v>550</v>
      </c>
      <c r="D542" s="84">
        <v>0</v>
      </c>
      <c r="E542" s="85" t="str">
        <f t="shared" si="58"/>
        <v/>
      </c>
      <c r="F542" s="106" t="str">
        <f t="shared" si="64"/>
        <v/>
      </c>
      <c r="G542" s="86"/>
      <c r="H542" s="107">
        <f t="shared" si="59"/>
        <v>0</v>
      </c>
      <c r="I542" s="107">
        <f t="shared" si="60"/>
        <v>0</v>
      </c>
      <c r="J542" s="87">
        <f>IF($D542&gt;0,IFERROR(Параметры!$D$42*$H542/$H$2408,0),0)</f>
        <v>0</v>
      </c>
      <c r="K542" s="87">
        <f>IFERROR(ROUND($N542*Параметры!$D$36,2),0)</f>
        <v>0</v>
      </c>
      <c r="L542" s="87">
        <f t="shared" si="61"/>
        <v>0</v>
      </c>
      <c r="M542" s="87">
        <f t="shared" si="62"/>
        <v>0</v>
      </c>
      <c r="N542" s="107" t="str">
        <f t="shared" si="63"/>
        <v/>
      </c>
    </row>
    <row r="543" spans="2:14" x14ac:dyDescent="0.25">
      <c r="B543" s="82">
        <f>SUBTOTAL(103,$D$8:D543)</f>
        <v>536</v>
      </c>
      <c r="C543" s="83" t="s">
        <v>551</v>
      </c>
      <c r="D543" s="84">
        <v>0</v>
      </c>
      <c r="E543" s="85" t="str">
        <f t="shared" si="58"/>
        <v/>
      </c>
      <c r="F543" s="106" t="str">
        <f t="shared" si="64"/>
        <v/>
      </c>
      <c r="G543" s="86"/>
      <c r="H543" s="107">
        <f t="shared" si="59"/>
        <v>0</v>
      </c>
      <c r="I543" s="107">
        <f t="shared" si="60"/>
        <v>0</v>
      </c>
      <c r="J543" s="87">
        <f>IF($D543&gt;0,IFERROR(Параметры!$D$42*$H543/$H$2408,0),0)</f>
        <v>0</v>
      </c>
      <c r="K543" s="87">
        <f>IFERROR(ROUND($N543*Параметры!$D$36,2),0)</f>
        <v>0</v>
      </c>
      <c r="L543" s="87">
        <f t="shared" si="61"/>
        <v>0</v>
      </c>
      <c r="M543" s="87">
        <f t="shared" si="62"/>
        <v>0</v>
      </c>
      <c r="N543" s="107" t="str">
        <f t="shared" si="63"/>
        <v/>
      </c>
    </row>
    <row r="544" spans="2:14" x14ac:dyDescent="0.25">
      <c r="B544" s="82">
        <f>SUBTOTAL(103,$D$8:D544)</f>
        <v>537</v>
      </c>
      <c r="C544" s="83" t="s">
        <v>552</v>
      </c>
      <c r="D544" s="84">
        <v>0</v>
      </c>
      <c r="E544" s="85" t="str">
        <f t="shared" si="58"/>
        <v/>
      </c>
      <c r="F544" s="106" t="str">
        <f t="shared" si="64"/>
        <v/>
      </c>
      <c r="G544" s="86"/>
      <c r="H544" s="107">
        <f t="shared" si="59"/>
        <v>0</v>
      </c>
      <c r="I544" s="107">
        <f t="shared" si="60"/>
        <v>0</v>
      </c>
      <c r="J544" s="87">
        <f>IF($D544&gt;0,IFERROR(Параметры!$D$42*$H544/$H$2408,0),0)</f>
        <v>0</v>
      </c>
      <c r="K544" s="87">
        <f>IFERROR(ROUND($N544*Параметры!$D$36,2),0)</f>
        <v>0</v>
      </c>
      <c r="L544" s="87">
        <f t="shared" si="61"/>
        <v>0</v>
      </c>
      <c r="M544" s="87">
        <f t="shared" si="62"/>
        <v>0</v>
      </c>
      <c r="N544" s="107" t="str">
        <f t="shared" si="63"/>
        <v/>
      </c>
    </row>
    <row r="545" spans="2:14" x14ac:dyDescent="0.25">
      <c r="B545" s="82">
        <f>SUBTOTAL(103,$D$8:D545)</f>
        <v>538</v>
      </c>
      <c r="C545" s="83" t="s">
        <v>553</v>
      </c>
      <c r="D545" s="84">
        <v>0</v>
      </c>
      <c r="E545" s="85" t="str">
        <f t="shared" si="58"/>
        <v/>
      </c>
      <c r="F545" s="106" t="str">
        <f t="shared" si="64"/>
        <v/>
      </c>
      <c r="G545" s="86"/>
      <c r="H545" s="107">
        <f t="shared" si="59"/>
        <v>0</v>
      </c>
      <c r="I545" s="107">
        <f t="shared" si="60"/>
        <v>0</v>
      </c>
      <c r="J545" s="87">
        <f>IF($D545&gt;0,IFERROR(Параметры!$D$42*$H545/$H$2408,0),0)</f>
        <v>0</v>
      </c>
      <c r="K545" s="87">
        <f>IFERROR(ROUND($N545*Параметры!$D$36,2),0)</f>
        <v>0</v>
      </c>
      <c r="L545" s="87">
        <f t="shared" si="61"/>
        <v>0</v>
      </c>
      <c r="M545" s="87">
        <f t="shared" si="62"/>
        <v>0</v>
      </c>
      <c r="N545" s="107" t="str">
        <f t="shared" si="63"/>
        <v/>
      </c>
    </row>
    <row r="546" spans="2:14" x14ac:dyDescent="0.25">
      <c r="B546" s="82">
        <f>SUBTOTAL(103,$D$8:D546)</f>
        <v>539</v>
      </c>
      <c r="C546" s="83" t="s">
        <v>554</v>
      </c>
      <c r="D546" s="84">
        <v>0</v>
      </c>
      <c r="E546" s="85" t="str">
        <f t="shared" si="58"/>
        <v/>
      </c>
      <c r="F546" s="106" t="str">
        <f t="shared" si="64"/>
        <v/>
      </c>
      <c r="G546" s="86"/>
      <c r="H546" s="107">
        <f t="shared" si="59"/>
        <v>0</v>
      </c>
      <c r="I546" s="107">
        <f t="shared" si="60"/>
        <v>0</v>
      </c>
      <c r="J546" s="87">
        <f>IF($D546&gt;0,IFERROR(Параметры!$D$42*$H546/$H$2408,0),0)</f>
        <v>0</v>
      </c>
      <c r="K546" s="87">
        <f>IFERROR(ROUND($N546*Параметры!$D$36,2),0)</f>
        <v>0</v>
      </c>
      <c r="L546" s="87">
        <f t="shared" si="61"/>
        <v>0</v>
      </c>
      <c r="M546" s="87">
        <f t="shared" si="62"/>
        <v>0</v>
      </c>
      <c r="N546" s="107" t="str">
        <f t="shared" si="63"/>
        <v/>
      </c>
    </row>
    <row r="547" spans="2:14" x14ac:dyDescent="0.25">
      <c r="B547" s="82">
        <f>SUBTOTAL(103,$D$8:D547)</f>
        <v>540</v>
      </c>
      <c r="C547" s="83" t="s">
        <v>555</v>
      </c>
      <c r="D547" s="84">
        <v>0</v>
      </c>
      <c r="E547" s="85" t="str">
        <f t="shared" si="58"/>
        <v/>
      </c>
      <c r="F547" s="106" t="str">
        <f t="shared" si="64"/>
        <v/>
      </c>
      <c r="G547" s="86"/>
      <c r="H547" s="107">
        <f t="shared" si="59"/>
        <v>0</v>
      </c>
      <c r="I547" s="107">
        <f t="shared" si="60"/>
        <v>0</v>
      </c>
      <c r="J547" s="87">
        <f>IF($D547&gt;0,IFERROR(Параметры!$D$42*$H547/$H$2408,0),0)</f>
        <v>0</v>
      </c>
      <c r="K547" s="87">
        <f>IFERROR(ROUND($N547*Параметры!$D$36,2),0)</f>
        <v>0</v>
      </c>
      <c r="L547" s="87">
        <f t="shared" si="61"/>
        <v>0</v>
      </c>
      <c r="M547" s="87">
        <f t="shared" si="62"/>
        <v>0</v>
      </c>
      <c r="N547" s="107" t="str">
        <f t="shared" si="63"/>
        <v/>
      </c>
    </row>
    <row r="548" spans="2:14" x14ac:dyDescent="0.25">
      <c r="B548" s="82">
        <f>SUBTOTAL(103,$D$8:D548)</f>
        <v>541</v>
      </c>
      <c r="C548" s="83" t="s">
        <v>556</v>
      </c>
      <c r="D548" s="84">
        <f t="array" ref="D548:D607">TRANSPOSE('Зарядная карта'!$C$14:$BJ$14)</f>
        <v>4</v>
      </c>
      <c r="E548" s="85">
        <f t="shared" si="58"/>
        <v>62.814700000000002</v>
      </c>
      <c r="F548" s="106">
        <f t="shared" si="64"/>
        <v>2</v>
      </c>
      <c r="G548" s="86"/>
      <c r="H548" s="107">
        <f t="shared" si="59"/>
        <v>3.44</v>
      </c>
      <c r="I548" s="107">
        <f t="shared" si="60"/>
        <v>0.56000000000000005</v>
      </c>
      <c r="J548" s="87">
        <f>IF($D548&gt;0,IFERROR(Параметры!$D$42*$H548/$H$2408,0),0)</f>
        <v>60.103959390862947</v>
      </c>
      <c r="K548" s="87">
        <f>IFERROR(ROUND($N548*Параметры!$D$36,2),0)</f>
        <v>59.54</v>
      </c>
      <c r="L548" s="87">
        <f t="shared" si="61"/>
        <v>3.2747000000000002</v>
      </c>
      <c r="M548" s="87">
        <f t="shared" si="62"/>
        <v>3.8420790191534921</v>
      </c>
      <c r="N548" s="107">
        <f t="shared" si="63"/>
        <v>2</v>
      </c>
    </row>
    <row r="549" spans="2:14" x14ac:dyDescent="0.25">
      <c r="B549" s="82">
        <f>SUBTOTAL(103,$D$8:D549)</f>
        <v>542</v>
      </c>
      <c r="C549" s="83" t="s">
        <v>557</v>
      </c>
      <c r="D549" s="84">
        <v>8</v>
      </c>
      <c r="E549" s="85">
        <f t="shared" si="58"/>
        <v>188.44409999999999</v>
      </c>
      <c r="F549" s="106">
        <f t="shared" si="64"/>
        <v>2</v>
      </c>
      <c r="G549" s="86"/>
      <c r="H549" s="107">
        <f t="shared" si="59"/>
        <v>6.88</v>
      </c>
      <c r="I549" s="107">
        <f t="shared" si="60"/>
        <v>1.1200000000000001</v>
      </c>
      <c r="J549" s="87">
        <f>IF($D549&gt;0,IFERROR(Параметры!$D$42*$H549/$H$2408,0),0)</f>
        <v>120.20791878172589</v>
      </c>
      <c r="K549" s="87">
        <f>IFERROR(ROUND($N549*Параметры!$D$36,2),0)</f>
        <v>178.62</v>
      </c>
      <c r="L549" s="87">
        <f t="shared" si="61"/>
        <v>9.8240999999999996</v>
      </c>
      <c r="M549" s="87">
        <f t="shared" si="62"/>
        <v>11.526237057460476</v>
      </c>
      <c r="N549" s="107">
        <f t="shared" si="63"/>
        <v>6</v>
      </c>
    </row>
    <row r="550" spans="2:14" x14ac:dyDescent="0.25">
      <c r="B550" s="82">
        <f>SUBTOTAL(103,$D$8:D550)</f>
        <v>543</v>
      </c>
      <c r="C550" s="83" t="s">
        <v>558</v>
      </c>
      <c r="D550" s="84">
        <v>8</v>
      </c>
      <c r="E550" s="85">
        <f t="shared" si="58"/>
        <v>188.44409999999999</v>
      </c>
      <c r="F550" s="106">
        <f t="shared" si="64"/>
        <v>2</v>
      </c>
      <c r="G550" s="86"/>
      <c r="H550" s="107">
        <f t="shared" si="59"/>
        <v>6.88</v>
      </c>
      <c r="I550" s="107">
        <f t="shared" si="60"/>
        <v>1.1200000000000001</v>
      </c>
      <c r="J550" s="87">
        <f>IF($D550&gt;0,IFERROR(Параметры!$D$42*$H550/$H$2408,0),0)</f>
        <v>120.20791878172589</v>
      </c>
      <c r="K550" s="87">
        <f>IFERROR(ROUND($N550*Параметры!$D$36,2),0)</f>
        <v>178.62</v>
      </c>
      <c r="L550" s="87">
        <f t="shared" si="61"/>
        <v>9.8240999999999996</v>
      </c>
      <c r="M550" s="87">
        <f t="shared" si="62"/>
        <v>11.526237057460476</v>
      </c>
      <c r="N550" s="107">
        <f t="shared" si="63"/>
        <v>6</v>
      </c>
    </row>
    <row r="551" spans="2:14" x14ac:dyDescent="0.25">
      <c r="B551" s="82">
        <f>SUBTOTAL(103,$D$8:D551)</f>
        <v>544</v>
      </c>
      <c r="C551" s="83" t="s">
        <v>559</v>
      </c>
      <c r="D551" s="84">
        <v>8</v>
      </c>
      <c r="E551" s="85">
        <f t="shared" si="58"/>
        <v>188.44409999999999</v>
      </c>
      <c r="F551" s="106">
        <f t="shared" si="64"/>
        <v>2</v>
      </c>
      <c r="G551" s="86"/>
      <c r="H551" s="107">
        <f t="shared" si="59"/>
        <v>6.88</v>
      </c>
      <c r="I551" s="107">
        <f t="shared" si="60"/>
        <v>1.1200000000000001</v>
      </c>
      <c r="J551" s="87">
        <f>IF($D551&gt;0,IFERROR(Параметры!$D$42*$H551/$H$2408,0),0)</f>
        <v>120.20791878172589</v>
      </c>
      <c r="K551" s="87">
        <f>IFERROR(ROUND($N551*Параметры!$D$36,2),0)</f>
        <v>178.62</v>
      </c>
      <c r="L551" s="87">
        <f t="shared" si="61"/>
        <v>9.8240999999999996</v>
      </c>
      <c r="M551" s="87">
        <f t="shared" si="62"/>
        <v>11.526237057460476</v>
      </c>
      <c r="N551" s="107">
        <f t="shared" si="63"/>
        <v>6</v>
      </c>
    </row>
    <row r="552" spans="2:14" x14ac:dyDescent="0.25">
      <c r="B552" s="82">
        <f>SUBTOTAL(103,$D$8:D552)</f>
        <v>545</v>
      </c>
      <c r="C552" s="83" t="s">
        <v>560</v>
      </c>
      <c r="D552" s="84">
        <v>8</v>
      </c>
      <c r="E552" s="85">
        <f t="shared" si="58"/>
        <v>188.44409999999999</v>
      </c>
      <c r="F552" s="106">
        <f t="shared" si="64"/>
        <v>2</v>
      </c>
      <c r="G552" s="86"/>
      <c r="H552" s="107">
        <f t="shared" si="59"/>
        <v>6.88</v>
      </c>
      <c r="I552" s="107">
        <f t="shared" si="60"/>
        <v>1.1200000000000001</v>
      </c>
      <c r="J552" s="87">
        <f>IF($D552&gt;0,IFERROR(Параметры!$D$42*$H552/$H$2408,0),0)</f>
        <v>120.20791878172589</v>
      </c>
      <c r="K552" s="87">
        <f>IFERROR(ROUND($N552*Параметры!$D$36,2),0)</f>
        <v>178.62</v>
      </c>
      <c r="L552" s="87">
        <f t="shared" si="61"/>
        <v>9.8240999999999996</v>
      </c>
      <c r="M552" s="87">
        <f t="shared" si="62"/>
        <v>11.526237057460476</v>
      </c>
      <c r="N552" s="107">
        <f t="shared" si="63"/>
        <v>6</v>
      </c>
    </row>
    <row r="553" spans="2:14" x14ac:dyDescent="0.25">
      <c r="B553" s="82">
        <f>SUBTOTAL(103,$D$8:D553)</f>
        <v>546</v>
      </c>
      <c r="C553" s="83" t="s">
        <v>561</v>
      </c>
      <c r="D553" s="84">
        <v>8</v>
      </c>
      <c r="E553" s="85">
        <f t="shared" si="58"/>
        <v>188.44409999999999</v>
      </c>
      <c r="F553" s="106">
        <f t="shared" si="64"/>
        <v>2</v>
      </c>
      <c r="G553" s="86"/>
      <c r="H553" s="107">
        <f t="shared" si="59"/>
        <v>6.88</v>
      </c>
      <c r="I553" s="107">
        <f t="shared" si="60"/>
        <v>1.1200000000000001</v>
      </c>
      <c r="J553" s="87">
        <f>IF($D553&gt;0,IFERROR(Параметры!$D$42*$H553/$H$2408,0),0)</f>
        <v>120.20791878172589</v>
      </c>
      <c r="K553" s="87">
        <f>IFERROR(ROUND($N553*Параметры!$D$36,2),0)</f>
        <v>178.62</v>
      </c>
      <c r="L553" s="87">
        <f t="shared" si="61"/>
        <v>9.8240999999999996</v>
      </c>
      <c r="M553" s="87">
        <f t="shared" si="62"/>
        <v>11.526237057460476</v>
      </c>
      <c r="N553" s="107">
        <f t="shared" si="63"/>
        <v>6</v>
      </c>
    </row>
    <row r="554" spans="2:14" x14ac:dyDescent="0.25">
      <c r="B554" s="82">
        <f>SUBTOTAL(103,$D$8:D554)</f>
        <v>547</v>
      </c>
      <c r="C554" s="83" t="s">
        <v>562</v>
      </c>
      <c r="D554" s="84">
        <v>8</v>
      </c>
      <c r="E554" s="85">
        <f t="shared" si="58"/>
        <v>188.44409999999999</v>
      </c>
      <c r="F554" s="106">
        <f t="shared" si="64"/>
        <v>2</v>
      </c>
      <c r="G554" s="86"/>
      <c r="H554" s="107">
        <f t="shared" si="59"/>
        <v>6.88</v>
      </c>
      <c r="I554" s="107">
        <f t="shared" si="60"/>
        <v>1.1200000000000001</v>
      </c>
      <c r="J554" s="87">
        <f>IF($D554&gt;0,IFERROR(Параметры!$D$42*$H554/$H$2408,0),0)</f>
        <v>120.20791878172589</v>
      </c>
      <c r="K554" s="87">
        <f>IFERROR(ROUND($N554*Параметры!$D$36,2),0)</f>
        <v>178.62</v>
      </c>
      <c r="L554" s="87">
        <f t="shared" si="61"/>
        <v>9.8240999999999996</v>
      </c>
      <c r="M554" s="87">
        <f t="shared" si="62"/>
        <v>11.526237057460476</v>
      </c>
      <c r="N554" s="107">
        <f t="shared" si="63"/>
        <v>6</v>
      </c>
    </row>
    <row r="555" spans="2:14" x14ac:dyDescent="0.25">
      <c r="B555" s="82">
        <f>SUBTOTAL(103,$D$8:D555)</f>
        <v>548</v>
      </c>
      <c r="C555" s="83" t="s">
        <v>563</v>
      </c>
      <c r="D555" s="84">
        <v>8</v>
      </c>
      <c r="E555" s="85">
        <f t="shared" si="58"/>
        <v>188.44409999999999</v>
      </c>
      <c r="F555" s="106">
        <f t="shared" si="64"/>
        <v>2</v>
      </c>
      <c r="G555" s="86"/>
      <c r="H555" s="107">
        <f t="shared" si="59"/>
        <v>6.88</v>
      </c>
      <c r="I555" s="107">
        <f t="shared" si="60"/>
        <v>1.1200000000000001</v>
      </c>
      <c r="J555" s="87">
        <f>IF($D555&gt;0,IFERROR(Параметры!$D$42*$H555/$H$2408,0),0)</f>
        <v>120.20791878172589</v>
      </c>
      <c r="K555" s="87">
        <f>IFERROR(ROUND($N555*Параметры!$D$36,2),0)</f>
        <v>178.62</v>
      </c>
      <c r="L555" s="87">
        <f t="shared" si="61"/>
        <v>9.8240999999999996</v>
      </c>
      <c r="M555" s="87">
        <f t="shared" si="62"/>
        <v>11.526237057460476</v>
      </c>
      <c r="N555" s="107">
        <f t="shared" si="63"/>
        <v>6</v>
      </c>
    </row>
    <row r="556" spans="2:14" x14ac:dyDescent="0.25">
      <c r="B556" s="82">
        <f>SUBTOTAL(103,$D$8:D556)</f>
        <v>549</v>
      </c>
      <c r="C556" s="83" t="s">
        <v>564</v>
      </c>
      <c r="D556" s="84">
        <v>8</v>
      </c>
      <c r="E556" s="85">
        <f t="shared" si="58"/>
        <v>188.44409999999999</v>
      </c>
      <c r="F556" s="106">
        <f t="shared" si="64"/>
        <v>2</v>
      </c>
      <c r="G556" s="86"/>
      <c r="H556" s="107">
        <f t="shared" si="59"/>
        <v>6.88</v>
      </c>
      <c r="I556" s="107">
        <f t="shared" si="60"/>
        <v>1.1200000000000001</v>
      </c>
      <c r="J556" s="87">
        <f>IF($D556&gt;0,IFERROR(Параметры!$D$42*$H556/$H$2408,0),0)</f>
        <v>120.20791878172589</v>
      </c>
      <c r="K556" s="87">
        <f>IFERROR(ROUND($N556*Параметры!$D$36,2),0)</f>
        <v>178.62</v>
      </c>
      <c r="L556" s="87">
        <f t="shared" si="61"/>
        <v>9.8240999999999996</v>
      </c>
      <c r="M556" s="87">
        <f t="shared" si="62"/>
        <v>11.526237057460476</v>
      </c>
      <c r="N556" s="107">
        <f t="shared" si="63"/>
        <v>6</v>
      </c>
    </row>
    <row r="557" spans="2:14" x14ac:dyDescent="0.25">
      <c r="B557" s="82">
        <f>SUBTOTAL(103,$D$8:D557)</f>
        <v>550</v>
      </c>
      <c r="C557" s="83" t="s">
        <v>565</v>
      </c>
      <c r="D557" s="84">
        <v>8</v>
      </c>
      <c r="E557" s="85">
        <f t="shared" si="58"/>
        <v>188.44409999999999</v>
      </c>
      <c r="F557" s="106">
        <f t="shared" si="64"/>
        <v>2</v>
      </c>
      <c r="G557" s="86"/>
      <c r="H557" s="107">
        <f t="shared" si="59"/>
        <v>6.88</v>
      </c>
      <c r="I557" s="107">
        <f t="shared" si="60"/>
        <v>1.1200000000000001</v>
      </c>
      <c r="J557" s="87">
        <f>IF($D557&gt;0,IFERROR(Параметры!$D$42*$H557/$H$2408,0),0)</f>
        <v>120.20791878172589</v>
      </c>
      <c r="K557" s="87">
        <f>IFERROR(ROUND($N557*Параметры!$D$36,2),0)</f>
        <v>178.62</v>
      </c>
      <c r="L557" s="87">
        <f t="shared" si="61"/>
        <v>9.8240999999999996</v>
      </c>
      <c r="M557" s="87">
        <f t="shared" si="62"/>
        <v>11.526237057460476</v>
      </c>
      <c r="N557" s="107">
        <f t="shared" si="63"/>
        <v>6</v>
      </c>
    </row>
    <row r="558" spans="2:14" x14ac:dyDescent="0.25">
      <c r="B558" s="82">
        <f>SUBTOTAL(103,$D$8:D558)</f>
        <v>551</v>
      </c>
      <c r="C558" s="83" t="s">
        <v>566</v>
      </c>
      <c r="D558" s="84">
        <v>8</v>
      </c>
      <c r="E558" s="85">
        <f t="shared" si="58"/>
        <v>188.44409999999999</v>
      </c>
      <c r="F558" s="106">
        <f t="shared" si="64"/>
        <v>2</v>
      </c>
      <c r="G558" s="86"/>
      <c r="H558" s="107">
        <f t="shared" si="59"/>
        <v>6.88</v>
      </c>
      <c r="I558" s="107">
        <f t="shared" si="60"/>
        <v>1.1200000000000001</v>
      </c>
      <c r="J558" s="87">
        <f>IF($D558&gt;0,IFERROR(Параметры!$D$42*$H558/$H$2408,0),0)</f>
        <v>120.20791878172589</v>
      </c>
      <c r="K558" s="87">
        <f>IFERROR(ROUND($N558*Параметры!$D$36,2),0)</f>
        <v>178.62</v>
      </c>
      <c r="L558" s="87">
        <f t="shared" si="61"/>
        <v>9.8240999999999996</v>
      </c>
      <c r="M558" s="87">
        <f t="shared" si="62"/>
        <v>11.526237057460476</v>
      </c>
      <c r="N558" s="107">
        <f t="shared" si="63"/>
        <v>6</v>
      </c>
    </row>
    <row r="559" spans="2:14" x14ac:dyDescent="0.25">
      <c r="B559" s="82">
        <f>SUBTOTAL(103,$D$8:D559)</f>
        <v>552</v>
      </c>
      <c r="C559" s="83" t="s">
        <v>567</v>
      </c>
      <c r="D559" s="84">
        <v>0</v>
      </c>
      <c r="E559" s="85" t="str">
        <f t="shared" si="58"/>
        <v/>
      </c>
      <c r="F559" s="106" t="str">
        <f t="shared" si="64"/>
        <v/>
      </c>
      <c r="G559" s="86"/>
      <c r="H559" s="107">
        <f t="shared" si="59"/>
        <v>0</v>
      </c>
      <c r="I559" s="107">
        <f t="shared" si="60"/>
        <v>0</v>
      </c>
      <c r="J559" s="87">
        <f>IF($D559&gt;0,IFERROR(Параметры!$D$42*$H559/$H$2408,0),0)</f>
        <v>0</v>
      </c>
      <c r="K559" s="87">
        <f>IFERROR(ROUND($N559*Параметры!$D$36,2),0)</f>
        <v>0</v>
      </c>
      <c r="L559" s="87">
        <f t="shared" si="61"/>
        <v>0</v>
      </c>
      <c r="M559" s="87">
        <f t="shared" si="62"/>
        <v>0</v>
      </c>
      <c r="N559" s="107" t="str">
        <f t="shared" si="63"/>
        <v/>
      </c>
    </row>
    <row r="560" spans="2:14" x14ac:dyDescent="0.25">
      <c r="B560" s="82">
        <f>SUBTOTAL(103,$D$8:D560)</f>
        <v>553</v>
      </c>
      <c r="C560" s="83" t="s">
        <v>568</v>
      </c>
      <c r="D560" s="84">
        <v>0</v>
      </c>
      <c r="E560" s="85" t="str">
        <f t="shared" si="58"/>
        <v/>
      </c>
      <c r="F560" s="106" t="str">
        <f t="shared" si="64"/>
        <v/>
      </c>
      <c r="G560" s="86"/>
      <c r="H560" s="107">
        <f t="shared" si="59"/>
        <v>0</v>
      </c>
      <c r="I560" s="107">
        <f t="shared" si="60"/>
        <v>0</v>
      </c>
      <c r="J560" s="87">
        <f>IF($D560&gt;0,IFERROR(Параметры!$D$42*$H560/$H$2408,0),0)</f>
        <v>0</v>
      </c>
      <c r="K560" s="87">
        <f>IFERROR(ROUND($N560*Параметры!$D$36,2),0)</f>
        <v>0</v>
      </c>
      <c r="L560" s="87">
        <f t="shared" si="61"/>
        <v>0</v>
      </c>
      <c r="M560" s="87">
        <f t="shared" si="62"/>
        <v>0</v>
      </c>
      <c r="N560" s="107" t="str">
        <f t="shared" si="63"/>
        <v/>
      </c>
    </row>
    <row r="561" spans="2:14" x14ac:dyDescent="0.25">
      <c r="B561" s="82">
        <f>SUBTOTAL(103,$D$8:D561)</f>
        <v>554</v>
      </c>
      <c r="C561" s="83" t="s">
        <v>569</v>
      </c>
      <c r="D561" s="84">
        <v>0</v>
      </c>
      <c r="E561" s="85" t="str">
        <f t="shared" si="58"/>
        <v/>
      </c>
      <c r="F561" s="106" t="str">
        <f t="shared" si="64"/>
        <v/>
      </c>
      <c r="G561" s="86"/>
      <c r="H561" s="107">
        <f t="shared" si="59"/>
        <v>0</v>
      </c>
      <c r="I561" s="107">
        <f t="shared" si="60"/>
        <v>0</v>
      </c>
      <c r="J561" s="87">
        <f>IF($D561&gt;0,IFERROR(Параметры!$D$42*$H561/$H$2408,0),0)</f>
        <v>0</v>
      </c>
      <c r="K561" s="87">
        <f>IFERROR(ROUND($N561*Параметры!$D$36,2),0)</f>
        <v>0</v>
      </c>
      <c r="L561" s="87">
        <f t="shared" si="61"/>
        <v>0</v>
      </c>
      <c r="M561" s="87">
        <f t="shared" si="62"/>
        <v>0</v>
      </c>
      <c r="N561" s="107" t="str">
        <f t="shared" si="63"/>
        <v/>
      </c>
    </row>
    <row r="562" spans="2:14" x14ac:dyDescent="0.25">
      <c r="B562" s="82">
        <f>SUBTOTAL(103,$D$8:D562)</f>
        <v>555</v>
      </c>
      <c r="C562" s="83" t="s">
        <v>570</v>
      </c>
      <c r="D562" s="84">
        <v>0</v>
      </c>
      <c r="E562" s="85" t="str">
        <f t="shared" si="58"/>
        <v/>
      </c>
      <c r="F562" s="106" t="str">
        <f t="shared" si="64"/>
        <v/>
      </c>
      <c r="G562" s="86"/>
      <c r="H562" s="107">
        <f t="shared" si="59"/>
        <v>0</v>
      </c>
      <c r="I562" s="107">
        <f t="shared" si="60"/>
        <v>0</v>
      </c>
      <c r="J562" s="87">
        <f>IF($D562&gt;0,IFERROR(Параметры!$D$42*$H562/$H$2408,0),0)</f>
        <v>0</v>
      </c>
      <c r="K562" s="87">
        <f>IFERROR(ROUND($N562*Параметры!$D$36,2),0)</f>
        <v>0</v>
      </c>
      <c r="L562" s="87">
        <f t="shared" si="61"/>
        <v>0</v>
      </c>
      <c r="M562" s="87">
        <f t="shared" si="62"/>
        <v>0</v>
      </c>
      <c r="N562" s="107" t="str">
        <f t="shared" si="63"/>
        <v/>
      </c>
    </row>
    <row r="563" spans="2:14" x14ac:dyDescent="0.25">
      <c r="B563" s="82">
        <f>SUBTOTAL(103,$D$8:D563)</f>
        <v>556</v>
      </c>
      <c r="C563" s="83" t="s">
        <v>571</v>
      </c>
      <c r="D563" s="84">
        <v>0</v>
      </c>
      <c r="E563" s="85" t="str">
        <f t="shared" si="58"/>
        <v/>
      </c>
      <c r="F563" s="106" t="str">
        <f t="shared" si="64"/>
        <v/>
      </c>
      <c r="G563" s="86"/>
      <c r="H563" s="107">
        <f t="shared" si="59"/>
        <v>0</v>
      </c>
      <c r="I563" s="107">
        <f t="shared" si="60"/>
        <v>0</v>
      </c>
      <c r="J563" s="87">
        <f>IF($D563&gt;0,IFERROR(Параметры!$D$42*$H563/$H$2408,0),0)</f>
        <v>0</v>
      </c>
      <c r="K563" s="87">
        <f>IFERROR(ROUND($N563*Параметры!$D$36,2),0)</f>
        <v>0</v>
      </c>
      <c r="L563" s="87">
        <f t="shared" si="61"/>
        <v>0</v>
      </c>
      <c r="M563" s="87">
        <f t="shared" si="62"/>
        <v>0</v>
      </c>
      <c r="N563" s="107" t="str">
        <f t="shared" si="63"/>
        <v/>
      </c>
    </row>
    <row r="564" spans="2:14" x14ac:dyDescent="0.25">
      <c r="B564" s="82">
        <f>SUBTOTAL(103,$D$8:D564)</f>
        <v>557</v>
      </c>
      <c r="C564" s="83" t="s">
        <v>572</v>
      </c>
      <c r="D564" s="84">
        <v>0</v>
      </c>
      <c r="E564" s="85" t="str">
        <f t="shared" si="58"/>
        <v/>
      </c>
      <c r="F564" s="106" t="str">
        <f t="shared" si="64"/>
        <v/>
      </c>
      <c r="G564" s="86"/>
      <c r="H564" s="107">
        <f t="shared" si="59"/>
        <v>0</v>
      </c>
      <c r="I564" s="107">
        <f t="shared" si="60"/>
        <v>0</v>
      </c>
      <c r="J564" s="87">
        <f>IF($D564&gt;0,IFERROR(Параметры!$D$42*$H564/$H$2408,0),0)</f>
        <v>0</v>
      </c>
      <c r="K564" s="87">
        <f>IFERROR(ROUND($N564*Параметры!$D$36,2),0)</f>
        <v>0</v>
      </c>
      <c r="L564" s="87">
        <f t="shared" si="61"/>
        <v>0</v>
      </c>
      <c r="M564" s="87">
        <f t="shared" si="62"/>
        <v>0</v>
      </c>
      <c r="N564" s="107" t="str">
        <f t="shared" si="63"/>
        <v/>
      </c>
    </row>
    <row r="565" spans="2:14" x14ac:dyDescent="0.25">
      <c r="B565" s="82">
        <f>SUBTOTAL(103,$D$8:D565)</f>
        <v>558</v>
      </c>
      <c r="C565" s="83" t="s">
        <v>573</v>
      </c>
      <c r="D565" s="84">
        <v>0</v>
      </c>
      <c r="E565" s="85" t="str">
        <f t="shared" si="58"/>
        <v/>
      </c>
      <c r="F565" s="106" t="str">
        <f t="shared" si="64"/>
        <v/>
      </c>
      <c r="G565" s="86"/>
      <c r="H565" s="107">
        <f t="shared" si="59"/>
        <v>0</v>
      </c>
      <c r="I565" s="107">
        <f t="shared" si="60"/>
        <v>0</v>
      </c>
      <c r="J565" s="87">
        <f>IF($D565&gt;0,IFERROR(Параметры!$D$42*$H565/$H$2408,0),0)</f>
        <v>0</v>
      </c>
      <c r="K565" s="87">
        <f>IFERROR(ROUND($N565*Параметры!$D$36,2),0)</f>
        <v>0</v>
      </c>
      <c r="L565" s="87">
        <f t="shared" si="61"/>
        <v>0</v>
      </c>
      <c r="M565" s="87">
        <f t="shared" si="62"/>
        <v>0</v>
      </c>
      <c r="N565" s="107" t="str">
        <f t="shared" si="63"/>
        <v/>
      </c>
    </row>
    <row r="566" spans="2:14" x14ac:dyDescent="0.25">
      <c r="B566" s="82">
        <f>SUBTOTAL(103,$D$8:D566)</f>
        <v>559</v>
      </c>
      <c r="C566" s="83" t="s">
        <v>574</v>
      </c>
      <c r="D566" s="84">
        <v>0</v>
      </c>
      <c r="E566" s="85" t="str">
        <f t="shared" si="58"/>
        <v/>
      </c>
      <c r="F566" s="106" t="str">
        <f t="shared" si="64"/>
        <v/>
      </c>
      <c r="G566" s="86"/>
      <c r="H566" s="107">
        <f t="shared" si="59"/>
        <v>0</v>
      </c>
      <c r="I566" s="107">
        <f t="shared" si="60"/>
        <v>0</v>
      </c>
      <c r="J566" s="87">
        <f>IF($D566&gt;0,IFERROR(Параметры!$D$42*$H566/$H$2408,0),0)</f>
        <v>0</v>
      </c>
      <c r="K566" s="87">
        <f>IFERROR(ROUND($N566*Параметры!$D$36,2),0)</f>
        <v>0</v>
      </c>
      <c r="L566" s="87">
        <f t="shared" si="61"/>
        <v>0</v>
      </c>
      <c r="M566" s="87">
        <f t="shared" si="62"/>
        <v>0</v>
      </c>
      <c r="N566" s="107" t="str">
        <f t="shared" si="63"/>
        <v/>
      </c>
    </row>
    <row r="567" spans="2:14" x14ac:dyDescent="0.25">
      <c r="B567" s="82">
        <f>SUBTOTAL(103,$D$8:D567)</f>
        <v>560</v>
      </c>
      <c r="C567" s="83" t="s">
        <v>575</v>
      </c>
      <c r="D567" s="84">
        <v>0</v>
      </c>
      <c r="E567" s="85" t="str">
        <f t="shared" si="58"/>
        <v/>
      </c>
      <c r="F567" s="106" t="str">
        <f t="shared" si="64"/>
        <v/>
      </c>
      <c r="G567" s="86"/>
      <c r="H567" s="107">
        <f t="shared" si="59"/>
        <v>0</v>
      </c>
      <c r="I567" s="107">
        <f t="shared" si="60"/>
        <v>0</v>
      </c>
      <c r="J567" s="87">
        <f>IF($D567&gt;0,IFERROR(Параметры!$D$42*$H567/$H$2408,0),0)</f>
        <v>0</v>
      </c>
      <c r="K567" s="87">
        <f>IFERROR(ROUND($N567*Параметры!$D$36,2),0)</f>
        <v>0</v>
      </c>
      <c r="L567" s="87">
        <f t="shared" si="61"/>
        <v>0</v>
      </c>
      <c r="M567" s="87">
        <f t="shared" si="62"/>
        <v>0</v>
      </c>
      <c r="N567" s="107" t="str">
        <f t="shared" si="63"/>
        <v/>
      </c>
    </row>
    <row r="568" spans="2:14" x14ac:dyDescent="0.25">
      <c r="B568" s="82">
        <f>SUBTOTAL(103,$D$8:D568)</f>
        <v>561</v>
      </c>
      <c r="C568" s="83" t="s">
        <v>576</v>
      </c>
      <c r="D568" s="84">
        <v>0</v>
      </c>
      <c r="E568" s="85" t="str">
        <f t="shared" si="58"/>
        <v/>
      </c>
      <c r="F568" s="106" t="str">
        <f t="shared" si="64"/>
        <v/>
      </c>
      <c r="G568" s="86"/>
      <c r="H568" s="107">
        <f t="shared" si="59"/>
        <v>0</v>
      </c>
      <c r="I568" s="107">
        <f t="shared" si="60"/>
        <v>0</v>
      </c>
      <c r="J568" s="87">
        <f>IF($D568&gt;0,IFERROR(Параметры!$D$42*$H568/$H$2408,0),0)</f>
        <v>0</v>
      </c>
      <c r="K568" s="87">
        <f>IFERROR(ROUND($N568*Параметры!$D$36,2),0)</f>
        <v>0</v>
      </c>
      <c r="L568" s="87">
        <f t="shared" si="61"/>
        <v>0</v>
      </c>
      <c r="M568" s="87">
        <f t="shared" si="62"/>
        <v>0</v>
      </c>
      <c r="N568" s="107" t="str">
        <f t="shared" si="63"/>
        <v/>
      </c>
    </row>
    <row r="569" spans="2:14" x14ac:dyDescent="0.25">
      <c r="B569" s="82">
        <f>SUBTOTAL(103,$D$8:D569)</f>
        <v>562</v>
      </c>
      <c r="C569" s="83" t="s">
        <v>577</v>
      </c>
      <c r="D569" s="84">
        <v>0</v>
      </c>
      <c r="E569" s="85" t="str">
        <f t="shared" si="58"/>
        <v/>
      </c>
      <c r="F569" s="106" t="str">
        <f t="shared" si="64"/>
        <v/>
      </c>
      <c r="G569" s="86"/>
      <c r="H569" s="107">
        <f t="shared" si="59"/>
        <v>0</v>
      </c>
      <c r="I569" s="107">
        <f t="shared" si="60"/>
        <v>0</v>
      </c>
      <c r="J569" s="87">
        <f>IF($D569&gt;0,IFERROR(Параметры!$D$42*$H569/$H$2408,0),0)</f>
        <v>0</v>
      </c>
      <c r="K569" s="87">
        <f>IFERROR(ROUND($N569*Параметры!$D$36,2),0)</f>
        <v>0</v>
      </c>
      <c r="L569" s="87">
        <f t="shared" si="61"/>
        <v>0</v>
      </c>
      <c r="M569" s="87">
        <f t="shared" si="62"/>
        <v>0</v>
      </c>
      <c r="N569" s="107" t="str">
        <f t="shared" si="63"/>
        <v/>
      </c>
    </row>
    <row r="570" spans="2:14" x14ac:dyDescent="0.25">
      <c r="B570" s="82">
        <f>SUBTOTAL(103,$D$8:D570)</f>
        <v>563</v>
      </c>
      <c r="C570" s="83" t="s">
        <v>578</v>
      </c>
      <c r="D570" s="84">
        <v>0</v>
      </c>
      <c r="E570" s="85" t="str">
        <f t="shared" si="58"/>
        <v/>
      </c>
      <c r="F570" s="106" t="str">
        <f t="shared" si="64"/>
        <v/>
      </c>
      <c r="G570" s="86"/>
      <c r="H570" s="107">
        <f t="shared" si="59"/>
        <v>0</v>
      </c>
      <c r="I570" s="107">
        <f t="shared" si="60"/>
        <v>0</v>
      </c>
      <c r="J570" s="87">
        <f>IF($D570&gt;0,IFERROR(Параметры!$D$42*$H570/$H$2408,0),0)</f>
        <v>0</v>
      </c>
      <c r="K570" s="87">
        <f>IFERROR(ROUND($N570*Параметры!$D$36,2),0)</f>
        <v>0</v>
      </c>
      <c r="L570" s="87">
        <f t="shared" si="61"/>
        <v>0</v>
      </c>
      <c r="M570" s="87">
        <f t="shared" si="62"/>
        <v>0</v>
      </c>
      <c r="N570" s="107" t="str">
        <f t="shared" si="63"/>
        <v/>
      </c>
    </row>
    <row r="571" spans="2:14" x14ac:dyDescent="0.25">
      <c r="B571" s="82">
        <f>SUBTOTAL(103,$D$8:D571)</f>
        <v>564</v>
      </c>
      <c r="C571" s="83" t="s">
        <v>579</v>
      </c>
      <c r="D571" s="84">
        <v>0</v>
      </c>
      <c r="E571" s="85" t="str">
        <f t="shared" si="58"/>
        <v/>
      </c>
      <c r="F571" s="106" t="str">
        <f t="shared" si="64"/>
        <v/>
      </c>
      <c r="G571" s="86"/>
      <c r="H571" s="107">
        <f t="shared" si="59"/>
        <v>0</v>
      </c>
      <c r="I571" s="107">
        <f t="shared" si="60"/>
        <v>0</v>
      </c>
      <c r="J571" s="87">
        <f>IF($D571&gt;0,IFERROR(Параметры!$D$42*$H571/$H$2408,0),0)</f>
        <v>0</v>
      </c>
      <c r="K571" s="87">
        <f>IFERROR(ROUND($N571*Параметры!$D$36,2),0)</f>
        <v>0</v>
      </c>
      <c r="L571" s="87">
        <f t="shared" si="61"/>
        <v>0</v>
      </c>
      <c r="M571" s="87">
        <f t="shared" si="62"/>
        <v>0</v>
      </c>
      <c r="N571" s="107" t="str">
        <f t="shared" si="63"/>
        <v/>
      </c>
    </row>
    <row r="572" spans="2:14" x14ac:dyDescent="0.25">
      <c r="B572" s="82">
        <f>SUBTOTAL(103,$D$8:D572)</f>
        <v>565</v>
      </c>
      <c r="C572" s="83" t="s">
        <v>580</v>
      </c>
      <c r="D572" s="84">
        <v>0</v>
      </c>
      <c r="E572" s="85" t="str">
        <f t="shared" si="58"/>
        <v/>
      </c>
      <c r="F572" s="106" t="str">
        <f t="shared" si="64"/>
        <v/>
      </c>
      <c r="G572" s="86"/>
      <c r="H572" s="107">
        <f t="shared" si="59"/>
        <v>0</v>
      </c>
      <c r="I572" s="107">
        <f t="shared" si="60"/>
        <v>0</v>
      </c>
      <c r="J572" s="87">
        <f>IF($D572&gt;0,IFERROR(Параметры!$D$42*$H572/$H$2408,0),0)</f>
        <v>0</v>
      </c>
      <c r="K572" s="87">
        <f>IFERROR(ROUND($N572*Параметры!$D$36,2),0)</f>
        <v>0</v>
      </c>
      <c r="L572" s="87">
        <f t="shared" si="61"/>
        <v>0</v>
      </c>
      <c r="M572" s="87">
        <f t="shared" si="62"/>
        <v>0</v>
      </c>
      <c r="N572" s="107" t="str">
        <f t="shared" si="63"/>
        <v/>
      </c>
    </row>
    <row r="573" spans="2:14" x14ac:dyDescent="0.25">
      <c r="B573" s="82">
        <f>SUBTOTAL(103,$D$8:D573)</f>
        <v>566</v>
      </c>
      <c r="C573" s="83" t="s">
        <v>581</v>
      </c>
      <c r="D573" s="84">
        <v>0</v>
      </c>
      <c r="E573" s="85" t="str">
        <f t="shared" si="58"/>
        <v/>
      </c>
      <c r="F573" s="106" t="str">
        <f t="shared" si="64"/>
        <v/>
      </c>
      <c r="G573" s="86"/>
      <c r="H573" s="107">
        <f t="shared" si="59"/>
        <v>0</v>
      </c>
      <c r="I573" s="107">
        <f t="shared" si="60"/>
        <v>0</v>
      </c>
      <c r="J573" s="87">
        <f>IF($D573&gt;0,IFERROR(Параметры!$D$42*$H573/$H$2408,0),0)</f>
        <v>0</v>
      </c>
      <c r="K573" s="87">
        <f>IFERROR(ROUND($N573*Параметры!$D$36,2),0)</f>
        <v>0</v>
      </c>
      <c r="L573" s="87">
        <f t="shared" si="61"/>
        <v>0</v>
      </c>
      <c r="M573" s="87">
        <f t="shared" si="62"/>
        <v>0</v>
      </c>
      <c r="N573" s="107" t="str">
        <f t="shared" si="63"/>
        <v/>
      </c>
    </row>
    <row r="574" spans="2:14" x14ac:dyDescent="0.25">
      <c r="B574" s="82">
        <f>SUBTOTAL(103,$D$8:D574)</f>
        <v>567</v>
      </c>
      <c r="C574" s="83" t="s">
        <v>582</v>
      </c>
      <c r="D574" s="84">
        <v>0</v>
      </c>
      <c r="E574" s="85" t="str">
        <f t="shared" si="58"/>
        <v/>
      </c>
      <c r="F574" s="106" t="str">
        <f t="shared" si="64"/>
        <v/>
      </c>
      <c r="G574" s="86"/>
      <c r="H574" s="107">
        <f t="shared" si="59"/>
        <v>0</v>
      </c>
      <c r="I574" s="107">
        <f t="shared" si="60"/>
        <v>0</v>
      </c>
      <c r="J574" s="87">
        <f>IF($D574&gt;0,IFERROR(Параметры!$D$42*$H574/$H$2408,0),0)</f>
        <v>0</v>
      </c>
      <c r="K574" s="87">
        <f>IFERROR(ROUND($N574*Параметры!$D$36,2),0)</f>
        <v>0</v>
      </c>
      <c r="L574" s="87">
        <f t="shared" si="61"/>
        <v>0</v>
      </c>
      <c r="M574" s="87">
        <f t="shared" si="62"/>
        <v>0</v>
      </c>
      <c r="N574" s="107" t="str">
        <f t="shared" si="63"/>
        <v/>
      </c>
    </row>
    <row r="575" spans="2:14" x14ac:dyDescent="0.25">
      <c r="B575" s="82">
        <f>SUBTOTAL(103,$D$8:D575)</f>
        <v>568</v>
      </c>
      <c r="C575" s="83" t="s">
        <v>583</v>
      </c>
      <c r="D575" s="84">
        <v>0</v>
      </c>
      <c r="E575" s="85" t="str">
        <f t="shared" si="58"/>
        <v/>
      </c>
      <c r="F575" s="106" t="str">
        <f t="shared" si="64"/>
        <v/>
      </c>
      <c r="G575" s="86"/>
      <c r="H575" s="107">
        <f t="shared" si="59"/>
        <v>0</v>
      </c>
      <c r="I575" s="107">
        <f t="shared" si="60"/>
        <v>0</v>
      </c>
      <c r="J575" s="87">
        <f>IF($D575&gt;0,IFERROR(Параметры!$D$42*$H575/$H$2408,0),0)</f>
        <v>0</v>
      </c>
      <c r="K575" s="87">
        <f>IFERROR(ROUND($N575*Параметры!$D$36,2),0)</f>
        <v>0</v>
      </c>
      <c r="L575" s="87">
        <f t="shared" si="61"/>
        <v>0</v>
      </c>
      <c r="M575" s="87">
        <f t="shared" si="62"/>
        <v>0</v>
      </c>
      <c r="N575" s="107" t="str">
        <f t="shared" si="63"/>
        <v/>
      </c>
    </row>
    <row r="576" spans="2:14" x14ac:dyDescent="0.25">
      <c r="B576" s="82">
        <f>SUBTOTAL(103,$D$8:D576)</f>
        <v>569</v>
      </c>
      <c r="C576" s="83" t="s">
        <v>584</v>
      </c>
      <c r="D576" s="84">
        <v>0</v>
      </c>
      <c r="E576" s="85" t="str">
        <f t="shared" si="58"/>
        <v/>
      </c>
      <c r="F576" s="106" t="str">
        <f t="shared" si="64"/>
        <v/>
      </c>
      <c r="G576" s="86"/>
      <c r="H576" s="107">
        <f t="shared" si="59"/>
        <v>0</v>
      </c>
      <c r="I576" s="107">
        <f t="shared" si="60"/>
        <v>0</v>
      </c>
      <c r="J576" s="87">
        <f>IF($D576&gt;0,IFERROR(Параметры!$D$42*$H576/$H$2408,0),0)</f>
        <v>0</v>
      </c>
      <c r="K576" s="87">
        <f>IFERROR(ROUND($N576*Параметры!$D$36,2),0)</f>
        <v>0</v>
      </c>
      <c r="L576" s="87">
        <f t="shared" si="61"/>
        <v>0</v>
      </c>
      <c r="M576" s="87">
        <f t="shared" si="62"/>
        <v>0</v>
      </c>
      <c r="N576" s="107" t="str">
        <f t="shared" si="63"/>
        <v/>
      </c>
    </row>
    <row r="577" spans="2:14" x14ac:dyDescent="0.25">
      <c r="B577" s="82">
        <f>SUBTOTAL(103,$D$8:D577)</f>
        <v>570</v>
      </c>
      <c r="C577" s="83" t="s">
        <v>585</v>
      </c>
      <c r="D577" s="84">
        <v>0</v>
      </c>
      <c r="E577" s="85" t="str">
        <f t="shared" si="58"/>
        <v/>
      </c>
      <c r="F577" s="106" t="str">
        <f t="shared" si="64"/>
        <v/>
      </c>
      <c r="G577" s="86"/>
      <c r="H577" s="107">
        <f t="shared" si="59"/>
        <v>0</v>
      </c>
      <c r="I577" s="107">
        <f t="shared" si="60"/>
        <v>0</v>
      </c>
      <c r="J577" s="87">
        <f>IF($D577&gt;0,IFERROR(Параметры!$D$42*$H577/$H$2408,0),0)</f>
        <v>0</v>
      </c>
      <c r="K577" s="87">
        <f>IFERROR(ROUND($N577*Параметры!$D$36,2),0)</f>
        <v>0</v>
      </c>
      <c r="L577" s="87">
        <f t="shared" si="61"/>
        <v>0</v>
      </c>
      <c r="M577" s="87">
        <f t="shared" si="62"/>
        <v>0</v>
      </c>
      <c r="N577" s="107" t="str">
        <f t="shared" si="63"/>
        <v/>
      </c>
    </row>
    <row r="578" spans="2:14" x14ac:dyDescent="0.25">
      <c r="B578" s="82">
        <f>SUBTOTAL(103,$D$8:D578)</f>
        <v>571</v>
      </c>
      <c r="C578" s="83" t="s">
        <v>586</v>
      </c>
      <c r="D578" s="84">
        <v>0</v>
      </c>
      <c r="E578" s="85" t="str">
        <f t="shared" si="58"/>
        <v/>
      </c>
      <c r="F578" s="106" t="str">
        <f t="shared" si="64"/>
        <v/>
      </c>
      <c r="G578" s="86"/>
      <c r="H578" s="107">
        <f t="shared" si="59"/>
        <v>0</v>
      </c>
      <c r="I578" s="107">
        <f t="shared" si="60"/>
        <v>0</v>
      </c>
      <c r="J578" s="87">
        <f>IF($D578&gt;0,IFERROR(Параметры!$D$42*$H578/$H$2408,0),0)</f>
        <v>0</v>
      </c>
      <c r="K578" s="87">
        <f>IFERROR(ROUND($N578*Параметры!$D$36,2),0)</f>
        <v>0</v>
      </c>
      <c r="L578" s="87">
        <f t="shared" si="61"/>
        <v>0</v>
      </c>
      <c r="M578" s="87">
        <f t="shared" si="62"/>
        <v>0</v>
      </c>
      <c r="N578" s="107" t="str">
        <f t="shared" si="63"/>
        <v/>
      </c>
    </row>
    <row r="579" spans="2:14" x14ac:dyDescent="0.25">
      <c r="B579" s="82">
        <f>SUBTOTAL(103,$D$8:D579)</f>
        <v>572</v>
      </c>
      <c r="C579" s="83" t="s">
        <v>587</v>
      </c>
      <c r="D579" s="84">
        <v>0</v>
      </c>
      <c r="E579" s="85" t="str">
        <f t="shared" si="58"/>
        <v/>
      </c>
      <c r="F579" s="106" t="str">
        <f t="shared" si="64"/>
        <v/>
      </c>
      <c r="G579" s="86"/>
      <c r="H579" s="107">
        <f t="shared" si="59"/>
        <v>0</v>
      </c>
      <c r="I579" s="107">
        <f t="shared" si="60"/>
        <v>0</v>
      </c>
      <c r="J579" s="87">
        <f>IF($D579&gt;0,IFERROR(Параметры!$D$42*$H579/$H$2408,0),0)</f>
        <v>0</v>
      </c>
      <c r="K579" s="87">
        <f>IFERROR(ROUND($N579*Параметры!$D$36,2),0)</f>
        <v>0</v>
      </c>
      <c r="L579" s="87">
        <f t="shared" si="61"/>
        <v>0</v>
      </c>
      <c r="M579" s="87">
        <f t="shared" si="62"/>
        <v>0</v>
      </c>
      <c r="N579" s="107" t="str">
        <f t="shared" si="63"/>
        <v/>
      </c>
    </row>
    <row r="580" spans="2:14" x14ac:dyDescent="0.25">
      <c r="B580" s="82">
        <f>SUBTOTAL(103,$D$8:D580)</f>
        <v>573</v>
      </c>
      <c r="C580" s="83" t="s">
        <v>588</v>
      </c>
      <c r="D580" s="84">
        <v>0</v>
      </c>
      <c r="E580" s="85" t="str">
        <f t="shared" si="58"/>
        <v/>
      </c>
      <c r="F580" s="106" t="str">
        <f t="shared" si="64"/>
        <v/>
      </c>
      <c r="G580" s="86"/>
      <c r="H580" s="107">
        <f t="shared" si="59"/>
        <v>0</v>
      </c>
      <c r="I580" s="107">
        <f t="shared" si="60"/>
        <v>0</v>
      </c>
      <c r="J580" s="87">
        <f>IF($D580&gt;0,IFERROR(Параметры!$D$42*$H580/$H$2408,0),0)</f>
        <v>0</v>
      </c>
      <c r="K580" s="87">
        <f>IFERROR(ROUND($N580*Параметры!$D$36,2),0)</f>
        <v>0</v>
      </c>
      <c r="L580" s="87">
        <f t="shared" si="61"/>
        <v>0</v>
      </c>
      <c r="M580" s="87">
        <f t="shared" si="62"/>
        <v>0</v>
      </c>
      <c r="N580" s="107" t="str">
        <f t="shared" si="63"/>
        <v/>
      </c>
    </row>
    <row r="581" spans="2:14" x14ac:dyDescent="0.25">
      <c r="B581" s="82">
        <f>SUBTOTAL(103,$D$8:D581)</f>
        <v>574</v>
      </c>
      <c r="C581" s="83" t="s">
        <v>589</v>
      </c>
      <c r="D581" s="84">
        <v>0</v>
      </c>
      <c r="E581" s="85" t="str">
        <f t="shared" si="58"/>
        <v/>
      </c>
      <c r="F581" s="106" t="str">
        <f t="shared" si="64"/>
        <v/>
      </c>
      <c r="G581" s="86"/>
      <c r="H581" s="107">
        <f t="shared" si="59"/>
        <v>0</v>
      </c>
      <c r="I581" s="107">
        <f t="shared" si="60"/>
        <v>0</v>
      </c>
      <c r="J581" s="87">
        <f>IF($D581&gt;0,IFERROR(Параметры!$D$42*$H581/$H$2408,0),0)</f>
        <v>0</v>
      </c>
      <c r="K581" s="87">
        <f>IFERROR(ROUND($N581*Параметры!$D$36,2),0)</f>
        <v>0</v>
      </c>
      <c r="L581" s="87">
        <f t="shared" si="61"/>
        <v>0</v>
      </c>
      <c r="M581" s="87">
        <f t="shared" si="62"/>
        <v>0</v>
      </c>
      <c r="N581" s="107" t="str">
        <f t="shared" si="63"/>
        <v/>
      </c>
    </row>
    <row r="582" spans="2:14" x14ac:dyDescent="0.25">
      <c r="B582" s="82">
        <f>SUBTOTAL(103,$D$8:D582)</f>
        <v>575</v>
      </c>
      <c r="C582" s="83" t="s">
        <v>590</v>
      </c>
      <c r="D582" s="84">
        <v>0</v>
      </c>
      <c r="E582" s="85" t="str">
        <f t="shared" si="58"/>
        <v/>
      </c>
      <c r="F582" s="106" t="str">
        <f t="shared" si="64"/>
        <v/>
      </c>
      <c r="G582" s="86"/>
      <c r="H582" s="107">
        <f t="shared" si="59"/>
        <v>0</v>
      </c>
      <c r="I582" s="107">
        <f t="shared" si="60"/>
        <v>0</v>
      </c>
      <c r="J582" s="87">
        <f>IF($D582&gt;0,IFERROR(Параметры!$D$42*$H582/$H$2408,0),0)</f>
        <v>0</v>
      </c>
      <c r="K582" s="87">
        <f>IFERROR(ROUND($N582*Параметры!$D$36,2),0)</f>
        <v>0</v>
      </c>
      <c r="L582" s="87">
        <f t="shared" si="61"/>
        <v>0</v>
      </c>
      <c r="M582" s="87">
        <f t="shared" si="62"/>
        <v>0</v>
      </c>
      <c r="N582" s="107" t="str">
        <f t="shared" si="63"/>
        <v/>
      </c>
    </row>
    <row r="583" spans="2:14" x14ac:dyDescent="0.25">
      <c r="B583" s="82">
        <f>SUBTOTAL(103,$D$8:D583)</f>
        <v>576</v>
      </c>
      <c r="C583" s="83" t="s">
        <v>591</v>
      </c>
      <c r="D583" s="84">
        <v>0</v>
      </c>
      <c r="E583" s="85" t="str">
        <f t="shared" si="58"/>
        <v/>
      </c>
      <c r="F583" s="106" t="str">
        <f t="shared" si="64"/>
        <v/>
      </c>
      <c r="G583" s="86"/>
      <c r="H583" s="107">
        <f t="shared" si="59"/>
        <v>0</v>
      </c>
      <c r="I583" s="107">
        <f t="shared" si="60"/>
        <v>0</v>
      </c>
      <c r="J583" s="87">
        <f>IF($D583&gt;0,IFERROR(Параметры!$D$42*$H583/$H$2408,0),0)</f>
        <v>0</v>
      </c>
      <c r="K583" s="87">
        <f>IFERROR(ROUND($N583*Параметры!$D$36,2),0)</f>
        <v>0</v>
      </c>
      <c r="L583" s="87">
        <f t="shared" si="61"/>
        <v>0</v>
      </c>
      <c r="M583" s="87">
        <f t="shared" si="62"/>
        <v>0</v>
      </c>
      <c r="N583" s="107" t="str">
        <f t="shared" si="63"/>
        <v/>
      </c>
    </row>
    <row r="584" spans="2:14" x14ac:dyDescent="0.25">
      <c r="B584" s="82">
        <f>SUBTOTAL(103,$D$8:D584)</f>
        <v>577</v>
      </c>
      <c r="C584" s="83" t="s">
        <v>592</v>
      </c>
      <c r="D584" s="84">
        <v>0</v>
      </c>
      <c r="E584" s="85" t="str">
        <f t="shared" ref="E584:E647" si="65">IF($D584&lt;1,"",$K584+$L584)</f>
        <v/>
      </c>
      <c r="F584" s="106" t="str">
        <f t="shared" si="64"/>
        <v/>
      </c>
      <c r="G584" s="86"/>
      <c r="H584" s="107">
        <f t="shared" ref="H584:H647" si="66">IF($D584&gt;0,$D584*КИС,0)</f>
        <v>0</v>
      </c>
      <c r="I584" s="107">
        <f t="shared" ref="I584:I647" si="67">IF($D584&gt;0,$D584-$H584,0)</f>
        <v>0</v>
      </c>
      <c r="J584" s="87">
        <f>IF($D584&gt;0,IFERROR(Параметры!$D$42*$H584/$H$2408,0),0)</f>
        <v>0</v>
      </c>
      <c r="K584" s="87">
        <f>IFERROR(ROUND($N584*Параметры!$D$36,2),0)</f>
        <v>0</v>
      </c>
      <c r="L584" s="87">
        <f t="shared" ref="L584:L647" si="68">IF($K584&gt;0,$K584*0.055,0)</f>
        <v>0</v>
      </c>
      <c r="M584" s="87">
        <f t="shared" ref="M584:M647" si="69">IFERROR($L584/Плотность_ДТ,0)</f>
        <v>0</v>
      </c>
      <c r="N584" s="107" t="str">
        <f t="shared" ref="N584:N647" si="70">IF($D584&gt;0,MAX(0,$D584-IF($F584="",0,$F584)),"")</f>
        <v/>
      </c>
    </row>
    <row r="585" spans="2:14" x14ac:dyDescent="0.25">
      <c r="B585" s="82">
        <f>SUBTOTAL(103,$D$8:D585)</f>
        <v>578</v>
      </c>
      <c r="C585" s="83" t="s">
        <v>593</v>
      </c>
      <c r="D585" s="84">
        <v>0</v>
      </c>
      <c r="E585" s="85" t="str">
        <f t="shared" si="65"/>
        <v/>
      </c>
      <c r="F585" s="106" t="str">
        <f t="shared" si="64"/>
        <v/>
      </c>
      <c r="G585" s="86"/>
      <c r="H585" s="107">
        <f t="shared" si="66"/>
        <v>0</v>
      </c>
      <c r="I585" s="107">
        <f t="shared" si="67"/>
        <v>0</v>
      </c>
      <c r="J585" s="87">
        <f>IF($D585&gt;0,IFERROR(Параметры!$D$42*$H585/$H$2408,0),0)</f>
        <v>0</v>
      </c>
      <c r="K585" s="87">
        <f>IFERROR(ROUND($N585*Параметры!$D$36,2),0)</f>
        <v>0</v>
      </c>
      <c r="L585" s="87">
        <f t="shared" si="68"/>
        <v>0</v>
      </c>
      <c r="M585" s="87">
        <f t="shared" si="69"/>
        <v>0</v>
      </c>
      <c r="N585" s="107" t="str">
        <f t="shared" si="70"/>
        <v/>
      </c>
    </row>
    <row r="586" spans="2:14" x14ac:dyDescent="0.25">
      <c r="B586" s="82">
        <f>SUBTOTAL(103,$D$8:D586)</f>
        <v>579</v>
      </c>
      <c r="C586" s="83" t="s">
        <v>594</v>
      </c>
      <c r="D586" s="84">
        <v>0</v>
      </c>
      <c r="E586" s="85" t="str">
        <f t="shared" si="65"/>
        <v/>
      </c>
      <c r="F586" s="106" t="str">
        <f t="shared" si="64"/>
        <v/>
      </c>
      <c r="G586" s="86"/>
      <c r="H586" s="107">
        <f t="shared" si="66"/>
        <v>0</v>
      </c>
      <c r="I586" s="107">
        <f t="shared" si="67"/>
        <v>0</v>
      </c>
      <c r="J586" s="87">
        <f>IF($D586&gt;0,IFERROR(Параметры!$D$42*$H586/$H$2408,0),0)</f>
        <v>0</v>
      </c>
      <c r="K586" s="87">
        <f>IFERROR(ROUND($N586*Параметры!$D$36,2),0)</f>
        <v>0</v>
      </c>
      <c r="L586" s="87">
        <f t="shared" si="68"/>
        <v>0</v>
      </c>
      <c r="M586" s="87">
        <f t="shared" si="69"/>
        <v>0</v>
      </c>
      <c r="N586" s="107" t="str">
        <f t="shared" si="70"/>
        <v/>
      </c>
    </row>
    <row r="587" spans="2:14" x14ac:dyDescent="0.25">
      <c r="B587" s="82">
        <f>SUBTOTAL(103,$D$8:D587)</f>
        <v>580</v>
      </c>
      <c r="C587" s="83" t="s">
        <v>595</v>
      </c>
      <c r="D587" s="84">
        <v>0</v>
      </c>
      <c r="E587" s="85" t="str">
        <f t="shared" si="65"/>
        <v/>
      </c>
      <c r="F587" s="106" t="str">
        <f t="shared" ref="F587:F650" si="71">IF(D587&gt;0,2,"")</f>
        <v/>
      </c>
      <c r="G587" s="86"/>
      <c r="H587" s="107">
        <f t="shared" si="66"/>
        <v>0</v>
      </c>
      <c r="I587" s="107">
        <f t="shared" si="67"/>
        <v>0</v>
      </c>
      <c r="J587" s="87">
        <f>IF($D587&gt;0,IFERROR(Параметры!$D$42*$H587/$H$2408,0),0)</f>
        <v>0</v>
      </c>
      <c r="K587" s="87">
        <f>IFERROR(ROUND($N587*Параметры!$D$36,2),0)</f>
        <v>0</v>
      </c>
      <c r="L587" s="87">
        <f t="shared" si="68"/>
        <v>0</v>
      </c>
      <c r="M587" s="87">
        <f t="shared" si="69"/>
        <v>0</v>
      </c>
      <c r="N587" s="107" t="str">
        <f t="shared" si="70"/>
        <v/>
      </c>
    </row>
    <row r="588" spans="2:14" x14ac:dyDescent="0.25">
      <c r="B588" s="82">
        <f>SUBTOTAL(103,$D$8:D588)</f>
        <v>581</v>
      </c>
      <c r="C588" s="83" t="s">
        <v>596</v>
      </c>
      <c r="D588" s="84">
        <v>0</v>
      </c>
      <c r="E588" s="85" t="str">
        <f t="shared" si="65"/>
        <v/>
      </c>
      <c r="F588" s="106" t="str">
        <f t="shared" si="71"/>
        <v/>
      </c>
      <c r="G588" s="86"/>
      <c r="H588" s="107">
        <f t="shared" si="66"/>
        <v>0</v>
      </c>
      <c r="I588" s="107">
        <f t="shared" si="67"/>
        <v>0</v>
      </c>
      <c r="J588" s="87">
        <f>IF($D588&gt;0,IFERROR(Параметры!$D$42*$H588/$H$2408,0),0)</f>
        <v>0</v>
      </c>
      <c r="K588" s="87">
        <f>IFERROR(ROUND($N588*Параметры!$D$36,2),0)</f>
        <v>0</v>
      </c>
      <c r="L588" s="87">
        <f t="shared" si="68"/>
        <v>0</v>
      </c>
      <c r="M588" s="87">
        <f t="shared" si="69"/>
        <v>0</v>
      </c>
      <c r="N588" s="107" t="str">
        <f t="shared" si="70"/>
        <v/>
      </c>
    </row>
    <row r="589" spans="2:14" x14ac:dyDescent="0.25">
      <c r="B589" s="82">
        <f>SUBTOTAL(103,$D$8:D589)</f>
        <v>582</v>
      </c>
      <c r="C589" s="83" t="s">
        <v>597</v>
      </c>
      <c r="D589" s="84">
        <v>0</v>
      </c>
      <c r="E589" s="85" t="str">
        <f t="shared" si="65"/>
        <v/>
      </c>
      <c r="F589" s="106" t="str">
        <f t="shared" si="71"/>
        <v/>
      </c>
      <c r="G589" s="86"/>
      <c r="H589" s="107">
        <f t="shared" si="66"/>
        <v>0</v>
      </c>
      <c r="I589" s="107">
        <f t="shared" si="67"/>
        <v>0</v>
      </c>
      <c r="J589" s="87">
        <f>IF($D589&gt;0,IFERROR(Параметры!$D$42*$H589/$H$2408,0),0)</f>
        <v>0</v>
      </c>
      <c r="K589" s="87">
        <f>IFERROR(ROUND($N589*Параметры!$D$36,2),0)</f>
        <v>0</v>
      </c>
      <c r="L589" s="87">
        <f t="shared" si="68"/>
        <v>0</v>
      </c>
      <c r="M589" s="87">
        <f t="shared" si="69"/>
        <v>0</v>
      </c>
      <c r="N589" s="107" t="str">
        <f t="shared" si="70"/>
        <v/>
      </c>
    </row>
    <row r="590" spans="2:14" x14ac:dyDescent="0.25">
      <c r="B590" s="82">
        <f>SUBTOTAL(103,$D$8:D590)</f>
        <v>583</v>
      </c>
      <c r="C590" s="83" t="s">
        <v>598</v>
      </c>
      <c r="D590" s="84">
        <v>0</v>
      </c>
      <c r="E590" s="85" t="str">
        <f t="shared" si="65"/>
        <v/>
      </c>
      <c r="F590" s="106" t="str">
        <f t="shared" si="71"/>
        <v/>
      </c>
      <c r="G590" s="86"/>
      <c r="H590" s="107">
        <f t="shared" si="66"/>
        <v>0</v>
      </c>
      <c r="I590" s="107">
        <f t="shared" si="67"/>
        <v>0</v>
      </c>
      <c r="J590" s="87">
        <f>IF($D590&gt;0,IFERROR(Параметры!$D$42*$H590/$H$2408,0),0)</f>
        <v>0</v>
      </c>
      <c r="K590" s="87">
        <f>IFERROR(ROUND($N590*Параметры!$D$36,2),0)</f>
        <v>0</v>
      </c>
      <c r="L590" s="87">
        <f t="shared" si="68"/>
        <v>0</v>
      </c>
      <c r="M590" s="87">
        <f t="shared" si="69"/>
        <v>0</v>
      </c>
      <c r="N590" s="107" t="str">
        <f t="shared" si="70"/>
        <v/>
      </c>
    </row>
    <row r="591" spans="2:14" x14ac:dyDescent="0.25">
      <c r="B591" s="82">
        <f>SUBTOTAL(103,$D$8:D591)</f>
        <v>584</v>
      </c>
      <c r="C591" s="83" t="s">
        <v>599</v>
      </c>
      <c r="D591" s="84">
        <v>0</v>
      </c>
      <c r="E591" s="85" t="str">
        <f t="shared" si="65"/>
        <v/>
      </c>
      <c r="F591" s="106" t="str">
        <f t="shared" si="71"/>
        <v/>
      </c>
      <c r="G591" s="86"/>
      <c r="H591" s="107">
        <f t="shared" si="66"/>
        <v>0</v>
      </c>
      <c r="I591" s="107">
        <f t="shared" si="67"/>
        <v>0</v>
      </c>
      <c r="J591" s="87">
        <f>IF($D591&gt;0,IFERROR(Параметры!$D$42*$H591/$H$2408,0),0)</f>
        <v>0</v>
      </c>
      <c r="K591" s="87">
        <f>IFERROR(ROUND($N591*Параметры!$D$36,2),0)</f>
        <v>0</v>
      </c>
      <c r="L591" s="87">
        <f t="shared" si="68"/>
        <v>0</v>
      </c>
      <c r="M591" s="87">
        <f t="shared" si="69"/>
        <v>0</v>
      </c>
      <c r="N591" s="107" t="str">
        <f t="shared" si="70"/>
        <v/>
      </c>
    </row>
    <row r="592" spans="2:14" x14ac:dyDescent="0.25">
      <c r="B592" s="82">
        <f>SUBTOTAL(103,$D$8:D592)</f>
        <v>585</v>
      </c>
      <c r="C592" s="83" t="s">
        <v>600</v>
      </c>
      <c r="D592" s="84">
        <v>0</v>
      </c>
      <c r="E592" s="85" t="str">
        <f t="shared" si="65"/>
        <v/>
      </c>
      <c r="F592" s="106" t="str">
        <f t="shared" si="71"/>
        <v/>
      </c>
      <c r="G592" s="86"/>
      <c r="H592" s="107">
        <f t="shared" si="66"/>
        <v>0</v>
      </c>
      <c r="I592" s="107">
        <f t="shared" si="67"/>
        <v>0</v>
      </c>
      <c r="J592" s="87">
        <f>IF($D592&gt;0,IFERROR(Параметры!$D$42*$H592/$H$2408,0),0)</f>
        <v>0</v>
      </c>
      <c r="K592" s="87">
        <f>IFERROR(ROUND($N592*Параметры!$D$36,2),0)</f>
        <v>0</v>
      </c>
      <c r="L592" s="87">
        <f t="shared" si="68"/>
        <v>0</v>
      </c>
      <c r="M592" s="87">
        <f t="shared" si="69"/>
        <v>0</v>
      </c>
      <c r="N592" s="107" t="str">
        <f t="shared" si="70"/>
        <v/>
      </c>
    </row>
    <row r="593" spans="2:14" x14ac:dyDescent="0.25">
      <c r="B593" s="82">
        <f>SUBTOTAL(103,$D$8:D593)</f>
        <v>586</v>
      </c>
      <c r="C593" s="83" t="s">
        <v>601</v>
      </c>
      <c r="D593" s="84">
        <v>0</v>
      </c>
      <c r="E593" s="85" t="str">
        <f t="shared" si="65"/>
        <v/>
      </c>
      <c r="F593" s="106" t="str">
        <f t="shared" si="71"/>
        <v/>
      </c>
      <c r="G593" s="86"/>
      <c r="H593" s="107">
        <f t="shared" si="66"/>
        <v>0</v>
      </c>
      <c r="I593" s="107">
        <f t="shared" si="67"/>
        <v>0</v>
      </c>
      <c r="J593" s="87">
        <f>IF($D593&gt;0,IFERROR(Параметры!$D$42*$H593/$H$2408,0),0)</f>
        <v>0</v>
      </c>
      <c r="K593" s="87">
        <f>IFERROR(ROUND($N593*Параметры!$D$36,2),0)</f>
        <v>0</v>
      </c>
      <c r="L593" s="87">
        <f t="shared" si="68"/>
        <v>0</v>
      </c>
      <c r="M593" s="87">
        <f t="shared" si="69"/>
        <v>0</v>
      </c>
      <c r="N593" s="107" t="str">
        <f t="shared" si="70"/>
        <v/>
      </c>
    </row>
    <row r="594" spans="2:14" x14ac:dyDescent="0.25">
      <c r="B594" s="82">
        <f>SUBTOTAL(103,$D$8:D594)</f>
        <v>587</v>
      </c>
      <c r="C594" s="83" t="s">
        <v>602</v>
      </c>
      <c r="D594" s="84">
        <v>0</v>
      </c>
      <c r="E594" s="85" t="str">
        <f t="shared" si="65"/>
        <v/>
      </c>
      <c r="F594" s="106" t="str">
        <f t="shared" si="71"/>
        <v/>
      </c>
      <c r="G594" s="86"/>
      <c r="H594" s="107">
        <f t="shared" si="66"/>
        <v>0</v>
      </c>
      <c r="I594" s="107">
        <f t="shared" si="67"/>
        <v>0</v>
      </c>
      <c r="J594" s="87">
        <f>IF($D594&gt;0,IFERROR(Параметры!$D$42*$H594/$H$2408,0),0)</f>
        <v>0</v>
      </c>
      <c r="K594" s="87">
        <f>IFERROR(ROUND($N594*Параметры!$D$36,2),0)</f>
        <v>0</v>
      </c>
      <c r="L594" s="87">
        <f t="shared" si="68"/>
        <v>0</v>
      </c>
      <c r="M594" s="87">
        <f t="shared" si="69"/>
        <v>0</v>
      </c>
      <c r="N594" s="107" t="str">
        <f t="shared" si="70"/>
        <v/>
      </c>
    </row>
    <row r="595" spans="2:14" x14ac:dyDescent="0.25">
      <c r="B595" s="82">
        <f>SUBTOTAL(103,$D$8:D595)</f>
        <v>588</v>
      </c>
      <c r="C595" s="83" t="s">
        <v>603</v>
      </c>
      <c r="D595" s="84">
        <v>0</v>
      </c>
      <c r="E595" s="85" t="str">
        <f t="shared" si="65"/>
        <v/>
      </c>
      <c r="F595" s="106" t="str">
        <f t="shared" si="71"/>
        <v/>
      </c>
      <c r="G595" s="86"/>
      <c r="H595" s="107">
        <f t="shared" si="66"/>
        <v>0</v>
      </c>
      <c r="I595" s="107">
        <f t="shared" si="67"/>
        <v>0</v>
      </c>
      <c r="J595" s="87">
        <f>IF($D595&gt;0,IFERROR(Параметры!$D$42*$H595/$H$2408,0),0)</f>
        <v>0</v>
      </c>
      <c r="K595" s="87">
        <f>IFERROR(ROUND($N595*Параметры!$D$36,2),0)</f>
        <v>0</v>
      </c>
      <c r="L595" s="87">
        <f t="shared" si="68"/>
        <v>0</v>
      </c>
      <c r="M595" s="87">
        <f t="shared" si="69"/>
        <v>0</v>
      </c>
      <c r="N595" s="107" t="str">
        <f t="shared" si="70"/>
        <v/>
      </c>
    </row>
    <row r="596" spans="2:14" x14ac:dyDescent="0.25">
      <c r="B596" s="82">
        <f>SUBTOTAL(103,$D$8:D596)</f>
        <v>589</v>
      </c>
      <c r="C596" s="83" t="s">
        <v>604</v>
      </c>
      <c r="D596" s="84">
        <v>0</v>
      </c>
      <c r="E596" s="85" t="str">
        <f t="shared" si="65"/>
        <v/>
      </c>
      <c r="F596" s="106" t="str">
        <f t="shared" si="71"/>
        <v/>
      </c>
      <c r="G596" s="86"/>
      <c r="H596" s="107">
        <f t="shared" si="66"/>
        <v>0</v>
      </c>
      <c r="I596" s="107">
        <f t="shared" si="67"/>
        <v>0</v>
      </c>
      <c r="J596" s="87">
        <f>IF($D596&gt;0,IFERROR(Параметры!$D$42*$H596/$H$2408,0),0)</f>
        <v>0</v>
      </c>
      <c r="K596" s="87">
        <f>IFERROR(ROUND($N596*Параметры!$D$36,2),0)</f>
        <v>0</v>
      </c>
      <c r="L596" s="87">
        <f t="shared" si="68"/>
        <v>0</v>
      </c>
      <c r="M596" s="87">
        <f t="shared" si="69"/>
        <v>0</v>
      </c>
      <c r="N596" s="107" t="str">
        <f t="shared" si="70"/>
        <v/>
      </c>
    </row>
    <row r="597" spans="2:14" x14ac:dyDescent="0.25">
      <c r="B597" s="82">
        <f>SUBTOTAL(103,$D$8:D597)</f>
        <v>590</v>
      </c>
      <c r="C597" s="83" t="s">
        <v>605</v>
      </c>
      <c r="D597" s="84">
        <v>0</v>
      </c>
      <c r="E597" s="85" t="str">
        <f t="shared" si="65"/>
        <v/>
      </c>
      <c r="F597" s="106" t="str">
        <f t="shared" si="71"/>
        <v/>
      </c>
      <c r="G597" s="86"/>
      <c r="H597" s="107">
        <f t="shared" si="66"/>
        <v>0</v>
      </c>
      <c r="I597" s="107">
        <f t="shared" si="67"/>
        <v>0</v>
      </c>
      <c r="J597" s="87">
        <f>IF($D597&gt;0,IFERROR(Параметры!$D$42*$H597/$H$2408,0),0)</f>
        <v>0</v>
      </c>
      <c r="K597" s="87">
        <f>IFERROR(ROUND($N597*Параметры!$D$36,2),0)</f>
        <v>0</v>
      </c>
      <c r="L597" s="87">
        <f t="shared" si="68"/>
        <v>0</v>
      </c>
      <c r="M597" s="87">
        <f t="shared" si="69"/>
        <v>0</v>
      </c>
      <c r="N597" s="107" t="str">
        <f t="shared" si="70"/>
        <v/>
      </c>
    </row>
    <row r="598" spans="2:14" x14ac:dyDescent="0.25">
      <c r="B598" s="82">
        <f>SUBTOTAL(103,$D$8:D598)</f>
        <v>591</v>
      </c>
      <c r="C598" s="83" t="s">
        <v>606</v>
      </c>
      <c r="D598" s="84">
        <v>0</v>
      </c>
      <c r="E598" s="85" t="str">
        <f t="shared" si="65"/>
        <v/>
      </c>
      <c r="F598" s="106" t="str">
        <f t="shared" si="71"/>
        <v/>
      </c>
      <c r="G598" s="86"/>
      <c r="H598" s="107">
        <f t="shared" si="66"/>
        <v>0</v>
      </c>
      <c r="I598" s="107">
        <f t="shared" si="67"/>
        <v>0</v>
      </c>
      <c r="J598" s="87">
        <f>IF($D598&gt;0,IFERROR(Параметры!$D$42*$H598/$H$2408,0),0)</f>
        <v>0</v>
      </c>
      <c r="K598" s="87">
        <f>IFERROR(ROUND($N598*Параметры!$D$36,2),0)</f>
        <v>0</v>
      </c>
      <c r="L598" s="87">
        <f t="shared" si="68"/>
        <v>0</v>
      </c>
      <c r="M598" s="87">
        <f t="shared" si="69"/>
        <v>0</v>
      </c>
      <c r="N598" s="107" t="str">
        <f t="shared" si="70"/>
        <v/>
      </c>
    </row>
    <row r="599" spans="2:14" x14ac:dyDescent="0.25">
      <c r="B599" s="82">
        <f>SUBTOTAL(103,$D$8:D599)</f>
        <v>592</v>
      </c>
      <c r="C599" s="83" t="s">
        <v>607</v>
      </c>
      <c r="D599" s="84">
        <v>0</v>
      </c>
      <c r="E599" s="85" t="str">
        <f t="shared" si="65"/>
        <v/>
      </c>
      <c r="F599" s="106" t="str">
        <f t="shared" si="71"/>
        <v/>
      </c>
      <c r="G599" s="86"/>
      <c r="H599" s="107">
        <f t="shared" si="66"/>
        <v>0</v>
      </c>
      <c r="I599" s="107">
        <f t="shared" si="67"/>
        <v>0</v>
      </c>
      <c r="J599" s="87">
        <f>IF($D599&gt;0,IFERROR(Параметры!$D$42*$H599/$H$2408,0),0)</f>
        <v>0</v>
      </c>
      <c r="K599" s="87">
        <f>IFERROR(ROUND($N599*Параметры!$D$36,2),0)</f>
        <v>0</v>
      </c>
      <c r="L599" s="87">
        <f t="shared" si="68"/>
        <v>0</v>
      </c>
      <c r="M599" s="87">
        <f t="shared" si="69"/>
        <v>0</v>
      </c>
      <c r="N599" s="107" t="str">
        <f t="shared" si="70"/>
        <v/>
      </c>
    </row>
    <row r="600" spans="2:14" x14ac:dyDescent="0.25">
      <c r="B600" s="82">
        <f>SUBTOTAL(103,$D$8:D600)</f>
        <v>593</v>
      </c>
      <c r="C600" s="83" t="s">
        <v>608</v>
      </c>
      <c r="D600" s="84">
        <v>0</v>
      </c>
      <c r="E600" s="85" t="str">
        <f t="shared" si="65"/>
        <v/>
      </c>
      <c r="F600" s="106" t="str">
        <f t="shared" si="71"/>
        <v/>
      </c>
      <c r="G600" s="86"/>
      <c r="H600" s="107">
        <f t="shared" si="66"/>
        <v>0</v>
      </c>
      <c r="I600" s="107">
        <f t="shared" si="67"/>
        <v>0</v>
      </c>
      <c r="J600" s="87">
        <f>IF($D600&gt;0,IFERROR(Параметры!$D$42*$H600/$H$2408,0),0)</f>
        <v>0</v>
      </c>
      <c r="K600" s="87">
        <f>IFERROR(ROUND($N600*Параметры!$D$36,2),0)</f>
        <v>0</v>
      </c>
      <c r="L600" s="87">
        <f t="shared" si="68"/>
        <v>0</v>
      </c>
      <c r="M600" s="87">
        <f t="shared" si="69"/>
        <v>0</v>
      </c>
      <c r="N600" s="107" t="str">
        <f t="shared" si="70"/>
        <v/>
      </c>
    </row>
    <row r="601" spans="2:14" x14ac:dyDescent="0.25">
      <c r="B601" s="82">
        <f>SUBTOTAL(103,$D$8:D601)</f>
        <v>594</v>
      </c>
      <c r="C601" s="83" t="s">
        <v>609</v>
      </c>
      <c r="D601" s="84">
        <v>0</v>
      </c>
      <c r="E601" s="85" t="str">
        <f t="shared" si="65"/>
        <v/>
      </c>
      <c r="F601" s="106" t="str">
        <f t="shared" si="71"/>
        <v/>
      </c>
      <c r="G601" s="86"/>
      <c r="H601" s="107">
        <f t="shared" si="66"/>
        <v>0</v>
      </c>
      <c r="I601" s="107">
        <f t="shared" si="67"/>
        <v>0</v>
      </c>
      <c r="J601" s="87">
        <f>IF($D601&gt;0,IFERROR(Параметры!$D$42*$H601/$H$2408,0),0)</f>
        <v>0</v>
      </c>
      <c r="K601" s="87">
        <f>IFERROR(ROUND($N601*Параметры!$D$36,2),0)</f>
        <v>0</v>
      </c>
      <c r="L601" s="87">
        <f t="shared" si="68"/>
        <v>0</v>
      </c>
      <c r="M601" s="87">
        <f t="shared" si="69"/>
        <v>0</v>
      </c>
      <c r="N601" s="107" t="str">
        <f t="shared" si="70"/>
        <v/>
      </c>
    </row>
    <row r="602" spans="2:14" x14ac:dyDescent="0.25">
      <c r="B602" s="82">
        <f>SUBTOTAL(103,$D$8:D602)</f>
        <v>595</v>
      </c>
      <c r="C602" s="83" t="s">
        <v>610</v>
      </c>
      <c r="D602" s="84">
        <v>0</v>
      </c>
      <c r="E602" s="85" t="str">
        <f t="shared" si="65"/>
        <v/>
      </c>
      <c r="F602" s="106" t="str">
        <f t="shared" si="71"/>
        <v/>
      </c>
      <c r="G602" s="86"/>
      <c r="H602" s="107">
        <f t="shared" si="66"/>
        <v>0</v>
      </c>
      <c r="I602" s="107">
        <f t="shared" si="67"/>
        <v>0</v>
      </c>
      <c r="J602" s="87">
        <f>IF($D602&gt;0,IFERROR(Параметры!$D$42*$H602/$H$2408,0),0)</f>
        <v>0</v>
      </c>
      <c r="K602" s="87">
        <f>IFERROR(ROUND($N602*Параметры!$D$36,2),0)</f>
        <v>0</v>
      </c>
      <c r="L602" s="87">
        <f t="shared" si="68"/>
        <v>0</v>
      </c>
      <c r="M602" s="87">
        <f t="shared" si="69"/>
        <v>0</v>
      </c>
      <c r="N602" s="107" t="str">
        <f t="shared" si="70"/>
        <v/>
      </c>
    </row>
    <row r="603" spans="2:14" x14ac:dyDescent="0.25">
      <c r="B603" s="82">
        <f>SUBTOTAL(103,$D$8:D603)</f>
        <v>596</v>
      </c>
      <c r="C603" s="83" t="s">
        <v>611</v>
      </c>
      <c r="D603" s="84">
        <v>0</v>
      </c>
      <c r="E603" s="85" t="str">
        <f t="shared" si="65"/>
        <v/>
      </c>
      <c r="F603" s="106" t="str">
        <f t="shared" si="71"/>
        <v/>
      </c>
      <c r="G603" s="86"/>
      <c r="H603" s="107">
        <f t="shared" si="66"/>
        <v>0</v>
      </c>
      <c r="I603" s="107">
        <f t="shared" si="67"/>
        <v>0</v>
      </c>
      <c r="J603" s="87">
        <f>IF($D603&gt;0,IFERROR(Параметры!$D$42*$H603/$H$2408,0),0)</f>
        <v>0</v>
      </c>
      <c r="K603" s="87">
        <f>IFERROR(ROUND($N603*Параметры!$D$36,2),0)</f>
        <v>0</v>
      </c>
      <c r="L603" s="87">
        <f t="shared" si="68"/>
        <v>0</v>
      </c>
      <c r="M603" s="87">
        <f t="shared" si="69"/>
        <v>0</v>
      </c>
      <c r="N603" s="107" t="str">
        <f t="shared" si="70"/>
        <v/>
      </c>
    </row>
    <row r="604" spans="2:14" x14ac:dyDescent="0.25">
      <c r="B604" s="82">
        <f>SUBTOTAL(103,$D$8:D604)</f>
        <v>597</v>
      </c>
      <c r="C604" s="83" t="s">
        <v>612</v>
      </c>
      <c r="D604" s="84">
        <v>0</v>
      </c>
      <c r="E604" s="85" t="str">
        <f t="shared" si="65"/>
        <v/>
      </c>
      <c r="F604" s="106" t="str">
        <f t="shared" si="71"/>
        <v/>
      </c>
      <c r="G604" s="86"/>
      <c r="H604" s="107">
        <f t="shared" si="66"/>
        <v>0</v>
      </c>
      <c r="I604" s="107">
        <f t="shared" si="67"/>
        <v>0</v>
      </c>
      <c r="J604" s="87">
        <f>IF($D604&gt;0,IFERROR(Параметры!$D$42*$H604/$H$2408,0),0)</f>
        <v>0</v>
      </c>
      <c r="K604" s="87">
        <f>IFERROR(ROUND($N604*Параметры!$D$36,2),0)</f>
        <v>0</v>
      </c>
      <c r="L604" s="87">
        <f t="shared" si="68"/>
        <v>0</v>
      </c>
      <c r="M604" s="87">
        <f t="shared" si="69"/>
        <v>0</v>
      </c>
      <c r="N604" s="107" t="str">
        <f t="shared" si="70"/>
        <v/>
      </c>
    </row>
    <row r="605" spans="2:14" x14ac:dyDescent="0.25">
      <c r="B605" s="82">
        <f>SUBTOTAL(103,$D$8:D605)</f>
        <v>598</v>
      </c>
      <c r="C605" s="83" t="s">
        <v>613</v>
      </c>
      <c r="D605" s="84">
        <v>0</v>
      </c>
      <c r="E605" s="85" t="str">
        <f t="shared" si="65"/>
        <v/>
      </c>
      <c r="F605" s="106" t="str">
        <f t="shared" si="71"/>
        <v/>
      </c>
      <c r="G605" s="86"/>
      <c r="H605" s="107">
        <f t="shared" si="66"/>
        <v>0</v>
      </c>
      <c r="I605" s="107">
        <f t="shared" si="67"/>
        <v>0</v>
      </c>
      <c r="J605" s="87">
        <f>IF($D605&gt;0,IFERROR(Параметры!$D$42*$H605/$H$2408,0),0)</f>
        <v>0</v>
      </c>
      <c r="K605" s="87">
        <f>IFERROR(ROUND($N605*Параметры!$D$36,2),0)</f>
        <v>0</v>
      </c>
      <c r="L605" s="87">
        <f t="shared" si="68"/>
        <v>0</v>
      </c>
      <c r="M605" s="87">
        <f t="shared" si="69"/>
        <v>0</v>
      </c>
      <c r="N605" s="107" t="str">
        <f t="shared" si="70"/>
        <v/>
      </c>
    </row>
    <row r="606" spans="2:14" x14ac:dyDescent="0.25">
      <c r="B606" s="82">
        <f>SUBTOTAL(103,$D$8:D606)</f>
        <v>599</v>
      </c>
      <c r="C606" s="83" t="s">
        <v>614</v>
      </c>
      <c r="D606" s="84">
        <v>0</v>
      </c>
      <c r="E606" s="85" t="str">
        <f t="shared" si="65"/>
        <v/>
      </c>
      <c r="F606" s="106" t="str">
        <f t="shared" si="71"/>
        <v/>
      </c>
      <c r="G606" s="86"/>
      <c r="H606" s="107">
        <f t="shared" si="66"/>
        <v>0</v>
      </c>
      <c r="I606" s="107">
        <f t="shared" si="67"/>
        <v>0</v>
      </c>
      <c r="J606" s="87">
        <f>IF($D606&gt;0,IFERROR(Параметры!$D$42*$H606/$H$2408,0),0)</f>
        <v>0</v>
      </c>
      <c r="K606" s="87">
        <f>IFERROR(ROUND($N606*Параметры!$D$36,2),0)</f>
        <v>0</v>
      </c>
      <c r="L606" s="87">
        <f t="shared" si="68"/>
        <v>0</v>
      </c>
      <c r="M606" s="87">
        <f t="shared" si="69"/>
        <v>0</v>
      </c>
      <c r="N606" s="107" t="str">
        <f t="shared" si="70"/>
        <v/>
      </c>
    </row>
    <row r="607" spans="2:14" x14ac:dyDescent="0.25">
      <c r="B607" s="82">
        <f>SUBTOTAL(103,$D$8:D607)</f>
        <v>600</v>
      </c>
      <c r="C607" s="83" t="s">
        <v>615</v>
      </c>
      <c r="D607" s="84">
        <v>0</v>
      </c>
      <c r="E607" s="85" t="str">
        <f t="shared" si="65"/>
        <v/>
      </c>
      <c r="F607" s="106" t="str">
        <f t="shared" si="71"/>
        <v/>
      </c>
      <c r="G607" s="86"/>
      <c r="H607" s="107">
        <f t="shared" si="66"/>
        <v>0</v>
      </c>
      <c r="I607" s="107">
        <f t="shared" si="67"/>
        <v>0</v>
      </c>
      <c r="J607" s="87">
        <f>IF($D607&gt;0,IFERROR(Параметры!$D$42*$H607/$H$2408,0),0)</f>
        <v>0</v>
      </c>
      <c r="K607" s="87">
        <f>IFERROR(ROUND($N607*Параметры!$D$36,2),0)</f>
        <v>0</v>
      </c>
      <c r="L607" s="87">
        <f t="shared" si="68"/>
        <v>0</v>
      </c>
      <c r="M607" s="87">
        <f t="shared" si="69"/>
        <v>0</v>
      </c>
      <c r="N607" s="107" t="str">
        <f t="shared" si="70"/>
        <v/>
      </c>
    </row>
    <row r="608" spans="2:14" x14ac:dyDescent="0.25">
      <c r="B608" s="82">
        <f>SUBTOTAL(103,$D$8:D608)</f>
        <v>601</v>
      </c>
      <c r="C608" s="83" t="s">
        <v>616</v>
      </c>
      <c r="D608" s="84">
        <f t="array" ref="D608:D667">TRANSPOSE('Зарядная карта'!$C$15:$BJ$15)</f>
        <v>4</v>
      </c>
      <c r="E608" s="85">
        <f t="shared" si="65"/>
        <v>62.814700000000002</v>
      </c>
      <c r="F608" s="106">
        <f t="shared" si="71"/>
        <v>2</v>
      </c>
      <c r="G608" s="86"/>
      <c r="H608" s="107">
        <f t="shared" si="66"/>
        <v>3.44</v>
      </c>
      <c r="I608" s="107">
        <f t="shared" si="67"/>
        <v>0.56000000000000005</v>
      </c>
      <c r="J608" s="87">
        <f>IF($D608&gt;0,IFERROR(Параметры!$D$42*$H608/$H$2408,0),0)</f>
        <v>60.103959390862947</v>
      </c>
      <c r="K608" s="87">
        <f>IFERROR(ROUND($N608*Параметры!$D$36,2),0)</f>
        <v>59.54</v>
      </c>
      <c r="L608" s="87">
        <f t="shared" si="68"/>
        <v>3.2747000000000002</v>
      </c>
      <c r="M608" s="87">
        <f t="shared" si="69"/>
        <v>3.8420790191534921</v>
      </c>
      <c r="N608" s="107">
        <f t="shared" si="70"/>
        <v>2</v>
      </c>
    </row>
    <row r="609" spans="2:14" x14ac:dyDescent="0.25">
      <c r="B609" s="82">
        <f>SUBTOTAL(103,$D$8:D609)</f>
        <v>602</v>
      </c>
      <c r="C609" s="83" t="s">
        <v>617</v>
      </c>
      <c r="D609" s="84">
        <v>8</v>
      </c>
      <c r="E609" s="85">
        <f t="shared" si="65"/>
        <v>188.44409999999999</v>
      </c>
      <c r="F609" s="106">
        <f t="shared" si="71"/>
        <v>2</v>
      </c>
      <c r="G609" s="86"/>
      <c r="H609" s="107">
        <f t="shared" si="66"/>
        <v>6.88</v>
      </c>
      <c r="I609" s="107">
        <f t="shared" si="67"/>
        <v>1.1200000000000001</v>
      </c>
      <c r="J609" s="87">
        <f>IF($D609&gt;0,IFERROR(Параметры!$D$42*$H609/$H$2408,0),0)</f>
        <v>120.20791878172589</v>
      </c>
      <c r="K609" s="87">
        <f>IFERROR(ROUND($N609*Параметры!$D$36,2),0)</f>
        <v>178.62</v>
      </c>
      <c r="L609" s="87">
        <f t="shared" si="68"/>
        <v>9.8240999999999996</v>
      </c>
      <c r="M609" s="87">
        <f t="shared" si="69"/>
        <v>11.526237057460476</v>
      </c>
      <c r="N609" s="107">
        <f t="shared" si="70"/>
        <v>6</v>
      </c>
    </row>
    <row r="610" spans="2:14" x14ac:dyDescent="0.25">
      <c r="B610" s="82">
        <f>SUBTOTAL(103,$D$8:D610)</f>
        <v>603</v>
      </c>
      <c r="C610" s="83" t="s">
        <v>618</v>
      </c>
      <c r="D610" s="84">
        <v>8</v>
      </c>
      <c r="E610" s="85">
        <f t="shared" si="65"/>
        <v>188.44409999999999</v>
      </c>
      <c r="F610" s="106">
        <f t="shared" si="71"/>
        <v>2</v>
      </c>
      <c r="G610" s="86"/>
      <c r="H610" s="107">
        <f t="shared" si="66"/>
        <v>6.88</v>
      </c>
      <c r="I610" s="107">
        <f t="shared" si="67"/>
        <v>1.1200000000000001</v>
      </c>
      <c r="J610" s="87">
        <f>IF($D610&gt;0,IFERROR(Параметры!$D$42*$H610/$H$2408,0),0)</f>
        <v>120.20791878172589</v>
      </c>
      <c r="K610" s="87">
        <f>IFERROR(ROUND($N610*Параметры!$D$36,2),0)</f>
        <v>178.62</v>
      </c>
      <c r="L610" s="87">
        <f t="shared" si="68"/>
        <v>9.8240999999999996</v>
      </c>
      <c r="M610" s="87">
        <f t="shared" si="69"/>
        <v>11.526237057460476</v>
      </c>
      <c r="N610" s="107">
        <f t="shared" si="70"/>
        <v>6</v>
      </c>
    </row>
    <row r="611" spans="2:14" x14ac:dyDescent="0.25">
      <c r="B611" s="82">
        <f>SUBTOTAL(103,$D$8:D611)</f>
        <v>604</v>
      </c>
      <c r="C611" s="83" t="s">
        <v>619</v>
      </c>
      <c r="D611" s="84">
        <v>8</v>
      </c>
      <c r="E611" s="85">
        <f t="shared" si="65"/>
        <v>188.44409999999999</v>
      </c>
      <c r="F611" s="106">
        <f t="shared" si="71"/>
        <v>2</v>
      </c>
      <c r="G611" s="86"/>
      <c r="H611" s="107">
        <f t="shared" si="66"/>
        <v>6.88</v>
      </c>
      <c r="I611" s="107">
        <f t="shared" si="67"/>
        <v>1.1200000000000001</v>
      </c>
      <c r="J611" s="87">
        <f>IF($D611&gt;0,IFERROR(Параметры!$D$42*$H611/$H$2408,0),0)</f>
        <v>120.20791878172589</v>
      </c>
      <c r="K611" s="87">
        <f>IFERROR(ROUND($N611*Параметры!$D$36,2),0)</f>
        <v>178.62</v>
      </c>
      <c r="L611" s="87">
        <f t="shared" si="68"/>
        <v>9.8240999999999996</v>
      </c>
      <c r="M611" s="87">
        <f t="shared" si="69"/>
        <v>11.526237057460476</v>
      </c>
      <c r="N611" s="107">
        <f t="shared" si="70"/>
        <v>6</v>
      </c>
    </row>
    <row r="612" spans="2:14" x14ac:dyDescent="0.25">
      <c r="B612" s="82">
        <f>SUBTOTAL(103,$D$8:D612)</f>
        <v>605</v>
      </c>
      <c r="C612" s="83" t="s">
        <v>620</v>
      </c>
      <c r="D612" s="84">
        <v>8</v>
      </c>
      <c r="E612" s="85">
        <f t="shared" si="65"/>
        <v>188.44409999999999</v>
      </c>
      <c r="F612" s="106">
        <f t="shared" si="71"/>
        <v>2</v>
      </c>
      <c r="G612" s="86"/>
      <c r="H612" s="107">
        <f t="shared" si="66"/>
        <v>6.88</v>
      </c>
      <c r="I612" s="107">
        <f t="shared" si="67"/>
        <v>1.1200000000000001</v>
      </c>
      <c r="J612" s="87">
        <f>IF($D612&gt;0,IFERROR(Параметры!$D$42*$H612/$H$2408,0),0)</f>
        <v>120.20791878172589</v>
      </c>
      <c r="K612" s="87">
        <f>IFERROR(ROUND($N612*Параметры!$D$36,2),0)</f>
        <v>178.62</v>
      </c>
      <c r="L612" s="87">
        <f t="shared" si="68"/>
        <v>9.8240999999999996</v>
      </c>
      <c r="M612" s="87">
        <f t="shared" si="69"/>
        <v>11.526237057460476</v>
      </c>
      <c r="N612" s="107">
        <f t="shared" si="70"/>
        <v>6</v>
      </c>
    </row>
    <row r="613" spans="2:14" x14ac:dyDescent="0.25">
      <c r="B613" s="82">
        <f>SUBTOTAL(103,$D$8:D613)</f>
        <v>606</v>
      </c>
      <c r="C613" s="83" t="s">
        <v>621</v>
      </c>
      <c r="D613" s="84">
        <v>8</v>
      </c>
      <c r="E613" s="85">
        <f t="shared" si="65"/>
        <v>188.44409999999999</v>
      </c>
      <c r="F613" s="106">
        <f t="shared" si="71"/>
        <v>2</v>
      </c>
      <c r="G613" s="86"/>
      <c r="H613" s="107">
        <f t="shared" si="66"/>
        <v>6.88</v>
      </c>
      <c r="I613" s="107">
        <f t="shared" si="67"/>
        <v>1.1200000000000001</v>
      </c>
      <c r="J613" s="87">
        <f>IF($D613&gt;0,IFERROR(Параметры!$D$42*$H613/$H$2408,0),0)</f>
        <v>120.20791878172589</v>
      </c>
      <c r="K613" s="87">
        <f>IFERROR(ROUND($N613*Параметры!$D$36,2),0)</f>
        <v>178.62</v>
      </c>
      <c r="L613" s="87">
        <f t="shared" si="68"/>
        <v>9.8240999999999996</v>
      </c>
      <c r="M613" s="87">
        <f t="shared" si="69"/>
        <v>11.526237057460476</v>
      </c>
      <c r="N613" s="107">
        <f t="shared" si="70"/>
        <v>6</v>
      </c>
    </row>
    <row r="614" spans="2:14" x14ac:dyDescent="0.25">
      <c r="B614" s="82">
        <f>SUBTOTAL(103,$D$8:D614)</f>
        <v>607</v>
      </c>
      <c r="C614" s="83" t="s">
        <v>622</v>
      </c>
      <c r="D614" s="84">
        <v>8</v>
      </c>
      <c r="E614" s="85">
        <f t="shared" si="65"/>
        <v>188.44409999999999</v>
      </c>
      <c r="F614" s="106">
        <f t="shared" si="71"/>
        <v>2</v>
      </c>
      <c r="G614" s="86"/>
      <c r="H614" s="107">
        <f t="shared" si="66"/>
        <v>6.88</v>
      </c>
      <c r="I614" s="107">
        <f t="shared" si="67"/>
        <v>1.1200000000000001</v>
      </c>
      <c r="J614" s="87">
        <f>IF($D614&gt;0,IFERROR(Параметры!$D$42*$H614/$H$2408,0),0)</f>
        <v>120.20791878172589</v>
      </c>
      <c r="K614" s="87">
        <f>IFERROR(ROUND($N614*Параметры!$D$36,2),0)</f>
        <v>178.62</v>
      </c>
      <c r="L614" s="87">
        <f t="shared" si="68"/>
        <v>9.8240999999999996</v>
      </c>
      <c r="M614" s="87">
        <f t="shared" si="69"/>
        <v>11.526237057460476</v>
      </c>
      <c r="N614" s="107">
        <f t="shared" si="70"/>
        <v>6</v>
      </c>
    </row>
    <row r="615" spans="2:14" x14ac:dyDescent="0.25">
      <c r="B615" s="82">
        <f>SUBTOTAL(103,$D$8:D615)</f>
        <v>608</v>
      </c>
      <c r="C615" s="83" t="s">
        <v>623</v>
      </c>
      <c r="D615" s="84">
        <v>8</v>
      </c>
      <c r="E615" s="85">
        <f t="shared" si="65"/>
        <v>188.44409999999999</v>
      </c>
      <c r="F615" s="106">
        <f t="shared" si="71"/>
        <v>2</v>
      </c>
      <c r="G615" s="86"/>
      <c r="H615" s="107">
        <f t="shared" si="66"/>
        <v>6.88</v>
      </c>
      <c r="I615" s="107">
        <f t="shared" si="67"/>
        <v>1.1200000000000001</v>
      </c>
      <c r="J615" s="87">
        <f>IF($D615&gt;0,IFERROR(Параметры!$D$42*$H615/$H$2408,0),0)</f>
        <v>120.20791878172589</v>
      </c>
      <c r="K615" s="87">
        <f>IFERROR(ROUND($N615*Параметры!$D$36,2),0)</f>
        <v>178.62</v>
      </c>
      <c r="L615" s="87">
        <f t="shared" si="68"/>
        <v>9.8240999999999996</v>
      </c>
      <c r="M615" s="87">
        <f t="shared" si="69"/>
        <v>11.526237057460476</v>
      </c>
      <c r="N615" s="107">
        <f t="shared" si="70"/>
        <v>6</v>
      </c>
    </row>
    <row r="616" spans="2:14" x14ac:dyDescent="0.25">
      <c r="B616" s="82">
        <f>SUBTOTAL(103,$D$8:D616)</f>
        <v>609</v>
      </c>
      <c r="C616" s="83" t="s">
        <v>624</v>
      </c>
      <c r="D616" s="84">
        <v>8</v>
      </c>
      <c r="E616" s="85">
        <f t="shared" si="65"/>
        <v>188.44409999999999</v>
      </c>
      <c r="F616" s="106">
        <f t="shared" si="71"/>
        <v>2</v>
      </c>
      <c r="G616" s="86"/>
      <c r="H616" s="107">
        <f t="shared" si="66"/>
        <v>6.88</v>
      </c>
      <c r="I616" s="107">
        <f t="shared" si="67"/>
        <v>1.1200000000000001</v>
      </c>
      <c r="J616" s="87">
        <f>IF($D616&gt;0,IFERROR(Параметры!$D$42*$H616/$H$2408,0),0)</f>
        <v>120.20791878172589</v>
      </c>
      <c r="K616" s="87">
        <f>IFERROR(ROUND($N616*Параметры!$D$36,2),0)</f>
        <v>178.62</v>
      </c>
      <c r="L616" s="87">
        <f t="shared" si="68"/>
        <v>9.8240999999999996</v>
      </c>
      <c r="M616" s="87">
        <f t="shared" si="69"/>
        <v>11.526237057460476</v>
      </c>
      <c r="N616" s="107">
        <f t="shared" si="70"/>
        <v>6</v>
      </c>
    </row>
    <row r="617" spans="2:14" x14ac:dyDescent="0.25">
      <c r="B617" s="82">
        <f>SUBTOTAL(103,$D$8:D617)</f>
        <v>610</v>
      </c>
      <c r="C617" s="83" t="s">
        <v>625</v>
      </c>
      <c r="D617" s="84">
        <v>8</v>
      </c>
      <c r="E617" s="85">
        <f t="shared" si="65"/>
        <v>188.44409999999999</v>
      </c>
      <c r="F617" s="106">
        <f t="shared" si="71"/>
        <v>2</v>
      </c>
      <c r="G617" s="86"/>
      <c r="H617" s="107">
        <f t="shared" si="66"/>
        <v>6.88</v>
      </c>
      <c r="I617" s="107">
        <f t="shared" si="67"/>
        <v>1.1200000000000001</v>
      </c>
      <c r="J617" s="87">
        <f>IF($D617&gt;0,IFERROR(Параметры!$D$42*$H617/$H$2408,0),0)</f>
        <v>120.20791878172589</v>
      </c>
      <c r="K617" s="87">
        <f>IFERROR(ROUND($N617*Параметры!$D$36,2),0)</f>
        <v>178.62</v>
      </c>
      <c r="L617" s="87">
        <f t="shared" si="68"/>
        <v>9.8240999999999996</v>
      </c>
      <c r="M617" s="87">
        <f t="shared" si="69"/>
        <v>11.526237057460476</v>
      </c>
      <c r="N617" s="107">
        <f t="shared" si="70"/>
        <v>6</v>
      </c>
    </row>
    <row r="618" spans="2:14" x14ac:dyDescent="0.25">
      <c r="B618" s="82">
        <f>SUBTOTAL(103,$D$8:D618)</f>
        <v>611</v>
      </c>
      <c r="C618" s="83" t="s">
        <v>626</v>
      </c>
      <c r="D618" s="84">
        <v>8</v>
      </c>
      <c r="E618" s="85">
        <f t="shared" si="65"/>
        <v>188.44409999999999</v>
      </c>
      <c r="F618" s="106">
        <f t="shared" si="71"/>
        <v>2</v>
      </c>
      <c r="G618" s="86"/>
      <c r="H618" s="107">
        <f t="shared" si="66"/>
        <v>6.88</v>
      </c>
      <c r="I618" s="107">
        <f t="shared" si="67"/>
        <v>1.1200000000000001</v>
      </c>
      <c r="J618" s="87">
        <f>IF($D618&gt;0,IFERROR(Параметры!$D$42*$H618/$H$2408,0),0)</f>
        <v>120.20791878172589</v>
      </c>
      <c r="K618" s="87">
        <f>IFERROR(ROUND($N618*Параметры!$D$36,2),0)</f>
        <v>178.62</v>
      </c>
      <c r="L618" s="87">
        <f t="shared" si="68"/>
        <v>9.8240999999999996</v>
      </c>
      <c r="M618" s="87">
        <f t="shared" si="69"/>
        <v>11.526237057460476</v>
      </c>
      <c r="N618" s="107">
        <f t="shared" si="70"/>
        <v>6</v>
      </c>
    </row>
    <row r="619" spans="2:14" x14ac:dyDescent="0.25">
      <c r="B619" s="82">
        <f>SUBTOTAL(103,$D$8:D619)</f>
        <v>612</v>
      </c>
      <c r="C619" s="83" t="s">
        <v>627</v>
      </c>
      <c r="D619" s="84">
        <v>0</v>
      </c>
      <c r="E619" s="85" t="str">
        <f t="shared" si="65"/>
        <v/>
      </c>
      <c r="F619" s="106" t="str">
        <f t="shared" si="71"/>
        <v/>
      </c>
      <c r="G619" s="86"/>
      <c r="H619" s="107">
        <f t="shared" si="66"/>
        <v>0</v>
      </c>
      <c r="I619" s="107">
        <f t="shared" si="67"/>
        <v>0</v>
      </c>
      <c r="J619" s="87">
        <f>IF($D619&gt;0,IFERROR(Параметры!$D$42*$H619/$H$2408,0),0)</f>
        <v>0</v>
      </c>
      <c r="K619" s="87">
        <f>IFERROR(ROUND($N619*Параметры!$D$36,2),0)</f>
        <v>0</v>
      </c>
      <c r="L619" s="87">
        <f t="shared" si="68"/>
        <v>0</v>
      </c>
      <c r="M619" s="87">
        <f t="shared" si="69"/>
        <v>0</v>
      </c>
      <c r="N619" s="107" t="str">
        <f t="shared" si="70"/>
        <v/>
      </c>
    </row>
    <row r="620" spans="2:14" x14ac:dyDescent="0.25">
      <c r="B620" s="82">
        <f>SUBTOTAL(103,$D$8:D620)</f>
        <v>613</v>
      </c>
      <c r="C620" s="83" t="s">
        <v>628</v>
      </c>
      <c r="D620" s="84">
        <v>0</v>
      </c>
      <c r="E620" s="85" t="str">
        <f t="shared" si="65"/>
        <v/>
      </c>
      <c r="F620" s="106" t="str">
        <f t="shared" si="71"/>
        <v/>
      </c>
      <c r="G620" s="86"/>
      <c r="H620" s="107">
        <f t="shared" si="66"/>
        <v>0</v>
      </c>
      <c r="I620" s="107">
        <f t="shared" si="67"/>
        <v>0</v>
      </c>
      <c r="J620" s="87">
        <f>IF($D620&gt;0,IFERROR(Параметры!$D$42*$H620/$H$2408,0),0)</f>
        <v>0</v>
      </c>
      <c r="K620" s="87">
        <f>IFERROR(ROUND($N620*Параметры!$D$36,2),0)</f>
        <v>0</v>
      </c>
      <c r="L620" s="87">
        <f t="shared" si="68"/>
        <v>0</v>
      </c>
      <c r="M620" s="87">
        <f t="shared" si="69"/>
        <v>0</v>
      </c>
      <c r="N620" s="107" t="str">
        <f t="shared" si="70"/>
        <v/>
      </c>
    </row>
    <row r="621" spans="2:14" x14ac:dyDescent="0.25">
      <c r="B621" s="82">
        <f>SUBTOTAL(103,$D$8:D621)</f>
        <v>614</v>
      </c>
      <c r="C621" s="83" t="s">
        <v>629</v>
      </c>
      <c r="D621" s="84">
        <v>0</v>
      </c>
      <c r="E621" s="85" t="str">
        <f t="shared" si="65"/>
        <v/>
      </c>
      <c r="F621" s="106" t="str">
        <f t="shared" si="71"/>
        <v/>
      </c>
      <c r="G621" s="86"/>
      <c r="H621" s="107">
        <f t="shared" si="66"/>
        <v>0</v>
      </c>
      <c r="I621" s="107">
        <f t="shared" si="67"/>
        <v>0</v>
      </c>
      <c r="J621" s="87">
        <f>IF($D621&gt;0,IFERROR(Параметры!$D$42*$H621/$H$2408,0),0)</f>
        <v>0</v>
      </c>
      <c r="K621" s="87">
        <f>IFERROR(ROUND($N621*Параметры!$D$36,2),0)</f>
        <v>0</v>
      </c>
      <c r="L621" s="87">
        <f t="shared" si="68"/>
        <v>0</v>
      </c>
      <c r="M621" s="87">
        <f t="shared" si="69"/>
        <v>0</v>
      </c>
      <c r="N621" s="107" t="str">
        <f t="shared" si="70"/>
        <v/>
      </c>
    </row>
    <row r="622" spans="2:14" x14ac:dyDescent="0.25">
      <c r="B622" s="82">
        <f>SUBTOTAL(103,$D$8:D622)</f>
        <v>615</v>
      </c>
      <c r="C622" s="83" t="s">
        <v>630</v>
      </c>
      <c r="D622" s="84">
        <v>0</v>
      </c>
      <c r="E622" s="85" t="str">
        <f t="shared" si="65"/>
        <v/>
      </c>
      <c r="F622" s="106" t="str">
        <f t="shared" si="71"/>
        <v/>
      </c>
      <c r="G622" s="86"/>
      <c r="H622" s="107">
        <f t="shared" si="66"/>
        <v>0</v>
      </c>
      <c r="I622" s="107">
        <f t="shared" si="67"/>
        <v>0</v>
      </c>
      <c r="J622" s="87">
        <f>IF($D622&gt;0,IFERROR(Параметры!$D$42*$H622/$H$2408,0),0)</f>
        <v>0</v>
      </c>
      <c r="K622" s="87">
        <f>IFERROR(ROUND($N622*Параметры!$D$36,2),0)</f>
        <v>0</v>
      </c>
      <c r="L622" s="87">
        <f t="shared" si="68"/>
        <v>0</v>
      </c>
      <c r="M622" s="87">
        <f t="shared" si="69"/>
        <v>0</v>
      </c>
      <c r="N622" s="107" t="str">
        <f t="shared" si="70"/>
        <v/>
      </c>
    </row>
    <row r="623" spans="2:14" x14ac:dyDescent="0.25">
      <c r="B623" s="82">
        <f>SUBTOTAL(103,$D$8:D623)</f>
        <v>616</v>
      </c>
      <c r="C623" s="83" t="s">
        <v>631</v>
      </c>
      <c r="D623" s="84">
        <v>0</v>
      </c>
      <c r="E623" s="85" t="str">
        <f t="shared" si="65"/>
        <v/>
      </c>
      <c r="F623" s="106" t="str">
        <f t="shared" si="71"/>
        <v/>
      </c>
      <c r="G623" s="86"/>
      <c r="H623" s="107">
        <f t="shared" si="66"/>
        <v>0</v>
      </c>
      <c r="I623" s="107">
        <f t="shared" si="67"/>
        <v>0</v>
      </c>
      <c r="J623" s="87">
        <f>IF($D623&gt;0,IFERROR(Параметры!$D$42*$H623/$H$2408,0),0)</f>
        <v>0</v>
      </c>
      <c r="K623" s="87">
        <f>IFERROR(ROUND($N623*Параметры!$D$36,2),0)</f>
        <v>0</v>
      </c>
      <c r="L623" s="87">
        <f t="shared" si="68"/>
        <v>0</v>
      </c>
      <c r="M623" s="87">
        <f t="shared" si="69"/>
        <v>0</v>
      </c>
      <c r="N623" s="107" t="str">
        <f t="shared" si="70"/>
        <v/>
      </c>
    </row>
    <row r="624" spans="2:14" x14ac:dyDescent="0.25">
      <c r="B624" s="82">
        <f>SUBTOTAL(103,$D$8:D624)</f>
        <v>617</v>
      </c>
      <c r="C624" s="83" t="s">
        <v>632</v>
      </c>
      <c r="D624" s="84">
        <v>0</v>
      </c>
      <c r="E624" s="85" t="str">
        <f t="shared" si="65"/>
        <v/>
      </c>
      <c r="F624" s="106" t="str">
        <f t="shared" si="71"/>
        <v/>
      </c>
      <c r="G624" s="86"/>
      <c r="H624" s="107">
        <f t="shared" si="66"/>
        <v>0</v>
      </c>
      <c r="I624" s="107">
        <f t="shared" si="67"/>
        <v>0</v>
      </c>
      <c r="J624" s="87">
        <f>IF($D624&gt;0,IFERROR(Параметры!$D$42*$H624/$H$2408,0),0)</f>
        <v>0</v>
      </c>
      <c r="K624" s="87">
        <f>IFERROR(ROUND($N624*Параметры!$D$36,2),0)</f>
        <v>0</v>
      </c>
      <c r="L624" s="87">
        <f t="shared" si="68"/>
        <v>0</v>
      </c>
      <c r="M624" s="87">
        <f t="shared" si="69"/>
        <v>0</v>
      </c>
      <c r="N624" s="107" t="str">
        <f t="shared" si="70"/>
        <v/>
      </c>
    </row>
    <row r="625" spans="2:14" x14ac:dyDescent="0.25">
      <c r="B625" s="82">
        <f>SUBTOTAL(103,$D$8:D625)</f>
        <v>618</v>
      </c>
      <c r="C625" s="83" t="s">
        <v>633</v>
      </c>
      <c r="D625" s="84">
        <v>0</v>
      </c>
      <c r="E625" s="85" t="str">
        <f t="shared" si="65"/>
        <v/>
      </c>
      <c r="F625" s="106" t="str">
        <f t="shared" si="71"/>
        <v/>
      </c>
      <c r="G625" s="86"/>
      <c r="H625" s="107">
        <f t="shared" si="66"/>
        <v>0</v>
      </c>
      <c r="I625" s="107">
        <f t="shared" si="67"/>
        <v>0</v>
      </c>
      <c r="J625" s="87">
        <f>IF($D625&gt;0,IFERROR(Параметры!$D$42*$H625/$H$2408,0),0)</f>
        <v>0</v>
      </c>
      <c r="K625" s="87">
        <f>IFERROR(ROUND($N625*Параметры!$D$36,2),0)</f>
        <v>0</v>
      </c>
      <c r="L625" s="87">
        <f t="shared" si="68"/>
        <v>0</v>
      </c>
      <c r="M625" s="87">
        <f t="shared" si="69"/>
        <v>0</v>
      </c>
      <c r="N625" s="107" t="str">
        <f t="shared" si="70"/>
        <v/>
      </c>
    </row>
    <row r="626" spans="2:14" x14ac:dyDescent="0.25">
      <c r="B626" s="82">
        <f>SUBTOTAL(103,$D$8:D626)</f>
        <v>619</v>
      </c>
      <c r="C626" s="83" t="s">
        <v>634</v>
      </c>
      <c r="D626" s="84">
        <v>0</v>
      </c>
      <c r="E626" s="85" t="str">
        <f t="shared" si="65"/>
        <v/>
      </c>
      <c r="F626" s="106" t="str">
        <f t="shared" si="71"/>
        <v/>
      </c>
      <c r="G626" s="86"/>
      <c r="H626" s="107">
        <f t="shared" si="66"/>
        <v>0</v>
      </c>
      <c r="I626" s="107">
        <f t="shared" si="67"/>
        <v>0</v>
      </c>
      <c r="J626" s="87">
        <f>IF($D626&gt;0,IFERROR(Параметры!$D$42*$H626/$H$2408,0),0)</f>
        <v>0</v>
      </c>
      <c r="K626" s="87">
        <f>IFERROR(ROUND($N626*Параметры!$D$36,2),0)</f>
        <v>0</v>
      </c>
      <c r="L626" s="87">
        <f t="shared" si="68"/>
        <v>0</v>
      </c>
      <c r="M626" s="87">
        <f t="shared" si="69"/>
        <v>0</v>
      </c>
      <c r="N626" s="107" t="str">
        <f t="shared" si="70"/>
        <v/>
      </c>
    </row>
    <row r="627" spans="2:14" x14ac:dyDescent="0.25">
      <c r="B627" s="82">
        <f>SUBTOTAL(103,$D$8:D627)</f>
        <v>620</v>
      </c>
      <c r="C627" s="83" t="s">
        <v>635</v>
      </c>
      <c r="D627" s="84">
        <v>0</v>
      </c>
      <c r="E627" s="85" t="str">
        <f t="shared" si="65"/>
        <v/>
      </c>
      <c r="F627" s="106" t="str">
        <f t="shared" si="71"/>
        <v/>
      </c>
      <c r="G627" s="86"/>
      <c r="H627" s="107">
        <f t="shared" si="66"/>
        <v>0</v>
      </c>
      <c r="I627" s="107">
        <f t="shared" si="67"/>
        <v>0</v>
      </c>
      <c r="J627" s="87">
        <f>IF($D627&gt;0,IFERROR(Параметры!$D$42*$H627/$H$2408,0),0)</f>
        <v>0</v>
      </c>
      <c r="K627" s="87">
        <f>IFERROR(ROUND($N627*Параметры!$D$36,2),0)</f>
        <v>0</v>
      </c>
      <c r="L627" s="87">
        <f t="shared" si="68"/>
        <v>0</v>
      </c>
      <c r="M627" s="87">
        <f t="shared" si="69"/>
        <v>0</v>
      </c>
      <c r="N627" s="107" t="str">
        <f t="shared" si="70"/>
        <v/>
      </c>
    </row>
    <row r="628" spans="2:14" x14ac:dyDescent="0.25">
      <c r="B628" s="82">
        <f>SUBTOTAL(103,$D$8:D628)</f>
        <v>621</v>
      </c>
      <c r="C628" s="83" t="s">
        <v>636</v>
      </c>
      <c r="D628" s="84">
        <v>0</v>
      </c>
      <c r="E628" s="85" t="str">
        <f t="shared" si="65"/>
        <v/>
      </c>
      <c r="F628" s="106" t="str">
        <f t="shared" si="71"/>
        <v/>
      </c>
      <c r="G628" s="86"/>
      <c r="H628" s="107">
        <f t="shared" si="66"/>
        <v>0</v>
      </c>
      <c r="I628" s="107">
        <f t="shared" si="67"/>
        <v>0</v>
      </c>
      <c r="J628" s="87">
        <f>IF($D628&gt;0,IFERROR(Параметры!$D$42*$H628/$H$2408,0),0)</f>
        <v>0</v>
      </c>
      <c r="K628" s="87">
        <f>IFERROR(ROUND($N628*Параметры!$D$36,2),0)</f>
        <v>0</v>
      </c>
      <c r="L628" s="87">
        <f t="shared" si="68"/>
        <v>0</v>
      </c>
      <c r="M628" s="87">
        <f t="shared" si="69"/>
        <v>0</v>
      </c>
      <c r="N628" s="107" t="str">
        <f t="shared" si="70"/>
        <v/>
      </c>
    </row>
    <row r="629" spans="2:14" x14ac:dyDescent="0.25">
      <c r="B629" s="82">
        <f>SUBTOTAL(103,$D$8:D629)</f>
        <v>622</v>
      </c>
      <c r="C629" s="83" t="s">
        <v>637</v>
      </c>
      <c r="D629" s="84">
        <v>0</v>
      </c>
      <c r="E629" s="85" t="str">
        <f t="shared" si="65"/>
        <v/>
      </c>
      <c r="F629" s="106" t="str">
        <f t="shared" si="71"/>
        <v/>
      </c>
      <c r="G629" s="86"/>
      <c r="H629" s="107">
        <f t="shared" si="66"/>
        <v>0</v>
      </c>
      <c r="I629" s="107">
        <f t="shared" si="67"/>
        <v>0</v>
      </c>
      <c r="J629" s="87">
        <f>IF($D629&gt;0,IFERROR(Параметры!$D$42*$H629/$H$2408,0),0)</f>
        <v>0</v>
      </c>
      <c r="K629" s="87">
        <f>IFERROR(ROUND($N629*Параметры!$D$36,2),0)</f>
        <v>0</v>
      </c>
      <c r="L629" s="87">
        <f t="shared" si="68"/>
        <v>0</v>
      </c>
      <c r="M629" s="87">
        <f t="shared" si="69"/>
        <v>0</v>
      </c>
      <c r="N629" s="107" t="str">
        <f t="shared" si="70"/>
        <v/>
      </c>
    </row>
    <row r="630" spans="2:14" x14ac:dyDescent="0.25">
      <c r="B630" s="82">
        <f>SUBTOTAL(103,$D$8:D630)</f>
        <v>623</v>
      </c>
      <c r="C630" s="83" t="s">
        <v>638</v>
      </c>
      <c r="D630" s="84">
        <v>0</v>
      </c>
      <c r="E630" s="85" t="str">
        <f t="shared" si="65"/>
        <v/>
      </c>
      <c r="F630" s="106" t="str">
        <f t="shared" si="71"/>
        <v/>
      </c>
      <c r="G630" s="86"/>
      <c r="H630" s="107">
        <f t="shared" si="66"/>
        <v>0</v>
      </c>
      <c r="I630" s="107">
        <f t="shared" si="67"/>
        <v>0</v>
      </c>
      <c r="J630" s="87">
        <f>IF($D630&gt;0,IFERROR(Параметры!$D$42*$H630/$H$2408,0),0)</f>
        <v>0</v>
      </c>
      <c r="K630" s="87">
        <f>IFERROR(ROUND($N630*Параметры!$D$36,2),0)</f>
        <v>0</v>
      </c>
      <c r="L630" s="87">
        <f t="shared" si="68"/>
        <v>0</v>
      </c>
      <c r="M630" s="87">
        <f t="shared" si="69"/>
        <v>0</v>
      </c>
      <c r="N630" s="107" t="str">
        <f t="shared" si="70"/>
        <v/>
      </c>
    </row>
    <row r="631" spans="2:14" x14ac:dyDescent="0.25">
      <c r="B631" s="82">
        <f>SUBTOTAL(103,$D$8:D631)</f>
        <v>624</v>
      </c>
      <c r="C631" s="83" t="s">
        <v>639</v>
      </c>
      <c r="D631" s="84">
        <v>0</v>
      </c>
      <c r="E631" s="85" t="str">
        <f t="shared" si="65"/>
        <v/>
      </c>
      <c r="F631" s="106" t="str">
        <f t="shared" si="71"/>
        <v/>
      </c>
      <c r="G631" s="86"/>
      <c r="H631" s="107">
        <f t="shared" si="66"/>
        <v>0</v>
      </c>
      <c r="I631" s="107">
        <f t="shared" si="67"/>
        <v>0</v>
      </c>
      <c r="J631" s="87">
        <f>IF($D631&gt;0,IFERROR(Параметры!$D$42*$H631/$H$2408,0),0)</f>
        <v>0</v>
      </c>
      <c r="K631" s="87">
        <f>IFERROR(ROUND($N631*Параметры!$D$36,2),0)</f>
        <v>0</v>
      </c>
      <c r="L631" s="87">
        <f t="shared" si="68"/>
        <v>0</v>
      </c>
      <c r="M631" s="87">
        <f t="shared" si="69"/>
        <v>0</v>
      </c>
      <c r="N631" s="107" t="str">
        <f t="shared" si="70"/>
        <v/>
      </c>
    </row>
    <row r="632" spans="2:14" x14ac:dyDescent="0.25">
      <c r="B632" s="82">
        <f>SUBTOTAL(103,$D$8:D632)</f>
        <v>625</v>
      </c>
      <c r="C632" s="83" t="s">
        <v>640</v>
      </c>
      <c r="D632" s="84">
        <v>0</v>
      </c>
      <c r="E632" s="85" t="str">
        <f t="shared" si="65"/>
        <v/>
      </c>
      <c r="F632" s="106" t="str">
        <f t="shared" si="71"/>
        <v/>
      </c>
      <c r="G632" s="86"/>
      <c r="H632" s="107">
        <f t="shared" si="66"/>
        <v>0</v>
      </c>
      <c r="I632" s="107">
        <f t="shared" si="67"/>
        <v>0</v>
      </c>
      <c r="J632" s="87">
        <f>IF($D632&gt;0,IFERROR(Параметры!$D$42*$H632/$H$2408,0),0)</f>
        <v>0</v>
      </c>
      <c r="K632" s="87">
        <f>IFERROR(ROUND($N632*Параметры!$D$36,2),0)</f>
        <v>0</v>
      </c>
      <c r="L632" s="87">
        <f t="shared" si="68"/>
        <v>0</v>
      </c>
      <c r="M632" s="87">
        <f t="shared" si="69"/>
        <v>0</v>
      </c>
      <c r="N632" s="107" t="str">
        <f t="shared" si="70"/>
        <v/>
      </c>
    </row>
    <row r="633" spans="2:14" x14ac:dyDescent="0.25">
      <c r="B633" s="82">
        <f>SUBTOTAL(103,$D$8:D633)</f>
        <v>626</v>
      </c>
      <c r="C633" s="83" t="s">
        <v>641</v>
      </c>
      <c r="D633" s="84">
        <v>0</v>
      </c>
      <c r="E633" s="85" t="str">
        <f t="shared" si="65"/>
        <v/>
      </c>
      <c r="F633" s="106" t="str">
        <f t="shared" si="71"/>
        <v/>
      </c>
      <c r="G633" s="86"/>
      <c r="H633" s="107">
        <f t="shared" si="66"/>
        <v>0</v>
      </c>
      <c r="I633" s="107">
        <f t="shared" si="67"/>
        <v>0</v>
      </c>
      <c r="J633" s="87">
        <f>IF($D633&gt;0,IFERROR(Параметры!$D$42*$H633/$H$2408,0),0)</f>
        <v>0</v>
      </c>
      <c r="K633" s="87">
        <f>IFERROR(ROUND($N633*Параметры!$D$36,2),0)</f>
        <v>0</v>
      </c>
      <c r="L633" s="87">
        <f t="shared" si="68"/>
        <v>0</v>
      </c>
      <c r="M633" s="87">
        <f t="shared" si="69"/>
        <v>0</v>
      </c>
      <c r="N633" s="107" t="str">
        <f t="shared" si="70"/>
        <v/>
      </c>
    </row>
    <row r="634" spans="2:14" x14ac:dyDescent="0.25">
      <c r="B634" s="82">
        <f>SUBTOTAL(103,$D$8:D634)</f>
        <v>627</v>
      </c>
      <c r="C634" s="83" t="s">
        <v>642</v>
      </c>
      <c r="D634" s="84">
        <v>0</v>
      </c>
      <c r="E634" s="85" t="str">
        <f t="shared" si="65"/>
        <v/>
      </c>
      <c r="F634" s="106" t="str">
        <f t="shared" si="71"/>
        <v/>
      </c>
      <c r="G634" s="86"/>
      <c r="H634" s="107">
        <f t="shared" si="66"/>
        <v>0</v>
      </c>
      <c r="I634" s="107">
        <f t="shared" si="67"/>
        <v>0</v>
      </c>
      <c r="J634" s="87">
        <f>IF($D634&gt;0,IFERROR(Параметры!$D$42*$H634/$H$2408,0),0)</f>
        <v>0</v>
      </c>
      <c r="K634" s="87">
        <f>IFERROR(ROUND($N634*Параметры!$D$36,2),0)</f>
        <v>0</v>
      </c>
      <c r="L634" s="87">
        <f t="shared" si="68"/>
        <v>0</v>
      </c>
      <c r="M634" s="87">
        <f t="shared" si="69"/>
        <v>0</v>
      </c>
      <c r="N634" s="107" t="str">
        <f t="shared" si="70"/>
        <v/>
      </c>
    </row>
    <row r="635" spans="2:14" x14ac:dyDescent="0.25">
      <c r="B635" s="82">
        <f>SUBTOTAL(103,$D$8:D635)</f>
        <v>628</v>
      </c>
      <c r="C635" s="83" t="s">
        <v>643</v>
      </c>
      <c r="D635" s="84">
        <v>0</v>
      </c>
      <c r="E635" s="85" t="str">
        <f t="shared" si="65"/>
        <v/>
      </c>
      <c r="F635" s="106" t="str">
        <f t="shared" si="71"/>
        <v/>
      </c>
      <c r="G635" s="86"/>
      <c r="H635" s="107">
        <f t="shared" si="66"/>
        <v>0</v>
      </c>
      <c r="I635" s="107">
        <f t="shared" si="67"/>
        <v>0</v>
      </c>
      <c r="J635" s="87">
        <f>IF($D635&gt;0,IFERROR(Параметры!$D$42*$H635/$H$2408,0),0)</f>
        <v>0</v>
      </c>
      <c r="K635" s="87">
        <f>IFERROR(ROUND($N635*Параметры!$D$36,2),0)</f>
        <v>0</v>
      </c>
      <c r="L635" s="87">
        <f t="shared" si="68"/>
        <v>0</v>
      </c>
      <c r="M635" s="87">
        <f t="shared" si="69"/>
        <v>0</v>
      </c>
      <c r="N635" s="107" t="str">
        <f t="shared" si="70"/>
        <v/>
      </c>
    </row>
    <row r="636" spans="2:14" x14ac:dyDescent="0.25">
      <c r="B636" s="82">
        <f>SUBTOTAL(103,$D$8:D636)</f>
        <v>629</v>
      </c>
      <c r="C636" s="83" t="s">
        <v>644</v>
      </c>
      <c r="D636" s="84">
        <v>0</v>
      </c>
      <c r="E636" s="85" t="str">
        <f t="shared" si="65"/>
        <v/>
      </c>
      <c r="F636" s="106" t="str">
        <f t="shared" si="71"/>
        <v/>
      </c>
      <c r="G636" s="86"/>
      <c r="H636" s="107">
        <f t="shared" si="66"/>
        <v>0</v>
      </c>
      <c r="I636" s="107">
        <f t="shared" si="67"/>
        <v>0</v>
      </c>
      <c r="J636" s="87">
        <f>IF($D636&gt;0,IFERROR(Параметры!$D$42*$H636/$H$2408,0),0)</f>
        <v>0</v>
      </c>
      <c r="K636" s="87">
        <f>IFERROR(ROUND($N636*Параметры!$D$36,2),0)</f>
        <v>0</v>
      </c>
      <c r="L636" s="87">
        <f t="shared" si="68"/>
        <v>0</v>
      </c>
      <c r="M636" s="87">
        <f t="shared" si="69"/>
        <v>0</v>
      </c>
      <c r="N636" s="107" t="str">
        <f t="shared" si="70"/>
        <v/>
      </c>
    </row>
    <row r="637" spans="2:14" x14ac:dyDescent="0.25">
      <c r="B637" s="82">
        <f>SUBTOTAL(103,$D$8:D637)</f>
        <v>630</v>
      </c>
      <c r="C637" s="83" t="s">
        <v>645</v>
      </c>
      <c r="D637" s="84">
        <v>0</v>
      </c>
      <c r="E637" s="85" t="str">
        <f t="shared" si="65"/>
        <v/>
      </c>
      <c r="F637" s="106" t="str">
        <f t="shared" si="71"/>
        <v/>
      </c>
      <c r="G637" s="86"/>
      <c r="H637" s="107">
        <f t="shared" si="66"/>
        <v>0</v>
      </c>
      <c r="I637" s="107">
        <f t="shared" si="67"/>
        <v>0</v>
      </c>
      <c r="J637" s="87">
        <f>IF($D637&gt;0,IFERROR(Параметры!$D$42*$H637/$H$2408,0),0)</f>
        <v>0</v>
      </c>
      <c r="K637" s="87">
        <f>IFERROR(ROUND($N637*Параметры!$D$36,2),0)</f>
        <v>0</v>
      </c>
      <c r="L637" s="87">
        <f t="shared" si="68"/>
        <v>0</v>
      </c>
      <c r="M637" s="87">
        <f t="shared" si="69"/>
        <v>0</v>
      </c>
      <c r="N637" s="107" t="str">
        <f t="shared" si="70"/>
        <v/>
      </c>
    </row>
    <row r="638" spans="2:14" x14ac:dyDescent="0.25">
      <c r="B638" s="82">
        <f>SUBTOTAL(103,$D$8:D638)</f>
        <v>631</v>
      </c>
      <c r="C638" s="83" t="s">
        <v>646</v>
      </c>
      <c r="D638" s="84">
        <v>0</v>
      </c>
      <c r="E638" s="85" t="str">
        <f t="shared" si="65"/>
        <v/>
      </c>
      <c r="F638" s="106" t="str">
        <f t="shared" si="71"/>
        <v/>
      </c>
      <c r="G638" s="86"/>
      <c r="H638" s="107">
        <f t="shared" si="66"/>
        <v>0</v>
      </c>
      <c r="I638" s="107">
        <f t="shared" si="67"/>
        <v>0</v>
      </c>
      <c r="J638" s="87">
        <f>IF($D638&gt;0,IFERROR(Параметры!$D$42*$H638/$H$2408,0),0)</f>
        <v>0</v>
      </c>
      <c r="K638" s="87">
        <f>IFERROR(ROUND($N638*Параметры!$D$36,2),0)</f>
        <v>0</v>
      </c>
      <c r="L638" s="87">
        <f t="shared" si="68"/>
        <v>0</v>
      </c>
      <c r="M638" s="87">
        <f t="shared" si="69"/>
        <v>0</v>
      </c>
      <c r="N638" s="107" t="str">
        <f t="shared" si="70"/>
        <v/>
      </c>
    </row>
    <row r="639" spans="2:14" x14ac:dyDescent="0.25">
      <c r="B639" s="82">
        <f>SUBTOTAL(103,$D$8:D639)</f>
        <v>632</v>
      </c>
      <c r="C639" s="83" t="s">
        <v>647</v>
      </c>
      <c r="D639" s="84">
        <v>0</v>
      </c>
      <c r="E639" s="85" t="str">
        <f t="shared" si="65"/>
        <v/>
      </c>
      <c r="F639" s="106" t="str">
        <f t="shared" si="71"/>
        <v/>
      </c>
      <c r="G639" s="86"/>
      <c r="H639" s="107">
        <f t="shared" si="66"/>
        <v>0</v>
      </c>
      <c r="I639" s="107">
        <f t="shared" si="67"/>
        <v>0</v>
      </c>
      <c r="J639" s="87">
        <f>IF($D639&gt;0,IFERROR(Параметры!$D$42*$H639/$H$2408,0),0)</f>
        <v>0</v>
      </c>
      <c r="K639" s="87">
        <f>IFERROR(ROUND($N639*Параметры!$D$36,2),0)</f>
        <v>0</v>
      </c>
      <c r="L639" s="87">
        <f t="shared" si="68"/>
        <v>0</v>
      </c>
      <c r="M639" s="87">
        <f t="shared" si="69"/>
        <v>0</v>
      </c>
      <c r="N639" s="107" t="str">
        <f t="shared" si="70"/>
        <v/>
      </c>
    </row>
    <row r="640" spans="2:14" x14ac:dyDescent="0.25">
      <c r="B640" s="82">
        <f>SUBTOTAL(103,$D$8:D640)</f>
        <v>633</v>
      </c>
      <c r="C640" s="83" t="s">
        <v>648</v>
      </c>
      <c r="D640" s="84">
        <v>0</v>
      </c>
      <c r="E640" s="85" t="str">
        <f t="shared" si="65"/>
        <v/>
      </c>
      <c r="F640" s="106" t="str">
        <f t="shared" si="71"/>
        <v/>
      </c>
      <c r="G640" s="86"/>
      <c r="H640" s="107">
        <f t="shared" si="66"/>
        <v>0</v>
      </c>
      <c r="I640" s="107">
        <f t="shared" si="67"/>
        <v>0</v>
      </c>
      <c r="J640" s="87">
        <f>IF($D640&gt;0,IFERROR(Параметры!$D$42*$H640/$H$2408,0),0)</f>
        <v>0</v>
      </c>
      <c r="K640" s="87">
        <f>IFERROR(ROUND($N640*Параметры!$D$36,2),0)</f>
        <v>0</v>
      </c>
      <c r="L640" s="87">
        <f t="shared" si="68"/>
        <v>0</v>
      </c>
      <c r="M640" s="87">
        <f t="shared" si="69"/>
        <v>0</v>
      </c>
      <c r="N640" s="107" t="str">
        <f t="shared" si="70"/>
        <v/>
      </c>
    </row>
    <row r="641" spans="2:14" x14ac:dyDescent="0.25">
      <c r="B641" s="82">
        <f>SUBTOTAL(103,$D$8:D641)</f>
        <v>634</v>
      </c>
      <c r="C641" s="83" t="s">
        <v>649</v>
      </c>
      <c r="D641" s="84">
        <v>0</v>
      </c>
      <c r="E641" s="85" t="str">
        <f t="shared" si="65"/>
        <v/>
      </c>
      <c r="F641" s="106" t="str">
        <f t="shared" si="71"/>
        <v/>
      </c>
      <c r="G641" s="86"/>
      <c r="H641" s="107">
        <f t="shared" si="66"/>
        <v>0</v>
      </c>
      <c r="I641" s="107">
        <f t="shared" si="67"/>
        <v>0</v>
      </c>
      <c r="J641" s="87">
        <f>IF($D641&gt;0,IFERROR(Параметры!$D$42*$H641/$H$2408,0),0)</f>
        <v>0</v>
      </c>
      <c r="K641" s="87">
        <f>IFERROR(ROUND($N641*Параметры!$D$36,2),0)</f>
        <v>0</v>
      </c>
      <c r="L641" s="87">
        <f t="shared" si="68"/>
        <v>0</v>
      </c>
      <c r="M641" s="87">
        <f t="shared" si="69"/>
        <v>0</v>
      </c>
      <c r="N641" s="107" t="str">
        <f t="shared" si="70"/>
        <v/>
      </c>
    </row>
    <row r="642" spans="2:14" x14ac:dyDescent="0.25">
      <c r="B642" s="82">
        <f>SUBTOTAL(103,$D$8:D642)</f>
        <v>635</v>
      </c>
      <c r="C642" s="83" t="s">
        <v>650</v>
      </c>
      <c r="D642" s="84">
        <v>0</v>
      </c>
      <c r="E642" s="85" t="str">
        <f t="shared" si="65"/>
        <v/>
      </c>
      <c r="F642" s="106" t="str">
        <f t="shared" si="71"/>
        <v/>
      </c>
      <c r="G642" s="86"/>
      <c r="H642" s="107">
        <f t="shared" si="66"/>
        <v>0</v>
      </c>
      <c r="I642" s="107">
        <f t="shared" si="67"/>
        <v>0</v>
      </c>
      <c r="J642" s="87">
        <f>IF($D642&gt;0,IFERROR(Параметры!$D$42*$H642/$H$2408,0),0)</f>
        <v>0</v>
      </c>
      <c r="K642" s="87">
        <f>IFERROR(ROUND($N642*Параметры!$D$36,2),0)</f>
        <v>0</v>
      </c>
      <c r="L642" s="87">
        <f t="shared" si="68"/>
        <v>0</v>
      </c>
      <c r="M642" s="87">
        <f t="shared" si="69"/>
        <v>0</v>
      </c>
      <c r="N642" s="107" t="str">
        <f t="shared" si="70"/>
        <v/>
      </c>
    </row>
    <row r="643" spans="2:14" x14ac:dyDescent="0.25">
      <c r="B643" s="82">
        <f>SUBTOTAL(103,$D$8:D643)</f>
        <v>636</v>
      </c>
      <c r="C643" s="83" t="s">
        <v>651</v>
      </c>
      <c r="D643" s="84">
        <v>0</v>
      </c>
      <c r="E643" s="85" t="str">
        <f t="shared" si="65"/>
        <v/>
      </c>
      <c r="F643" s="106" t="str">
        <f t="shared" si="71"/>
        <v/>
      </c>
      <c r="G643" s="86"/>
      <c r="H643" s="107">
        <f t="shared" si="66"/>
        <v>0</v>
      </c>
      <c r="I643" s="107">
        <f t="shared" si="67"/>
        <v>0</v>
      </c>
      <c r="J643" s="87">
        <f>IF($D643&gt;0,IFERROR(Параметры!$D$42*$H643/$H$2408,0),0)</f>
        <v>0</v>
      </c>
      <c r="K643" s="87">
        <f>IFERROR(ROUND($N643*Параметры!$D$36,2),0)</f>
        <v>0</v>
      </c>
      <c r="L643" s="87">
        <f t="shared" si="68"/>
        <v>0</v>
      </c>
      <c r="M643" s="87">
        <f t="shared" si="69"/>
        <v>0</v>
      </c>
      <c r="N643" s="107" t="str">
        <f t="shared" si="70"/>
        <v/>
      </c>
    </row>
    <row r="644" spans="2:14" x14ac:dyDescent="0.25">
      <c r="B644" s="82">
        <f>SUBTOTAL(103,$D$8:D644)</f>
        <v>637</v>
      </c>
      <c r="C644" s="83" t="s">
        <v>652</v>
      </c>
      <c r="D644" s="84">
        <v>0</v>
      </c>
      <c r="E644" s="85" t="str">
        <f t="shared" si="65"/>
        <v/>
      </c>
      <c r="F644" s="106" t="str">
        <f t="shared" si="71"/>
        <v/>
      </c>
      <c r="G644" s="86"/>
      <c r="H644" s="107">
        <f t="shared" si="66"/>
        <v>0</v>
      </c>
      <c r="I644" s="107">
        <f t="shared" si="67"/>
        <v>0</v>
      </c>
      <c r="J644" s="87">
        <f>IF($D644&gt;0,IFERROR(Параметры!$D$42*$H644/$H$2408,0),0)</f>
        <v>0</v>
      </c>
      <c r="K644" s="87">
        <f>IFERROR(ROUND($N644*Параметры!$D$36,2),0)</f>
        <v>0</v>
      </c>
      <c r="L644" s="87">
        <f t="shared" si="68"/>
        <v>0</v>
      </c>
      <c r="M644" s="87">
        <f t="shared" si="69"/>
        <v>0</v>
      </c>
      <c r="N644" s="107" t="str">
        <f t="shared" si="70"/>
        <v/>
      </c>
    </row>
    <row r="645" spans="2:14" x14ac:dyDescent="0.25">
      <c r="B645" s="82">
        <f>SUBTOTAL(103,$D$8:D645)</f>
        <v>638</v>
      </c>
      <c r="C645" s="83" t="s">
        <v>653</v>
      </c>
      <c r="D645" s="84">
        <v>0</v>
      </c>
      <c r="E645" s="85" t="str">
        <f t="shared" si="65"/>
        <v/>
      </c>
      <c r="F645" s="106" t="str">
        <f t="shared" si="71"/>
        <v/>
      </c>
      <c r="G645" s="86"/>
      <c r="H645" s="107">
        <f t="shared" si="66"/>
        <v>0</v>
      </c>
      <c r="I645" s="107">
        <f t="shared" si="67"/>
        <v>0</v>
      </c>
      <c r="J645" s="87">
        <f>IF($D645&gt;0,IFERROR(Параметры!$D$42*$H645/$H$2408,0),0)</f>
        <v>0</v>
      </c>
      <c r="K645" s="87">
        <f>IFERROR(ROUND($N645*Параметры!$D$36,2),0)</f>
        <v>0</v>
      </c>
      <c r="L645" s="87">
        <f t="shared" si="68"/>
        <v>0</v>
      </c>
      <c r="M645" s="87">
        <f t="shared" si="69"/>
        <v>0</v>
      </c>
      <c r="N645" s="107" t="str">
        <f t="shared" si="70"/>
        <v/>
      </c>
    </row>
    <row r="646" spans="2:14" x14ac:dyDescent="0.25">
      <c r="B646" s="82">
        <f>SUBTOTAL(103,$D$8:D646)</f>
        <v>639</v>
      </c>
      <c r="C646" s="83" t="s">
        <v>654</v>
      </c>
      <c r="D646" s="84">
        <v>0</v>
      </c>
      <c r="E646" s="85" t="str">
        <f t="shared" si="65"/>
        <v/>
      </c>
      <c r="F646" s="106" t="str">
        <f t="shared" si="71"/>
        <v/>
      </c>
      <c r="G646" s="86"/>
      <c r="H646" s="107">
        <f t="shared" si="66"/>
        <v>0</v>
      </c>
      <c r="I646" s="107">
        <f t="shared" si="67"/>
        <v>0</v>
      </c>
      <c r="J646" s="87">
        <f>IF($D646&gt;0,IFERROR(Параметры!$D$42*$H646/$H$2408,0),0)</f>
        <v>0</v>
      </c>
      <c r="K646" s="87">
        <f>IFERROR(ROUND($N646*Параметры!$D$36,2),0)</f>
        <v>0</v>
      </c>
      <c r="L646" s="87">
        <f t="shared" si="68"/>
        <v>0</v>
      </c>
      <c r="M646" s="87">
        <f t="shared" si="69"/>
        <v>0</v>
      </c>
      <c r="N646" s="107" t="str">
        <f t="shared" si="70"/>
        <v/>
      </c>
    </row>
    <row r="647" spans="2:14" x14ac:dyDescent="0.25">
      <c r="B647" s="82">
        <f>SUBTOTAL(103,$D$8:D647)</f>
        <v>640</v>
      </c>
      <c r="C647" s="83" t="s">
        <v>655</v>
      </c>
      <c r="D647" s="84">
        <v>0</v>
      </c>
      <c r="E647" s="85" t="str">
        <f t="shared" si="65"/>
        <v/>
      </c>
      <c r="F647" s="106" t="str">
        <f t="shared" si="71"/>
        <v/>
      </c>
      <c r="G647" s="86"/>
      <c r="H647" s="107">
        <f t="shared" si="66"/>
        <v>0</v>
      </c>
      <c r="I647" s="107">
        <f t="shared" si="67"/>
        <v>0</v>
      </c>
      <c r="J647" s="87">
        <f>IF($D647&gt;0,IFERROR(Параметры!$D$42*$H647/$H$2408,0),0)</f>
        <v>0</v>
      </c>
      <c r="K647" s="87">
        <f>IFERROR(ROUND($N647*Параметры!$D$36,2),0)</f>
        <v>0</v>
      </c>
      <c r="L647" s="87">
        <f t="shared" si="68"/>
        <v>0</v>
      </c>
      <c r="M647" s="87">
        <f t="shared" si="69"/>
        <v>0</v>
      </c>
      <c r="N647" s="107" t="str">
        <f t="shared" si="70"/>
        <v/>
      </c>
    </row>
    <row r="648" spans="2:14" x14ac:dyDescent="0.25">
      <c r="B648" s="82">
        <f>SUBTOTAL(103,$D$8:D648)</f>
        <v>641</v>
      </c>
      <c r="C648" s="83" t="s">
        <v>656</v>
      </c>
      <c r="D648" s="84">
        <v>0</v>
      </c>
      <c r="E648" s="85" t="str">
        <f t="shared" ref="E648:E711" si="72">IF($D648&lt;1,"",$K648+$L648)</f>
        <v/>
      </c>
      <c r="F648" s="106" t="str">
        <f t="shared" si="71"/>
        <v/>
      </c>
      <c r="G648" s="86"/>
      <c r="H648" s="107">
        <f t="shared" ref="H648:H711" si="73">IF($D648&gt;0,$D648*КИС,0)</f>
        <v>0</v>
      </c>
      <c r="I648" s="107">
        <f t="shared" ref="I648:I711" si="74">IF($D648&gt;0,$D648-$H648,0)</f>
        <v>0</v>
      </c>
      <c r="J648" s="87">
        <f>IF($D648&gt;0,IFERROR(Параметры!$D$42*$H648/$H$2408,0),0)</f>
        <v>0</v>
      </c>
      <c r="K648" s="87">
        <f>IFERROR(ROUND($N648*Параметры!$D$36,2),0)</f>
        <v>0</v>
      </c>
      <c r="L648" s="87">
        <f t="shared" ref="L648:L711" si="75">IF($K648&gt;0,$K648*0.055,0)</f>
        <v>0</v>
      </c>
      <c r="M648" s="87">
        <f t="shared" ref="M648:M711" si="76">IFERROR($L648/Плотность_ДТ,0)</f>
        <v>0</v>
      </c>
      <c r="N648" s="107" t="str">
        <f t="shared" ref="N648:N711" si="77">IF($D648&gt;0,MAX(0,$D648-IF($F648="",0,$F648)),"")</f>
        <v/>
      </c>
    </row>
    <row r="649" spans="2:14" x14ac:dyDescent="0.25">
      <c r="B649" s="82">
        <f>SUBTOTAL(103,$D$8:D649)</f>
        <v>642</v>
      </c>
      <c r="C649" s="83" t="s">
        <v>657</v>
      </c>
      <c r="D649" s="84">
        <v>0</v>
      </c>
      <c r="E649" s="85" t="str">
        <f t="shared" si="72"/>
        <v/>
      </c>
      <c r="F649" s="106" t="str">
        <f t="shared" si="71"/>
        <v/>
      </c>
      <c r="G649" s="86"/>
      <c r="H649" s="107">
        <f t="shared" si="73"/>
        <v>0</v>
      </c>
      <c r="I649" s="107">
        <f t="shared" si="74"/>
        <v>0</v>
      </c>
      <c r="J649" s="87">
        <f>IF($D649&gt;0,IFERROR(Параметры!$D$42*$H649/$H$2408,0),0)</f>
        <v>0</v>
      </c>
      <c r="K649" s="87">
        <f>IFERROR(ROUND($N649*Параметры!$D$36,2),0)</f>
        <v>0</v>
      </c>
      <c r="L649" s="87">
        <f t="shared" si="75"/>
        <v>0</v>
      </c>
      <c r="M649" s="87">
        <f t="shared" si="76"/>
        <v>0</v>
      </c>
      <c r="N649" s="107" t="str">
        <f t="shared" si="77"/>
        <v/>
      </c>
    </row>
    <row r="650" spans="2:14" x14ac:dyDescent="0.25">
      <c r="B650" s="82">
        <f>SUBTOTAL(103,$D$8:D650)</f>
        <v>643</v>
      </c>
      <c r="C650" s="83" t="s">
        <v>658</v>
      </c>
      <c r="D650" s="84">
        <v>0</v>
      </c>
      <c r="E650" s="85" t="str">
        <f t="shared" si="72"/>
        <v/>
      </c>
      <c r="F650" s="106" t="str">
        <f t="shared" si="71"/>
        <v/>
      </c>
      <c r="G650" s="86"/>
      <c r="H650" s="107">
        <f t="shared" si="73"/>
        <v>0</v>
      </c>
      <c r="I650" s="107">
        <f t="shared" si="74"/>
        <v>0</v>
      </c>
      <c r="J650" s="87">
        <f>IF($D650&gt;0,IFERROR(Параметры!$D$42*$H650/$H$2408,0),0)</f>
        <v>0</v>
      </c>
      <c r="K650" s="87">
        <f>IFERROR(ROUND($N650*Параметры!$D$36,2),0)</f>
        <v>0</v>
      </c>
      <c r="L650" s="87">
        <f t="shared" si="75"/>
        <v>0</v>
      </c>
      <c r="M650" s="87">
        <f t="shared" si="76"/>
        <v>0</v>
      </c>
      <c r="N650" s="107" t="str">
        <f t="shared" si="77"/>
        <v/>
      </c>
    </row>
    <row r="651" spans="2:14" x14ac:dyDescent="0.25">
      <c r="B651" s="82">
        <f>SUBTOTAL(103,$D$8:D651)</f>
        <v>644</v>
      </c>
      <c r="C651" s="83" t="s">
        <v>659</v>
      </c>
      <c r="D651" s="84">
        <v>0</v>
      </c>
      <c r="E651" s="85" t="str">
        <f t="shared" si="72"/>
        <v/>
      </c>
      <c r="F651" s="106" t="str">
        <f t="shared" ref="F651:F714" si="78">IF(D651&gt;0,2,"")</f>
        <v/>
      </c>
      <c r="G651" s="86"/>
      <c r="H651" s="107">
        <f t="shared" si="73"/>
        <v>0</v>
      </c>
      <c r="I651" s="107">
        <f t="shared" si="74"/>
        <v>0</v>
      </c>
      <c r="J651" s="87">
        <f>IF($D651&gt;0,IFERROR(Параметры!$D$42*$H651/$H$2408,0),0)</f>
        <v>0</v>
      </c>
      <c r="K651" s="87">
        <f>IFERROR(ROUND($N651*Параметры!$D$36,2),0)</f>
        <v>0</v>
      </c>
      <c r="L651" s="87">
        <f t="shared" si="75"/>
        <v>0</v>
      </c>
      <c r="M651" s="87">
        <f t="shared" si="76"/>
        <v>0</v>
      </c>
      <c r="N651" s="107" t="str">
        <f t="shared" si="77"/>
        <v/>
      </c>
    </row>
    <row r="652" spans="2:14" x14ac:dyDescent="0.25">
      <c r="B652" s="82">
        <f>SUBTOTAL(103,$D$8:D652)</f>
        <v>645</v>
      </c>
      <c r="C652" s="83" t="s">
        <v>660</v>
      </c>
      <c r="D652" s="84">
        <v>0</v>
      </c>
      <c r="E652" s="85" t="str">
        <f t="shared" si="72"/>
        <v/>
      </c>
      <c r="F652" s="106" t="str">
        <f t="shared" si="78"/>
        <v/>
      </c>
      <c r="G652" s="86"/>
      <c r="H652" s="107">
        <f t="shared" si="73"/>
        <v>0</v>
      </c>
      <c r="I652" s="107">
        <f t="shared" si="74"/>
        <v>0</v>
      </c>
      <c r="J652" s="87">
        <f>IF($D652&gt;0,IFERROR(Параметры!$D$42*$H652/$H$2408,0),0)</f>
        <v>0</v>
      </c>
      <c r="K652" s="87">
        <f>IFERROR(ROUND($N652*Параметры!$D$36,2),0)</f>
        <v>0</v>
      </c>
      <c r="L652" s="87">
        <f t="shared" si="75"/>
        <v>0</v>
      </c>
      <c r="M652" s="87">
        <f t="shared" si="76"/>
        <v>0</v>
      </c>
      <c r="N652" s="107" t="str">
        <f t="shared" si="77"/>
        <v/>
      </c>
    </row>
    <row r="653" spans="2:14" x14ac:dyDescent="0.25">
      <c r="B653" s="82">
        <f>SUBTOTAL(103,$D$8:D653)</f>
        <v>646</v>
      </c>
      <c r="C653" s="83" t="s">
        <v>661</v>
      </c>
      <c r="D653" s="84">
        <v>0</v>
      </c>
      <c r="E653" s="85" t="str">
        <f t="shared" si="72"/>
        <v/>
      </c>
      <c r="F653" s="106" t="str">
        <f t="shared" si="78"/>
        <v/>
      </c>
      <c r="G653" s="86"/>
      <c r="H653" s="107">
        <f t="shared" si="73"/>
        <v>0</v>
      </c>
      <c r="I653" s="107">
        <f t="shared" si="74"/>
        <v>0</v>
      </c>
      <c r="J653" s="87">
        <f>IF($D653&gt;0,IFERROR(Параметры!$D$42*$H653/$H$2408,0),0)</f>
        <v>0</v>
      </c>
      <c r="K653" s="87">
        <f>IFERROR(ROUND($N653*Параметры!$D$36,2),0)</f>
        <v>0</v>
      </c>
      <c r="L653" s="87">
        <f t="shared" si="75"/>
        <v>0</v>
      </c>
      <c r="M653" s="87">
        <f t="shared" si="76"/>
        <v>0</v>
      </c>
      <c r="N653" s="107" t="str">
        <f t="shared" si="77"/>
        <v/>
      </c>
    </row>
    <row r="654" spans="2:14" x14ac:dyDescent="0.25">
      <c r="B654" s="82">
        <f>SUBTOTAL(103,$D$8:D654)</f>
        <v>647</v>
      </c>
      <c r="C654" s="83" t="s">
        <v>662</v>
      </c>
      <c r="D654" s="84">
        <v>0</v>
      </c>
      <c r="E654" s="85" t="str">
        <f t="shared" si="72"/>
        <v/>
      </c>
      <c r="F654" s="106" t="str">
        <f t="shared" si="78"/>
        <v/>
      </c>
      <c r="G654" s="86"/>
      <c r="H654" s="107">
        <f t="shared" si="73"/>
        <v>0</v>
      </c>
      <c r="I654" s="107">
        <f t="shared" si="74"/>
        <v>0</v>
      </c>
      <c r="J654" s="87">
        <f>IF($D654&gt;0,IFERROR(Параметры!$D$42*$H654/$H$2408,0),0)</f>
        <v>0</v>
      </c>
      <c r="K654" s="87">
        <f>IFERROR(ROUND($N654*Параметры!$D$36,2),0)</f>
        <v>0</v>
      </c>
      <c r="L654" s="87">
        <f t="shared" si="75"/>
        <v>0</v>
      </c>
      <c r="M654" s="87">
        <f t="shared" si="76"/>
        <v>0</v>
      </c>
      <c r="N654" s="107" t="str">
        <f t="shared" si="77"/>
        <v/>
      </c>
    </row>
    <row r="655" spans="2:14" x14ac:dyDescent="0.25">
      <c r="B655" s="82">
        <f>SUBTOTAL(103,$D$8:D655)</f>
        <v>648</v>
      </c>
      <c r="C655" s="83" t="s">
        <v>663</v>
      </c>
      <c r="D655" s="84">
        <v>0</v>
      </c>
      <c r="E655" s="85" t="str">
        <f t="shared" si="72"/>
        <v/>
      </c>
      <c r="F655" s="106" t="str">
        <f t="shared" si="78"/>
        <v/>
      </c>
      <c r="G655" s="86"/>
      <c r="H655" s="107">
        <f t="shared" si="73"/>
        <v>0</v>
      </c>
      <c r="I655" s="107">
        <f t="shared" si="74"/>
        <v>0</v>
      </c>
      <c r="J655" s="87">
        <f>IF($D655&gt;0,IFERROR(Параметры!$D$42*$H655/$H$2408,0),0)</f>
        <v>0</v>
      </c>
      <c r="K655" s="87">
        <f>IFERROR(ROUND($N655*Параметры!$D$36,2),0)</f>
        <v>0</v>
      </c>
      <c r="L655" s="87">
        <f t="shared" si="75"/>
        <v>0</v>
      </c>
      <c r="M655" s="87">
        <f t="shared" si="76"/>
        <v>0</v>
      </c>
      <c r="N655" s="107" t="str">
        <f t="shared" si="77"/>
        <v/>
      </c>
    </row>
    <row r="656" spans="2:14" x14ac:dyDescent="0.25">
      <c r="B656" s="82">
        <f>SUBTOTAL(103,$D$8:D656)</f>
        <v>649</v>
      </c>
      <c r="C656" s="83" t="s">
        <v>664</v>
      </c>
      <c r="D656" s="84">
        <v>0</v>
      </c>
      <c r="E656" s="85" t="str">
        <f t="shared" si="72"/>
        <v/>
      </c>
      <c r="F656" s="106" t="str">
        <f t="shared" si="78"/>
        <v/>
      </c>
      <c r="G656" s="86"/>
      <c r="H656" s="107">
        <f t="shared" si="73"/>
        <v>0</v>
      </c>
      <c r="I656" s="107">
        <f t="shared" si="74"/>
        <v>0</v>
      </c>
      <c r="J656" s="87">
        <f>IF($D656&gt;0,IFERROR(Параметры!$D$42*$H656/$H$2408,0),0)</f>
        <v>0</v>
      </c>
      <c r="K656" s="87">
        <f>IFERROR(ROUND($N656*Параметры!$D$36,2),0)</f>
        <v>0</v>
      </c>
      <c r="L656" s="87">
        <f t="shared" si="75"/>
        <v>0</v>
      </c>
      <c r="M656" s="87">
        <f t="shared" si="76"/>
        <v>0</v>
      </c>
      <c r="N656" s="107" t="str">
        <f t="shared" si="77"/>
        <v/>
      </c>
    </row>
    <row r="657" spans="2:14" x14ac:dyDescent="0.25">
      <c r="B657" s="82">
        <f>SUBTOTAL(103,$D$8:D657)</f>
        <v>650</v>
      </c>
      <c r="C657" s="83" t="s">
        <v>665</v>
      </c>
      <c r="D657" s="84">
        <v>0</v>
      </c>
      <c r="E657" s="85" t="str">
        <f t="shared" si="72"/>
        <v/>
      </c>
      <c r="F657" s="106" t="str">
        <f t="shared" si="78"/>
        <v/>
      </c>
      <c r="G657" s="86"/>
      <c r="H657" s="107">
        <f t="shared" si="73"/>
        <v>0</v>
      </c>
      <c r="I657" s="107">
        <f t="shared" si="74"/>
        <v>0</v>
      </c>
      <c r="J657" s="87">
        <f>IF($D657&gt;0,IFERROR(Параметры!$D$42*$H657/$H$2408,0),0)</f>
        <v>0</v>
      </c>
      <c r="K657" s="87">
        <f>IFERROR(ROUND($N657*Параметры!$D$36,2),0)</f>
        <v>0</v>
      </c>
      <c r="L657" s="87">
        <f t="shared" si="75"/>
        <v>0</v>
      </c>
      <c r="M657" s="87">
        <f t="shared" si="76"/>
        <v>0</v>
      </c>
      <c r="N657" s="107" t="str">
        <f t="shared" si="77"/>
        <v/>
      </c>
    </row>
    <row r="658" spans="2:14" x14ac:dyDescent="0.25">
      <c r="B658" s="82">
        <f>SUBTOTAL(103,$D$8:D658)</f>
        <v>651</v>
      </c>
      <c r="C658" s="83" t="s">
        <v>666</v>
      </c>
      <c r="D658" s="84">
        <v>0</v>
      </c>
      <c r="E658" s="85" t="str">
        <f t="shared" si="72"/>
        <v/>
      </c>
      <c r="F658" s="106" t="str">
        <f t="shared" si="78"/>
        <v/>
      </c>
      <c r="G658" s="86"/>
      <c r="H658" s="107">
        <f t="shared" si="73"/>
        <v>0</v>
      </c>
      <c r="I658" s="107">
        <f t="shared" si="74"/>
        <v>0</v>
      </c>
      <c r="J658" s="87">
        <f>IF($D658&gt;0,IFERROR(Параметры!$D$42*$H658/$H$2408,0),0)</f>
        <v>0</v>
      </c>
      <c r="K658" s="87">
        <f>IFERROR(ROUND($N658*Параметры!$D$36,2),0)</f>
        <v>0</v>
      </c>
      <c r="L658" s="87">
        <f t="shared" si="75"/>
        <v>0</v>
      </c>
      <c r="M658" s="87">
        <f t="shared" si="76"/>
        <v>0</v>
      </c>
      <c r="N658" s="107" t="str">
        <f t="shared" si="77"/>
        <v/>
      </c>
    </row>
    <row r="659" spans="2:14" x14ac:dyDescent="0.25">
      <c r="B659" s="82">
        <f>SUBTOTAL(103,$D$8:D659)</f>
        <v>652</v>
      </c>
      <c r="C659" s="83" t="s">
        <v>667</v>
      </c>
      <c r="D659" s="84">
        <v>0</v>
      </c>
      <c r="E659" s="85" t="str">
        <f t="shared" si="72"/>
        <v/>
      </c>
      <c r="F659" s="106" t="str">
        <f t="shared" si="78"/>
        <v/>
      </c>
      <c r="G659" s="86"/>
      <c r="H659" s="107">
        <f t="shared" si="73"/>
        <v>0</v>
      </c>
      <c r="I659" s="107">
        <f t="shared" si="74"/>
        <v>0</v>
      </c>
      <c r="J659" s="87">
        <f>IF($D659&gt;0,IFERROR(Параметры!$D$42*$H659/$H$2408,0),0)</f>
        <v>0</v>
      </c>
      <c r="K659" s="87">
        <f>IFERROR(ROUND($N659*Параметры!$D$36,2),0)</f>
        <v>0</v>
      </c>
      <c r="L659" s="87">
        <f t="shared" si="75"/>
        <v>0</v>
      </c>
      <c r="M659" s="87">
        <f t="shared" si="76"/>
        <v>0</v>
      </c>
      <c r="N659" s="107" t="str">
        <f t="shared" si="77"/>
        <v/>
      </c>
    </row>
    <row r="660" spans="2:14" x14ac:dyDescent="0.25">
      <c r="B660" s="82">
        <f>SUBTOTAL(103,$D$8:D660)</f>
        <v>653</v>
      </c>
      <c r="C660" s="83" t="s">
        <v>668</v>
      </c>
      <c r="D660" s="84">
        <v>0</v>
      </c>
      <c r="E660" s="85" t="str">
        <f t="shared" si="72"/>
        <v/>
      </c>
      <c r="F660" s="106" t="str">
        <f t="shared" si="78"/>
        <v/>
      </c>
      <c r="G660" s="86"/>
      <c r="H660" s="107">
        <f t="shared" si="73"/>
        <v>0</v>
      </c>
      <c r="I660" s="107">
        <f t="shared" si="74"/>
        <v>0</v>
      </c>
      <c r="J660" s="87">
        <f>IF($D660&gt;0,IFERROR(Параметры!$D$42*$H660/$H$2408,0),0)</f>
        <v>0</v>
      </c>
      <c r="K660" s="87">
        <f>IFERROR(ROUND($N660*Параметры!$D$36,2),0)</f>
        <v>0</v>
      </c>
      <c r="L660" s="87">
        <f t="shared" si="75"/>
        <v>0</v>
      </c>
      <c r="M660" s="87">
        <f t="shared" si="76"/>
        <v>0</v>
      </c>
      <c r="N660" s="107" t="str">
        <f t="shared" si="77"/>
        <v/>
      </c>
    </row>
    <row r="661" spans="2:14" x14ac:dyDescent="0.25">
      <c r="B661" s="82">
        <f>SUBTOTAL(103,$D$8:D661)</f>
        <v>654</v>
      </c>
      <c r="C661" s="83" t="s">
        <v>669</v>
      </c>
      <c r="D661" s="84">
        <v>0</v>
      </c>
      <c r="E661" s="85" t="str">
        <f t="shared" si="72"/>
        <v/>
      </c>
      <c r="F661" s="106" t="str">
        <f t="shared" si="78"/>
        <v/>
      </c>
      <c r="G661" s="86"/>
      <c r="H661" s="107">
        <f t="shared" si="73"/>
        <v>0</v>
      </c>
      <c r="I661" s="107">
        <f t="shared" si="74"/>
        <v>0</v>
      </c>
      <c r="J661" s="87">
        <f>IF($D661&gt;0,IFERROR(Параметры!$D$42*$H661/$H$2408,0),0)</f>
        <v>0</v>
      </c>
      <c r="K661" s="87">
        <f>IFERROR(ROUND($N661*Параметры!$D$36,2),0)</f>
        <v>0</v>
      </c>
      <c r="L661" s="87">
        <f t="shared" si="75"/>
        <v>0</v>
      </c>
      <c r="M661" s="87">
        <f t="shared" si="76"/>
        <v>0</v>
      </c>
      <c r="N661" s="107" t="str">
        <f t="shared" si="77"/>
        <v/>
      </c>
    </row>
    <row r="662" spans="2:14" x14ac:dyDescent="0.25">
      <c r="B662" s="82">
        <f>SUBTOTAL(103,$D$8:D662)</f>
        <v>655</v>
      </c>
      <c r="C662" s="83" t="s">
        <v>670</v>
      </c>
      <c r="D662" s="84">
        <v>0</v>
      </c>
      <c r="E662" s="85" t="str">
        <f t="shared" si="72"/>
        <v/>
      </c>
      <c r="F662" s="106" t="str">
        <f t="shared" si="78"/>
        <v/>
      </c>
      <c r="G662" s="86"/>
      <c r="H662" s="107">
        <f t="shared" si="73"/>
        <v>0</v>
      </c>
      <c r="I662" s="107">
        <f t="shared" si="74"/>
        <v>0</v>
      </c>
      <c r="J662" s="87">
        <f>IF($D662&gt;0,IFERROR(Параметры!$D$42*$H662/$H$2408,0),0)</f>
        <v>0</v>
      </c>
      <c r="K662" s="87">
        <f>IFERROR(ROUND($N662*Параметры!$D$36,2),0)</f>
        <v>0</v>
      </c>
      <c r="L662" s="87">
        <f t="shared" si="75"/>
        <v>0</v>
      </c>
      <c r="M662" s="87">
        <f t="shared" si="76"/>
        <v>0</v>
      </c>
      <c r="N662" s="107" t="str">
        <f t="shared" si="77"/>
        <v/>
      </c>
    </row>
    <row r="663" spans="2:14" x14ac:dyDescent="0.25">
      <c r="B663" s="82">
        <f>SUBTOTAL(103,$D$8:D663)</f>
        <v>656</v>
      </c>
      <c r="C663" s="83" t="s">
        <v>671</v>
      </c>
      <c r="D663" s="84">
        <v>0</v>
      </c>
      <c r="E663" s="85" t="str">
        <f t="shared" si="72"/>
        <v/>
      </c>
      <c r="F663" s="106" t="str">
        <f t="shared" si="78"/>
        <v/>
      </c>
      <c r="G663" s="86"/>
      <c r="H663" s="107">
        <f t="shared" si="73"/>
        <v>0</v>
      </c>
      <c r="I663" s="107">
        <f t="shared" si="74"/>
        <v>0</v>
      </c>
      <c r="J663" s="87">
        <f>IF($D663&gt;0,IFERROR(Параметры!$D$42*$H663/$H$2408,0),0)</f>
        <v>0</v>
      </c>
      <c r="K663" s="87">
        <f>IFERROR(ROUND($N663*Параметры!$D$36,2),0)</f>
        <v>0</v>
      </c>
      <c r="L663" s="87">
        <f t="shared" si="75"/>
        <v>0</v>
      </c>
      <c r="M663" s="87">
        <f t="shared" si="76"/>
        <v>0</v>
      </c>
      <c r="N663" s="107" t="str">
        <f t="shared" si="77"/>
        <v/>
      </c>
    </row>
    <row r="664" spans="2:14" x14ac:dyDescent="0.25">
      <c r="B664" s="82">
        <f>SUBTOTAL(103,$D$8:D664)</f>
        <v>657</v>
      </c>
      <c r="C664" s="83" t="s">
        <v>672</v>
      </c>
      <c r="D664" s="84">
        <v>0</v>
      </c>
      <c r="E664" s="85" t="str">
        <f t="shared" si="72"/>
        <v/>
      </c>
      <c r="F664" s="106" t="str">
        <f t="shared" si="78"/>
        <v/>
      </c>
      <c r="G664" s="86"/>
      <c r="H664" s="107">
        <f t="shared" si="73"/>
        <v>0</v>
      </c>
      <c r="I664" s="107">
        <f t="shared" si="74"/>
        <v>0</v>
      </c>
      <c r="J664" s="87">
        <f>IF($D664&gt;0,IFERROR(Параметры!$D$42*$H664/$H$2408,0),0)</f>
        <v>0</v>
      </c>
      <c r="K664" s="87">
        <f>IFERROR(ROUND($N664*Параметры!$D$36,2),0)</f>
        <v>0</v>
      </c>
      <c r="L664" s="87">
        <f t="shared" si="75"/>
        <v>0</v>
      </c>
      <c r="M664" s="87">
        <f t="shared" si="76"/>
        <v>0</v>
      </c>
      <c r="N664" s="107" t="str">
        <f t="shared" si="77"/>
        <v/>
      </c>
    </row>
    <row r="665" spans="2:14" x14ac:dyDescent="0.25">
      <c r="B665" s="82">
        <f>SUBTOTAL(103,$D$8:D665)</f>
        <v>658</v>
      </c>
      <c r="C665" s="83" t="s">
        <v>673</v>
      </c>
      <c r="D665" s="84">
        <v>0</v>
      </c>
      <c r="E665" s="85" t="str">
        <f t="shared" si="72"/>
        <v/>
      </c>
      <c r="F665" s="106" t="str">
        <f t="shared" si="78"/>
        <v/>
      </c>
      <c r="G665" s="86"/>
      <c r="H665" s="107">
        <f t="shared" si="73"/>
        <v>0</v>
      </c>
      <c r="I665" s="107">
        <f t="shared" si="74"/>
        <v>0</v>
      </c>
      <c r="J665" s="87">
        <f>IF($D665&gt;0,IFERROR(Параметры!$D$42*$H665/$H$2408,0),0)</f>
        <v>0</v>
      </c>
      <c r="K665" s="87">
        <f>IFERROR(ROUND($N665*Параметры!$D$36,2),0)</f>
        <v>0</v>
      </c>
      <c r="L665" s="87">
        <f t="shared" si="75"/>
        <v>0</v>
      </c>
      <c r="M665" s="87">
        <f t="shared" si="76"/>
        <v>0</v>
      </c>
      <c r="N665" s="107" t="str">
        <f t="shared" si="77"/>
        <v/>
      </c>
    </row>
    <row r="666" spans="2:14" x14ac:dyDescent="0.25">
      <c r="B666" s="82">
        <f>SUBTOTAL(103,$D$8:D666)</f>
        <v>659</v>
      </c>
      <c r="C666" s="83" t="s">
        <v>674</v>
      </c>
      <c r="D666" s="84">
        <v>0</v>
      </c>
      <c r="E666" s="85" t="str">
        <f t="shared" si="72"/>
        <v/>
      </c>
      <c r="F666" s="106" t="str">
        <f t="shared" si="78"/>
        <v/>
      </c>
      <c r="G666" s="86"/>
      <c r="H666" s="107">
        <f t="shared" si="73"/>
        <v>0</v>
      </c>
      <c r="I666" s="107">
        <f t="shared" si="74"/>
        <v>0</v>
      </c>
      <c r="J666" s="87">
        <f>IF($D666&gt;0,IFERROR(Параметры!$D$42*$H666/$H$2408,0),0)</f>
        <v>0</v>
      </c>
      <c r="K666" s="87">
        <f>IFERROR(ROUND($N666*Параметры!$D$36,2),0)</f>
        <v>0</v>
      </c>
      <c r="L666" s="87">
        <f t="shared" si="75"/>
        <v>0</v>
      </c>
      <c r="M666" s="87">
        <f t="shared" si="76"/>
        <v>0</v>
      </c>
      <c r="N666" s="107" t="str">
        <f t="shared" si="77"/>
        <v/>
      </c>
    </row>
    <row r="667" spans="2:14" x14ac:dyDescent="0.25">
      <c r="B667" s="82">
        <f>SUBTOTAL(103,$D$8:D667)</f>
        <v>660</v>
      </c>
      <c r="C667" s="83" t="s">
        <v>675</v>
      </c>
      <c r="D667" s="84">
        <v>0</v>
      </c>
      <c r="E667" s="85" t="str">
        <f t="shared" si="72"/>
        <v/>
      </c>
      <c r="F667" s="106" t="str">
        <f t="shared" si="78"/>
        <v/>
      </c>
      <c r="G667" s="86"/>
      <c r="H667" s="107">
        <f t="shared" si="73"/>
        <v>0</v>
      </c>
      <c r="I667" s="107">
        <f t="shared" si="74"/>
        <v>0</v>
      </c>
      <c r="J667" s="87">
        <f>IF($D667&gt;0,IFERROR(Параметры!$D$42*$H667/$H$2408,0),0)</f>
        <v>0</v>
      </c>
      <c r="K667" s="87">
        <f>IFERROR(ROUND($N667*Параметры!$D$36,2),0)</f>
        <v>0</v>
      </c>
      <c r="L667" s="87">
        <f t="shared" si="75"/>
        <v>0</v>
      </c>
      <c r="M667" s="87">
        <f t="shared" si="76"/>
        <v>0</v>
      </c>
      <c r="N667" s="107" t="str">
        <f t="shared" si="77"/>
        <v/>
      </c>
    </row>
    <row r="668" spans="2:14" x14ac:dyDescent="0.25">
      <c r="B668" s="82">
        <f>SUBTOTAL(103,$D$8:D668)</f>
        <v>661</v>
      </c>
      <c r="C668" s="83" t="s">
        <v>676</v>
      </c>
      <c r="D668" s="84">
        <f t="array" ref="D668:D727">TRANSPOSE('Зарядная карта'!$C$16:$BJ$16)</f>
        <v>4</v>
      </c>
      <c r="E668" s="85">
        <f t="shared" si="72"/>
        <v>62.814700000000002</v>
      </c>
      <c r="F668" s="106">
        <f t="shared" si="78"/>
        <v>2</v>
      </c>
      <c r="G668" s="86"/>
      <c r="H668" s="107">
        <f t="shared" si="73"/>
        <v>3.44</v>
      </c>
      <c r="I668" s="107">
        <f t="shared" si="74"/>
        <v>0.56000000000000005</v>
      </c>
      <c r="J668" s="87">
        <f>IF($D668&gt;0,IFERROR(Параметры!$D$42*$H668/$H$2408,0),0)</f>
        <v>60.103959390862947</v>
      </c>
      <c r="K668" s="87">
        <f>IFERROR(ROUND($N668*Параметры!$D$36,2),0)</f>
        <v>59.54</v>
      </c>
      <c r="L668" s="87">
        <f t="shared" si="75"/>
        <v>3.2747000000000002</v>
      </c>
      <c r="M668" s="87">
        <f t="shared" si="76"/>
        <v>3.8420790191534921</v>
      </c>
      <c r="N668" s="107">
        <f t="shared" si="77"/>
        <v>2</v>
      </c>
    </row>
    <row r="669" spans="2:14" x14ac:dyDescent="0.25">
      <c r="B669" s="82">
        <f>SUBTOTAL(103,$D$8:D669)</f>
        <v>662</v>
      </c>
      <c r="C669" s="83" t="s">
        <v>677</v>
      </c>
      <c r="D669" s="84">
        <v>8</v>
      </c>
      <c r="E669" s="85">
        <f t="shared" si="72"/>
        <v>188.44409999999999</v>
      </c>
      <c r="F669" s="106">
        <f t="shared" si="78"/>
        <v>2</v>
      </c>
      <c r="G669" s="86"/>
      <c r="H669" s="107">
        <f t="shared" si="73"/>
        <v>6.88</v>
      </c>
      <c r="I669" s="107">
        <f t="shared" si="74"/>
        <v>1.1200000000000001</v>
      </c>
      <c r="J669" s="87">
        <f>IF($D669&gt;0,IFERROR(Параметры!$D$42*$H669/$H$2408,0),0)</f>
        <v>120.20791878172589</v>
      </c>
      <c r="K669" s="87">
        <f>IFERROR(ROUND($N669*Параметры!$D$36,2),0)</f>
        <v>178.62</v>
      </c>
      <c r="L669" s="87">
        <f t="shared" si="75"/>
        <v>9.8240999999999996</v>
      </c>
      <c r="M669" s="87">
        <f t="shared" si="76"/>
        <v>11.526237057460476</v>
      </c>
      <c r="N669" s="107">
        <f t="shared" si="77"/>
        <v>6</v>
      </c>
    </row>
    <row r="670" spans="2:14" x14ac:dyDescent="0.25">
      <c r="B670" s="82">
        <f>SUBTOTAL(103,$D$8:D670)</f>
        <v>663</v>
      </c>
      <c r="C670" s="83" t="s">
        <v>678</v>
      </c>
      <c r="D670" s="84">
        <v>8</v>
      </c>
      <c r="E670" s="85">
        <f t="shared" si="72"/>
        <v>188.44409999999999</v>
      </c>
      <c r="F670" s="106">
        <f t="shared" si="78"/>
        <v>2</v>
      </c>
      <c r="G670" s="86"/>
      <c r="H670" s="107">
        <f t="shared" si="73"/>
        <v>6.88</v>
      </c>
      <c r="I670" s="107">
        <f t="shared" si="74"/>
        <v>1.1200000000000001</v>
      </c>
      <c r="J670" s="87">
        <f>IF($D670&gt;0,IFERROR(Параметры!$D$42*$H670/$H$2408,0),0)</f>
        <v>120.20791878172589</v>
      </c>
      <c r="K670" s="87">
        <f>IFERROR(ROUND($N670*Параметры!$D$36,2),0)</f>
        <v>178.62</v>
      </c>
      <c r="L670" s="87">
        <f t="shared" si="75"/>
        <v>9.8240999999999996</v>
      </c>
      <c r="M670" s="87">
        <f t="shared" si="76"/>
        <v>11.526237057460476</v>
      </c>
      <c r="N670" s="107">
        <f t="shared" si="77"/>
        <v>6</v>
      </c>
    </row>
    <row r="671" spans="2:14" x14ac:dyDescent="0.25">
      <c r="B671" s="82">
        <f>SUBTOTAL(103,$D$8:D671)</f>
        <v>664</v>
      </c>
      <c r="C671" s="83" t="s">
        <v>679</v>
      </c>
      <c r="D671" s="84">
        <v>8</v>
      </c>
      <c r="E671" s="85">
        <f t="shared" si="72"/>
        <v>188.44409999999999</v>
      </c>
      <c r="F671" s="106">
        <f t="shared" si="78"/>
        <v>2</v>
      </c>
      <c r="G671" s="86"/>
      <c r="H671" s="107">
        <f t="shared" si="73"/>
        <v>6.88</v>
      </c>
      <c r="I671" s="107">
        <f t="shared" si="74"/>
        <v>1.1200000000000001</v>
      </c>
      <c r="J671" s="87">
        <f>IF($D671&gt;0,IFERROR(Параметры!$D$42*$H671/$H$2408,0),0)</f>
        <v>120.20791878172589</v>
      </c>
      <c r="K671" s="87">
        <f>IFERROR(ROUND($N671*Параметры!$D$36,2),0)</f>
        <v>178.62</v>
      </c>
      <c r="L671" s="87">
        <f t="shared" si="75"/>
        <v>9.8240999999999996</v>
      </c>
      <c r="M671" s="87">
        <f t="shared" si="76"/>
        <v>11.526237057460476</v>
      </c>
      <c r="N671" s="107">
        <f t="shared" si="77"/>
        <v>6</v>
      </c>
    </row>
    <row r="672" spans="2:14" x14ac:dyDescent="0.25">
      <c r="B672" s="82">
        <f>SUBTOTAL(103,$D$8:D672)</f>
        <v>665</v>
      </c>
      <c r="C672" s="83" t="s">
        <v>680</v>
      </c>
      <c r="D672" s="84">
        <v>8</v>
      </c>
      <c r="E672" s="85">
        <f t="shared" si="72"/>
        <v>188.44409999999999</v>
      </c>
      <c r="F672" s="106">
        <f t="shared" si="78"/>
        <v>2</v>
      </c>
      <c r="G672" s="86"/>
      <c r="H672" s="107">
        <f t="shared" si="73"/>
        <v>6.88</v>
      </c>
      <c r="I672" s="107">
        <f t="shared" si="74"/>
        <v>1.1200000000000001</v>
      </c>
      <c r="J672" s="87">
        <f>IF($D672&gt;0,IFERROR(Параметры!$D$42*$H672/$H$2408,0),0)</f>
        <v>120.20791878172589</v>
      </c>
      <c r="K672" s="87">
        <f>IFERROR(ROUND($N672*Параметры!$D$36,2),0)</f>
        <v>178.62</v>
      </c>
      <c r="L672" s="87">
        <f t="shared" si="75"/>
        <v>9.8240999999999996</v>
      </c>
      <c r="M672" s="87">
        <f t="shared" si="76"/>
        <v>11.526237057460476</v>
      </c>
      <c r="N672" s="107">
        <f t="shared" si="77"/>
        <v>6</v>
      </c>
    </row>
    <row r="673" spans="2:14" x14ac:dyDescent="0.25">
      <c r="B673" s="82">
        <f>SUBTOTAL(103,$D$8:D673)</f>
        <v>666</v>
      </c>
      <c r="C673" s="83" t="s">
        <v>681</v>
      </c>
      <c r="D673" s="84">
        <v>8</v>
      </c>
      <c r="E673" s="85">
        <f t="shared" si="72"/>
        <v>188.44409999999999</v>
      </c>
      <c r="F673" s="106">
        <f t="shared" si="78"/>
        <v>2</v>
      </c>
      <c r="G673" s="86"/>
      <c r="H673" s="107">
        <f t="shared" si="73"/>
        <v>6.88</v>
      </c>
      <c r="I673" s="107">
        <f t="shared" si="74"/>
        <v>1.1200000000000001</v>
      </c>
      <c r="J673" s="87">
        <f>IF($D673&gt;0,IFERROR(Параметры!$D$42*$H673/$H$2408,0),0)</f>
        <v>120.20791878172589</v>
      </c>
      <c r="K673" s="87">
        <f>IFERROR(ROUND($N673*Параметры!$D$36,2),0)</f>
        <v>178.62</v>
      </c>
      <c r="L673" s="87">
        <f t="shared" si="75"/>
        <v>9.8240999999999996</v>
      </c>
      <c r="M673" s="87">
        <f t="shared" si="76"/>
        <v>11.526237057460476</v>
      </c>
      <c r="N673" s="107">
        <f t="shared" si="77"/>
        <v>6</v>
      </c>
    </row>
    <row r="674" spans="2:14" x14ac:dyDescent="0.25">
      <c r="B674" s="82">
        <f>SUBTOTAL(103,$D$8:D674)</f>
        <v>667</v>
      </c>
      <c r="C674" s="83" t="s">
        <v>682</v>
      </c>
      <c r="D674" s="84">
        <v>8</v>
      </c>
      <c r="E674" s="85">
        <f t="shared" si="72"/>
        <v>188.44409999999999</v>
      </c>
      <c r="F674" s="106">
        <f t="shared" si="78"/>
        <v>2</v>
      </c>
      <c r="G674" s="86"/>
      <c r="H674" s="107">
        <f t="shared" si="73"/>
        <v>6.88</v>
      </c>
      <c r="I674" s="107">
        <f t="shared" si="74"/>
        <v>1.1200000000000001</v>
      </c>
      <c r="J674" s="87">
        <f>IF($D674&gt;0,IFERROR(Параметры!$D$42*$H674/$H$2408,0),0)</f>
        <v>120.20791878172589</v>
      </c>
      <c r="K674" s="87">
        <f>IFERROR(ROUND($N674*Параметры!$D$36,2),0)</f>
        <v>178.62</v>
      </c>
      <c r="L674" s="87">
        <f t="shared" si="75"/>
        <v>9.8240999999999996</v>
      </c>
      <c r="M674" s="87">
        <f t="shared" si="76"/>
        <v>11.526237057460476</v>
      </c>
      <c r="N674" s="107">
        <f t="shared" si="77"/>
        <v>6</v>
      </c>
    </row>
    <row r="675" spans="2:14" x14ac:dyDescent="0.25">
      <c r="B675" s="82">
        <f>SUBTOTAL(103,$D$8:D675)</f>
        <v>668</v>
      </c>
      <c r="C675" s="83" t="s">
        <v>683</v>
      </c>
      <c r="D675" s="84">
        <v>8</v>
      </c>
      <c r="E675" s="85">
        <f t="shared" si="72"/>
        <v>188.44409999999999</v>
      </c>
      <c r="F675" s="106">
        <f t="shared" si="78"/>
        <v>2</v>
      </c>
      <c r="G675" s="86"/>
      <c r="H675" s="107">
        <f t="shared" si="73"/>
        <v>6.88</v>
      </c>
      <c r="I675" s="107">
        <f t="shared" si="74"/>
        <v>1.1200000000000001</v>
      </c>
      <c r="J675" s="87">
        <f>IF($D675&gt;0,IFERROR(Параметры!$D$42*$H675/$H$2408,0),0)</f>
        <v>120.20791878172589</v>
      </c>
      <c r="K675" s="87">
        <f>IFERROR(ROUND($N675*Параметры!$D$36,2),0)</f>
        <v>178.62</v>
      </c>
      <c r="L675" s="87">
        <f t="shared" si="75"/>
        <v>9.8240999999999996</v>
      </c>
      <c r="M675" s="87">
        <f t="shared" si="76"/>
        <v>11.526237057460476</v>
      </c>
      <c r="N675" s="107">
        <f t="shared" si="77"/>
        <v>6</v>
      </c>
    </row>
    <row r="676" spans="2:14" x14ac:dyDescent="0.25">
      <c r="B676" s="82">
        <f>SUBTOTAL(103,$D$8:D676)</f>
        <v>669</v>
      </c>
      <c r="C676" s="83" t="s">
        <v>684</v>
      </c>
      <c r="D676" s="84">
        <v>8</v>
      </c>
      <c r="E676" s="85">
        <f t="shared" si="72"/>
        <v>188.44409999999999</v>
      </c>
      <c r="F676" s="106">
        <f t="shared" si="78"/>
        <v>2</v>
      </c>
      <c r="G676" s="86"/>
      <c r="H676" s="107">
        <f t="shared" si="73"/>
        <v>6.88</v>
      </c>
      <c r="I676" s="107">
        <f t="shared" si="74"/>
        <v>1.1200000000000001</v>
      </c>
      <c r="J676" s="87">
        <f>IF($D676&gt;0,IFERROR(Параметры!$D$42*$H676/$H$2408,0),0)</f>
        <v>120.20791878172589</v>
      </c>
      <c r="K676" s="87">
        <f>IFERROR(ROUND($N676*Параметры!$D$36,2),0)</f>
        <v>178.62</v>
      </c>
      <c r="L676" s="87">
        <f t="shared" si="75"/>
        <v>9.8240999999999996</v>
      </c>
      <c r="M676" s="87">
        <f t="shared" si="76"/>
        <v>11.526237057460476</v>
      </c>
      <c r="N676" s="107">
        <f t="shared" si="77"/>
        <v>6</v>
      </c>
    </row>
    <row r="677" spans="2:14" x14ac:dyDescent="0.25">
      <c r="B677" s="82">
        <f>SUBTOTAL(103,$D$8:D677)</f>
        <v>670</v>
      </c>
      <c r="C677" s="83" t="s">
        <v>685</v>
      </c>
      <c r="D677" s="84">
        <v>8</v>
      </c>
      <c r="E677" s="85">
        <f t="shared" si="72"/>
        <v>188.44409999999999</v>
      </c>
      <c r="F677" s="106">
        <f t="shared" si="78"/>
        <v>2</v>
      </c>
      <c r="G677" s="86"/>
      <c r="H677" s="107">
        <f t="shared" si="73"/>
        <v>6.88</v>
      </c>
      <c r="I677" s="107">
        <f t="shared" si="74"/>
        <v>1.1200000000000001</v>
      </c>
      <c r="J677" s="87">
        <f>IF($D677&gt;0,IFERROR(Параметры!$D$42*$H677/$H$2408,0),0)</f>
        <v>120.20791878172589</v>
      </c>
      <c r="K677" s="87">
        <f>IFERROR(ROUND($N677*Параметры!$D$36,2),0)</f>
        <v>178.62</v>
      </c>
      <c r="L677" s="87">
        <f t="shared" si="75"/>
        <v>9.8240999999999996</v>
      </c>
      <c r="M677" s="87">
        <f t="shared" si="76"/>
        <v>11.526237057460476</v>
      </c>
      <c r="N677" s="107">
        <f t="shared" si="77"/>
        <v>6</v>
      </c>
    </row>
    <row r="678" spans="2:14" x14ac:dyDescent="0.25">
      <c r="B678" s="82">
        <f>SUBTOTAL(103,$D$8:D678)</f>
        <v>671</v>
      </c>
      <c r="C678" s="83" t="s">
        <v>686</v>
      </c>
      <c r="D678" s="84">
        <v>8</v>
      </c>
      <c r="E678" s="85">
        <f t="shared" si="72"/>
        <v>188.44409999999999</v>
      </c>
      <c r="F678" s="106">
        <f t="shared" si="78"/>
        <v>2</v>
      </c>
      <c r="G678" s="86"/>
      <c r="H678" s="107">
        <f t="shared" si="73"/>
        <v>6.88</v>
      </c>
      <c r="I678" s="107">
        <f t="shared" si="74"/>
        <v>1.1200000000000001</v>
      </c>
      <c r="J678" s="87">
        <f>IF($D678&gt;0,IFERROR(Параметры!$D$42*$H678/$H$2408,0),0)</f>
        <v>120.20791878172589</v>
      </c>
      <c r="K678" s="87">
        <f>IFERROR(ROUND($N678*Параметры!$D$36,2),0)</f>
        <v>178.62</v>
      </c>
      <c r="L678" s="87">
        <f t="shared" si="75"/>
        <v>9.8240999999999996</v>
      </c>
      <c r="M678" s="87">
        <f t="shared" si="76"/>
        <v>11.526237057460476</v>
      </c>
      <c r="N678" s="107">
        <f t="shared" si="77"/>
        <v>6</v>
      </c>
    </row>
    <row r="679" spans="2:14" x14ac:dyDescent="0.25">
      <c r="B679" s="82">
        <f>SUBTOTAL(103,$D$8:D679)</f>
        <v>672</v>
      </c>
      <c r="C679" s="83" t="s">
        <v>687</v>
      </c>
      <c r="D679" s="84">
        <v>4</v>
      </c>
      <c r="E679" s="85">
        <f t="shared" si="72"/>
        <v>62.814700000000002</v>
      </c>
      <c r="F679" s="106">
        <f t="shared" si="78"/>
        <v>2</v>
      </c>
      <c r="G679" s="86"/>
      <c r="H679" s="107">
        <f t="shared" si="73"/>
        <v>3.44</v>
      </c>
      <c r="I679" s="107">
        <f t="shared" si="74"/>
        <v>0.56000000000000005</v>
      </c>
      <c r="J679" s="87">
        <f>IF($D679&gt;0,IFERROR(Параметры!$D$42*$H679/$H$2408,0),0)</f>
        <v>60.103959390862947</v>
      </c>
      <c r="K679" s="87">
        <f>IFERROR(ROUND($N679*Параметры!$D$36,2),0)</f>
        <v>59.54</v>
      </c>
      <c r="L679" s="87">
        <f t="shared" si="75"/>
        <v>3.2747000000000002</v>
      </c>
      <c r="M679" s="87">
        <f t="shared" si="76"/>
        <v>3.8420790191534921</v>
      </c>
      <c r="N679" s="107">
        <f t="shared" si="77"/>
        <v>2</v>
      </c>
    </row>
    <row r="680" spans="2:14" x14ac:dyDescent="0.25">
      <c r="B680" s="82">
        <f>SUBTOTAL(103,$D$8:D680)</f>
        <v>673</v>
      </c>
      <c r="C680" s="83" t="s">
        <v>688</v>
      </c>
      <c r="D680" s="84">
        <v>0</v>
      </c>
      <c r="E680" s="85" t="str">
        <f t="shared" si="72"/>
        <v/>
      </c>
      <c r="F680" s="106" t="str">
        <f t="shared" si="78"/>
        <v/>
      </c>
      <c r="G680" s="86"/>
      <c r="H680" s="107">
        <f t="shared" si="73"/>
        <v>0</v>
      </c>
      <c r="I680" s="107">
        <f t="shared" si="74"/>
        <v>0</v>
      </c>
      <c r="J680" s="87">
        <f>IF($D680&gt;0,IFERROR(Параметры!$D$42*$H680/$H$2408,0),0)</f>
        <v>0</v>
      </c>
      <c r="K680" s="87">
        <f>IFERROR(ROUND($N680*Параметры!$D$36,2),0)</f>
        <v>0</v>
      </c>
      <c r="L680" s="87">
        <f t="shared" si="75"/>
        <v>0</v>
      </c>
      <c r="M680" s="87">
        <f t="shared" si="76"/>
        <v>0</v>
      </c>
      <c r="N680" s="107" t="str">
        <f t="shared" si="77"/>
        <v/>
      </c>
    </row>
    <row r="681" spans="2:14" x14ac:dyDescent="0.25">
      <c r="B681" s="82">
        <f>SUBTOTAL(103,$D$8:D681)</f>
        <v>674</v>
      </c>
      <c r="C681" s="83" t="s">
        <v>689</v>
      </c>
      <c r="D681" s="84">
        <v>0</v>
      </c>
      <c r="E681" s="85" t="str">
        <f t="shared" si="72"/>
        <v/>
      </c>
      <c r="F681" s="106" t="str">
        <f t="shared" si="78"/>
        <v/>
      </c>
      <c r="G681" s="86"/>
      <c r="H681" s="107">
        <f t="shared" si="73"/>
        <v>0</v>
      </c>
      <c r="I681" s="107">
        <f t="shared" si="74"/>
        <v>0</v>
      </c>
      <c r="J681" s="87">
        <f>IF($D681&gt;0,IFERROR(Параметры!$D$42*$H681/$H$2408,0),0)</f>
        <v>0</v>
      </c>
      <c r="K681" s="87">
        <f>IFERROR(ROUND($N681*Параметры!$D$36,2),0)</f>
        <v>0</v>
      </c>
      <c r="L681" s="87">
        <f t="shared" si="75"/>
        <v>0</v>
      </c>
      <c r="M681" s="87">
        <f t="shared" si="76"/>
        <v>0</v>
      </c>
      <c r="N681" s="107" t="str">
        <f t="shared" si="77"/>
        <v/>
      </c>
    </row>
    <row r="682" spans="2:14" x14ac:dyDescent="0.25">
      <c r="B682" s="82">
        <f>SUBTOTAL(103,$D$8:D682)</f>
        <v>675</v>
      </c>
      <c r="C682" s="83" t="s">
        <v>690</v>
      </c>
      <c r="D682" s="84">
        <v>0</v>
      </c>
      <c r="E682" s="85" t="str">
        <f t="shared" si="72"/>
        <v/>
      </c>
      <c r="F682" s="106" t="str">
        <f t="shared" si="78"/>
        <v/>
      </c>
      <c r="G682" s="86"/>
      <c r="H682" s="107">
        <f t="shared" si="73"/>
        <v>0</v>
      </c>
      <c r="I682" s="107">
        <f t="shared" si="74"/>
        <v>0</v>
      </c>
      <c r="J682" s="87">
        <f>IF($D682&gt;0,IFERROR(Параметры!$D$42*$H682/$H$2408,0),0)</f>
        <v>0</v>
      </c>
      <c r="K682" s="87">
        <f>IFERROR(ROUND($N682*Параметры!$D$36,2),0)</f>
        <v>0</v>
      </c>
      <c r="L682" s="87">
        <f t="shared" si="75"/>
        <v>0</v>
      </c>
      <c r="M682" s="87">
        <f t="shared" si="76"/>
        <v>0</v>
      </c>
      <c r="N682" s="107" t="str">
        <f t="shared" si="77"/>
        <v/>
      </c>
    </row>
    <row r="683" spans="2:14" x14ac:dyDescent="0.25">
      <c r="B683" s="82">
        <f>SUBTOTAL(103,$D$8:D683)</f>
        <v>676</v>
      </c>
      <c r="C683" s="83" t="s">
        <v>691</v>
      </c>
      <c r="D683" s="84">
        <v>0</v>
      </c>
      <c r="E683" s="85" t="str">
        <f t="shared" si="72"/>
        <v/>
      </c>
      <c r="F683" s="106" t="str">
        <f t="shared" si="78"/>
        <v/>
      </c>
      <c r="G683" s="86"/>
      <c r="H683" s="107">
        <f t="shared" si="73"/>
        <v>0</v>
      </c>
      <c r="I683" s="107">
        <f t="shared" si="74"/>
        <v>0</v>
      </c>
      <c r="J683" s="87">
        <f>IF($D683&gt;0,IFERROR(Параметры!$D$42*$H683/$H$2408,0),0)</f>
        <v>0</v>
      </c>
      <c r="K683" s="87">
        <f>IFERROR(ROUND($N683*Параметры!$D$36,2),0)</f>
        <v>0</v>
      </c>
      <c r="L683" s="87">
        <f t="shared" si="75"/>
        <v>0</v>
      </c>
      <c r="M683" s="87">
        <f t="shared" si="76"/>
        <v>0</v>
      </c>
      <c r="N683" s="107" t="str">
        <f t="shared" si="77"/>
        <v/>
      </c>
    </row>
    <row r="684" spans="2:14" x14ac:dyDescent="0.25">
      <c r="B684" s="82">
        <f>SUBTOTAL(103,$D$8:D684)</f>
        <v>677</v>
      </c>
      <c r="C684" s="83" t="s">
        <v>692</v>
      </c>
      <c r="D684" s="84">
        <v>0</v>
      </c>
      <c r="E684" s="85" t="str">
        <f t="shared" si="72"/>
        <v/>
      </c>
      <c r="F684" s="106" t="str">
        <f t="shared" si="78"/>
        <v/>
      </c>
      <c r="G684" s="86"/>
      <c r="H684" s="107">
        <f t="shared" si="73"/>
        <v>0</v>
      </c>
      <c r="I684" s="107">
        <f t="shared" si="74"/>
        <v>0</v>
      </c>
      <c r="J684" s="87">
        <f>IF($D684&gt;0,IFERROR(Параметры!$D$42*$H684/$H$2408,0),0)</f>
        <v>0</v>
      </c>
      <c r="K684" s="87">
        <f>IFERROR(ROUND($N684*Параметры!$D$36,2),0)</f>
        <v>0</v>
      </c>
      <c r="L684" s="87">
        <f t="shared" si="75"/>
        <v>0</v>
      </c>
      <c r="M684" s="87">
        <f t="shared" si="76"/>
        <v>0</v>
      </c>
      <c r="N684" s="107" t="str">
        <f t="shared" si="77"/>
        <v/>
      </c>
    </row>
    <row r="685" spans="2:14" x14ac:dyDescent="0.25">
      <c r="B685" s="82">
        <f>SUBTOTAL(103,$D$8:D685)</f>
        <v>678</v>
      </c>
      <c r="C685" s="83" t="s">
        <v>693</v>
      </c>
      <c r="D685" s="84">
        <v>0</v>
      </c>
      <c r="E685" s="85" t="str">
        <f t="shared" si="72"/>
        <v/>
      </c>
      <c r="F685" s="106" t="str">
        <f t="shared" si="78"/>
        <v/>
      </c>
      <c r="G685" s="86"/>
      <c r="H685" s="107">
        <f t="shared" si="73"/>
        <v>0</v>
      </c>
      <c r="I685" s="107">
        <f t="shared" si="74"/>
        <v>0</v>
      </c>
      <c r="J685" s="87">
        <f>IF($D685&gt;0,IFERROR(Параметры!$D$42*$H685/$H$2408,0),0)</f>
        <v>0</v>
      </c>
      <c r="K685" s="87">
        <f>IFERROR(ROUND($N685*Параметры!$D$36,2),0)</f>
        <v>0</v>
      </c>
      <c r="L685" s="87">
        <f t="shared" si="75"/>
        <v>0</v>
      </c>
      <c r="M685" s="87">
        <f t="shared" si="76"/>
        <v>0</v>
      </c>
      <c r="N685" s="107" t="str">
        <f t="shared" si="77"/>
        <v/>
      </c>
    </row>
    <row r="686" spans="2:14" x14ac:dyDescent="0.25">
      <c r="B686" s="82">
        <f>SUBTOTAL(103,$D$8:D686)</f>
        <v>679</v>
      </c>
      <c r="C686" s="83" t="s">
        <v>694</v>
      </c>
      <c r="D686" s="84">
        <v>0</v>
      </c>
      <c r="E686" s="85" t="str">
        <f t="shared" si="72"/>
        <v/>
      </c>
      <c r="F686" s="106" t="str">
        <f t="shared" si="78"/>
        <v/>
      </c>
      <c r="G686" s="86"/>
      <c r="H686" s="107">
        <f t="shared" si="73"/>
        <v>0</v>
      </c>
      <c r="I686" s="107">
        <f t="shared" si="74"/>
        <v>0</v>
      </c>
      <c r="J686" s="87">
        <f>IF($D686&gt;0,IFERROR(Параметры!$D$42*$H686/$H$2408,0),0)</f>
        <v>0</v>
      </c>
      <c r="K686" s="87">
        <f>IFERROR(ROUND($N686*Параметры!$D$36,2),0)</f>
        <v>0</v>
      </c>
      <c r="L686" s="87">
        <f t="shared" si="75"/>
        <v>0</v>
      </c>
      <c r="M686" s="87">
        <f t="shared" si="76"/>
        <v>0</v>
      </c>
      <c r="N686" s="107" t="str">
        <f t="shared" si="77"/>
        <v/>
      </c>
    </row>
    <row r="687" spans="2:14" x14ac:dyDescent="0.25">
      <c r="B687" s="82">
        <f>SUBTOTAL(103,$D$8:D687)</f>
        <v>680</v>
      </c>
      <c r="C687" s="83" t="s">
        <v>695</v>
      </c>
      <c r="D687" s="84">
        <v>0</v>
      </c>
      <c r="E687" s="85" t="str">
        <f t="shared" si="72"/>
        <v/>
      </c>
      <c r="F687" s="106" t="str">
        <f t="shared" si="78"/>
        <v/>
      </c>
      <c r="G687" s="86"/>
      <c r="H687" s="107">
        <f t="shared" si="73"/>
        <v>0</v>
      </c>
      <c r="I687" s="107">
        <f t="shared" si="74"/>
        <v>0</v>
      </c>
      <c r="J687" s="87">
        <f>IF($D687&gt;0,IFERROR(Параметры!$D$42*$H687/$H$2408,0),0)</f>
        <v>0</v>
      </c>
      <c r="K687" s="87">
        <f>IFERROR(ROUND($N687*Параметры!$D$36,2),0)</f>
        <v>0</v>
      </c>
      <c r="L687" s="87">
        <f t="shared" si="75"/>
        <v>0</v>
      </c>
      <c r="M687" s="87">
        <f t="shared" si="76"/>
        <v>0</v>
      </c>
      <c r="N687" s="107" t="str">
        <f t="shared" si="77"/>
        <v/>
      </c>
    </row>
    <row r="688" spans="2:14" x14ac:dyDescent="0.25">
      <c r="B688" s="82">
        <f>SUBTOTAL(103,$D$8:D688)</f>
        <v>681</v>
      </c>
      <c r="C688" s="83" t="s">
        <v>696</v>
      </c>
      <c r="D688" s="84">
        <v>0</v>
      </c>
      <c r="E688" s="85" t="str">
        <f t="shared" si="72"/>
        <v/>
      </c>
      <c r="F688" s="106" t="str">
        <f t="shared" si="78"/>
        <v/>
      </c>
      <c r="G688" s="86"/>
      <c r="H688" s="107">
        <f t="shared" si="73"/>
        <v>0</v>
      </c>
      <c r="I688" s="107">
        <f t="shared" si="74"/>
        <v>0</v>
      </c>
      <c r="J688" s="87">
        <f>IF($D688&gt;0,IFERROR(Параметры!$D$42*$H688/$H$2408,0),0)</f>
        <v>0</v>
      </c>
      <c r="K688" s="87">
        <f>IFERROR(ROUND($N688*Параметры!$D$36,2),0)</f>
        <v>0</v>
      </c>
      <c r="L688" s="87">
        <f t="shared" si="75"/>
        <v>0</v>
      </c>
      <c r="M688" s="87">
        <f t="shared" si="76"/>
        <v>0</v>
      </c>
      <c r="N688" s="107" t="str">
        <f t="shared" si="77"/>
        <v/>
      </c>
    </row>
    <row r="689" spans="2:14" x14ac:dyDescent="0.25">
      <c r="B689" s="82">
        <f>SUBTOTAL(103,$D$8:D689)</f>
        <v>682</v>
      </c>
      <c r="C689" s="83" t="s">
        <v>697</v>
      </c>
      <c r="D689" s="84">
        <v>0</v>
      </c>
      <c r="E689" s="85" t="str">
        <f t="shared" si="72"/>
        <v/>
      </c>
      <c r="F689" s="106" t="str">
        <f t="shared" si="78"/>
        <v/>
      </c>
      <c r="G689" s="86"/>
      <c r="H689" s="107">
        <f t="shared" si="73"/>
        <v>0</v>
      </c>
      <c r="I689" s="107">
        <f t="shared" si="74"/>
        <v>0</v>
      </c>
      <c r="J689" s="87">
        <f>IF($D689&gt;0,IFERROR(Параметры!$D$42*$H689/$H$2408,0),0)</f>
        <v>0</v>
      </c>
      <c r="K689" s="87">
        <f>IFERROR(ROUND($N689*Параметры!$D$36,2),0)</f>
        <v>0</v>
      </c>
      <c r="L689" s="87">
        <f t="shared" si="75"/>
        <v>0</v>
      </c>
      <c r="M689" s="87">
        <f t="shared" si="76"/>
        <v>0</v>
      </c>
      <c r="N689" s="107" t="str">
        <f t="shared" si="77"/>
        <v/>
      </c>
    </row>
    <row r="690" spans="2:14" x14ac:dyDescent="0.25">
      <c r="B690" s="82">
        <f>SUBTOTAL(103,$D$8:D690)</f>
        <v>683</v>
      </c>
      <c r="C690" s="83" t="s">
        <v>698</v>
      </c>
      <c r="D690" s="84">
        <v>0</v>
      </c>
      <c r="E690" s="85" t="str">
        <f t="shared" si="72"/>
        <v/>
      </c>
      <c r="F690" s="106" t="str">
        <f t="shared" si="78"/>
        <v/>
      </c>
      <c r="G690" s="86"/>
      <c r="H690" s="107">
        <f t="shared" si="73"/>
        <v>0</v>
      </c>
      <c r="I690" s="107">
        <f t="shared" si="74"/>
        <v>0</v>
      </c>
      <c r="J690" s="87">
        <f>IF($D690&gt;0,IFERROR(Параметры!$D$42*$H690/$H$2408,0),0)</f>
        <v>0</v>
      </c>
      <c r="K690" s="87">
        <f>IFERROR(ROUND($N690*Параметры!$D$36,2),0)</f>
        <v>0</v>
      </c>
      <c r="L690" s="87">
        <f t="shared" si="75"/>
        <v>0</v>
      </c>
      <c r="M690" s="87">
        <f t="shared" si="76"/>
        <v>0</v>
      </c>
      <c r="N690" s="107" t="str">
        <f t="shared" si="77"/>
        <v/>
      </c>
    </row>
    <row r="691" spans="2:14" x14ac:dyDescent="0.25">
      <c r="B691" s="82">
        <f>SUBTOTAL(103,$D$8:D691)</f>
        <v>684</v>
      </c>
      <c r="C691" s="83" t="s">
        <v>699</v>
      </c>
      <c r="D691" s="84">
        <v>0</v>
      </c>
      <c r="E691" s="85" t="str">
        <f t="shared" si="72"/>
        <v/>
      </c>
      <c r="F691" s="106" t="str">
        <f t="shared" si="78"/>
        <v/>
      </c>
      <c r="G691" s="86"/>
      <c r="H691" s="107">
        <f t="shared" si="73"/>
        <v>0</v>
      </c>
      <c r="I691" s="107">
        <f t="shared" si="74"/>
        <v>0</v>
      </c>
      <c r="J691" s="87">
        <f>IF($D691&gt;0,IFERROR(Параметры!$D$42*$H691/$H$2408,0),0)</f>
        <v>0</v>
      </c>
      <c r="K691" s="87">
        <f>IFERROR(ROUND($N691*Параметры!$D$36,2),0)</f>
        <v>0</v>
      </c>
      <c r="L691" s="87">
        <f t="shared" si="75"/>
        <v>0</v>
      </c>
      <c r="M691" s="87">
        <f t="shared" si="76"/>
        <v>0</v>
      </c>
      <c r="N691" s="107" t="str">
        <f t="shared" si="77"/>
        <v/>
      </c>
    </row>
    <row r="692" spans="2:14" x14ac:dyDescent="0.25">
      <c r="B692" s="82">
        <f>SUBTOTAL(103,$D$8:D692)</f>
        <v>685</v>
      </c>
      <c r="C692" s="83" t="s">
        <v>700</v>
      </c>
      <c r="D692" s="84">
        <v>0</v>
      </c>
      <c r="E692" s="85" t="str">
        <f t="shared" si="72"/>
        <v/>
      </c>
      <c r="F692" s="106" t="str">
        <f t="shared" si="78"/>
        <v/>
      </c>
      <c r="G692" s="86"/>
      <c r="H692" s="107">
        <f t="shared" si="73"/>
        <v>0</v>
      </c>
      <c r="I692" s="107">
        <f t="shared" si="74"/>
        <v>0</v>
      </c>
      <c r="J692" s="87">
        <f>IF($D692&gt;0,IFERROR(Параметры!$D$42*$H692/$H$2408,0),0)</f>
        <v>0</v>
      </c>
      <c r="K692" s="87">
        <f>IFERROR(ROUND($N692*Параметры!$D$36,2),0)</f>
        <v>0</v>
      </c>
      <c r="L692" s="87">
        <f t="shared" si="75"/>
        <v>0</v>
      </c>
      <c r="M692" s="87">
        <f t="shared" si="76"/>
        <v>0</v>
      </c>
      <c r="N692" s="107" t="str">
        <f t="shared" si="77"/>
        <v/>
      </c>
    </row>
    <row r="693" spans="2:14" x14ac:dyDescent="0.25">
      <c r="B693" s="82">
        <f>SUBTOTAL(103,$D$8:D693)</f>
        <v>686</v>
      </c>
      <c r="C693" s="83" t="s">
        <v>701</v>
      </c>
      <c r="D693" s="84">
        <v>0</v>
      </c>
      <c r="E693" s="85" t="str">
        <f t="shared" si="72"/>
        <v/>
      </c>
      <c r="F693" s="106" t="str">
        <f t="shared" si="78"/>
        <v/>
      </c>
      <c r="G693" s="86"/>
      <c r="H693" s="107">
        <f t="shared" si="73"/>
        <v>0</v>
      </c>
      <c r="I693" s="107">
        <f t="shared" si="74"/>
        <v>0</v>
      </c>
      <c r="J693" s="87">
        <f>IF($D693&gt;0,IFERROR(Параметры!$D$42*$H693/$H$2408,0),0)</f>
        <v>0</v>
      </c>
      <c r="K693" s="87">
        <f>IFERROR(ROUND($N693*Параметры!$D$36,2),0)</f>
        <v>0</v>
      </c>
      <c r="L693" s="87">
        <f t="shared" si="75"/>
        <v>0</v>
      </c>
      <c r="M693" s="87">
        <f t="shared" si="76"/>
        <v>0</v>
      </c>
      <c r="N693" s="107" t="str">
        <f t="shared" si="77"/>
        <v/>
      </c>
    </row>
    <row r="694" spans="2:14" x14ac:dyDescent="0.25">
      <c r="B694" s="82">
        <f>SUBTOTAL(103,$D$8:D694)</f>
        <v>687</v>
      </c>
      <c r="C694" s="83" t="s">
        <v>702</v>
      </c>
      <c r="D694" s="84">
        <v>0</v>
      </c>
      <c r="E694" s="85" t="str">
        <f t="shared" si="72"/>
        <v/>
      </c>
      <c r="F694" s="106" t="str">
        <f t="shared" si="78"/>
        <v/>
      </c>
      <c r="G694" s="86"/>
      <c r="H694" s="107">
        <f t="shared" si="73"/>
        <v>0</v>
      </c>
      <c r="I694" s="107">
        <f t="shared" si="74"/>
        <v>0</v>
      </c>
      <c r="J694" s="87">
        <f>IF($D694&gt;0,IFERROR(Параметры!$D$42*$H694/$H$2408,0),0)</f>
        <v>0</v>
      </c>
      <c r="K694" s="87">
        <f>IFERROR(ROUND($N694*Параметры!$D$36,2),0)</f>
        <v>0</v>
      </c>
      <c r="L694" s="87">
        <f t="shared" si="75"/>
        <v>0</v>
      </c>
      <c r="M694" s="87">
        <f t="shared" si="76"/>
        <v>0</v>
      </c>
      <c r="N694" s="107" t="str">
        <f t="shared" si="77"/>
        <v/>
      </c>
    </row>
    <row r="695" spans="2:14" x14ac:dyDescent="0.25">
      <c r="B695" s="82">
        <f>SUBTOTAL(103,$D$8:D695)</f>
        <v>688</v>
      </c>
      <c r="C695" s="83" t="s">
        <v>703</v>
      </c>
      <c r="D695" s="84">
        <v>0</v>
      </c>
      <c r="E695" s="85" t="str">
        <f t="shared" si="72"/>
        <v/>
      </c>
      <c r="F695" s="106" t="str">
        <f t="shared" si="78"/>
        <v/>
      </c>
      <c r="G695" s="86"/>
      <c r="H695" s="107">
        <f t="shared" si="73"/>
        <v>0</v>
      </c>
      <c r="I695" s="107">
        <f t="shared" si="74"/>
        <v>0</v>
      </c>
      <c r="J695" s="87">
        <f>IF($D695&gt;0,IFERROR(Параметры!$D$42*$H695/$H$2408,0),0)</f>
        <v>0</v>
      </c>
      <c r="K695" s="87">
        <f>IFERROR(ROUND($N695*Параметры!$D$36,2),0)</f>
        <v>0</v>
      </c>
      <c r="L695" s="87">
        <f t="shared" si="75"/>
        <v>0</v>
      </c>
      <c r="M695" s="87">
        <f t="shared" si="76"/>
        <v>0</v>
      </c>
      <c r="N695" s="107" t="str">
        <f t="shared" si="77"/>
        <v/>
      </c>
    </row>
    <row r="696" spans="2:14" x14ac:dyDescent="0.25">
      <c r="B696" s="82">
        <f>SUBTOTAL(103,$D$8:D696)</f>
        <v>689</v>
      </c>
      <c r="C696" s="83" t="s">
        <v>704</v>
      </c>
      <c r="D696" s="84">
        <v>0</v>
      </c>
      <c r="E696" s="85" t="str">
        <f t="shared" si="72"/>
        <v/>
      </c>
      <c r="F696" s="106" t="str">
        <f t="shared" si="78"/>
        <v/>
      </c>
      <c r="G696" s="86"/>
      <c r="H696" s="107">
        <f t="shared" si="73"/>
        <v>0</v>
      </c>
      <c r="I696" s="107">
        <f t="shared" si="74"/>
        <v>0</v>
      </c>
      <c r="J696" s="87">
        <f>IF($D696&gt;0,IFERROR(Параметры!$D$42*$H696/$H$2408,0),0)</f>
        <v>0</v>
      </c>
      <c r="K696" s="87">
        <f>IFERROR(ROUND($N696*Параметры!$D$36,2),0)</f>
        <v>0</v>
      </c>
      <c r="L696" s="87">
        <f t="shared" si="75"/>
        <v>0</v>
      </c>
      <c r="M696" s="87">
        <f t="shared" si="76"/>
        <v>0</v>
      </c>
      <c r="N696" s="107" t="str">
        <f t="shared" si="77"/>
        <v/>
      </c>
    </row>
    <row r="697" spans="2:14" x14ac:dyDescent="0.25">
      <c r="B697" s="82">
        <f>SUBTOTAL(103,$D$8:D697)</f>
        <v>690</v>
      </c>
      <c r="C697" s="83" t="s">
        <v>705</v>
      </c>
      <c r="D697" s="84">
        <v>0</v>
      </c>
      <c r="E697" s="85" t="str">
        <f t="shared" si="72"/>
        <v/>
      </c>
      <c r="F697" s="106" t="str">
        <f t="shared" si="78"/>
        <v/>
      </c>
      <c r="G697" s="86"/>
      <c r="H697" s="107">
        <f t="shared" si="73"/>
        <v>0</v>
      </c>
      <c r="I697" s="107">
        <f t="shared" si="74"/>
        <v>0</v>
      </c>
      <c r="J697" s="87">
        <f>IF($D697&gt;0,IFERROR(Параметры!$D$42*$H697/$H$2408,0),0)</f>
        <v>0</v>
      </c>
      <c r="K697" s="87">
        <f>IFERROR(ROUND($N697*Параметры!$D$36,2),0)</f>
        <v>0</v>
      </c>
      <c r="L697" s="87">
        <f t="shared" si="75"/>
        <v>0</v>
      </c>
      <c r="M697" s="87">
        <f t="shared" si="76"/>
        <v>0</v>
      </c>
      <c r="N697" s="107" t="str">
        <f t="shared" si="77"/>
        <v/>
      </c>
    </row>
    <row r="698" spans="2:14" x14ac:dyDescent="0.25">
      <c r="B698" s="82">
        <f>SUBTOTAL(103,$D$8:D698)</f>
        <v>691</v>
      </c>
      <c r="C698" s="83" t="s">
        <v>706</v>
      </c>
      <c r="D698" s="84">
        <v>0</v>
      </c>
      <c r="E698" s="85" t="str">
        <f t="shared" si="72"/>
        <v/>
      </c>
      <c r="F698" s="106" t="str">
        <f t="shared" si="78"/>
        <v/>
      </c>
      <c r="G698" s="86"/>
      <c r="H698" s="107">
        <f t="shared" si="73"/>
        <v>0</v>
      </c>
      <c r="I698" s="107">
        <f t="shared" si="74"/>
        <v>0</v>
      </c>
      <c r="J698" s="87">
        <f>IF($D698&gt;0,IFERROR(Параметры!$D$42*$H698/$H$2408,0),0)</f>
        <v>0</v>
      </c>
      <c r="K698" s="87">
        <f>IFERROR(ROUND($N698*Параметры!$D$36,2),0)</f>
        <v>0</v>
      </c>
      <c r="L698" s="87">
        <f t="shared" si="75"/>
        <v>0</v>
      </c>
      <c r="M698" s="87">
        <f t="shared" si="76"/>
        <v>0</v>
      </c>
      <c r="N698" s="107" t="str">
        <f t="shared" si="77"/>
        <v/>
      </c>
    </row>
    <row r="699" spans="2:14" x14ac:dyDescent="0.25">
      <c r="B699" s="82">
        <f>SUBTOTAL(103,$D$8:D699)</f>
        <v>692</v>
      </c>
      <c r="C699" s="83" t="s">
        <v>707</v>
      </c>
      <c r="D699" s="84">
        <v>0</v>
      </c>
      <c r="E699" s="85" t="str">
        <f t="shared" si="72"/>
        <v/>
      </c>
      <c r="F699" s="106" t="str">
        <f t="shared" si="78"/>
        <v/>
      </c>
      <c r="G699" s="86"/>
      <c r="H699" s="107">
        <f t="shared" si="73"/>
        <v>0</v>
      </c>
      <c r="I699" s="107">
        <f t="shared" si="74"/>
        <v>0</v>
      </c>
      <c r="J699" s="87">
        <f>IF($D699&gt;0,IFERROR(Параметры!$D$42*$H699/$H$2408,0),0)</f>
        <v>0</v>
      </c>
      <c r="K699" s="87">
        <f>IFERROR(ROUND($N699*Параметры!$D$36,2),0)</f>
        <v>0</v>
      </c>
      <c r="L699" s="87">
        <f t="shared" si="75"/>
        <v>0</v>
      </c>
      <c r="M699" s="87">
        <f t="shared" si="76"/>
        <v>0</v>
      </c>
      <c r="N699" s="107" t="str">
        <f t="shared" si="77"/>
        <v/>
      </c>
    </row>
    <row r="700" spans="2:14" x14ac:dyDescent="0.25">
      <c r="B700" s="82">
        <f>SUBTOTAL(103,$D$8:D700)</f>
        <v>693</v>
      </c>
      <c r="C700" s="83" t="s">
        <v>708</v>
      </c>
      <c r="D700" s="84">
        <v>0</v>
      </c>
      <c r="E700" s="85" t="str">
        <f t="shared" si="72"/>
        <v/>
      </c>
      <c r="F700" s="106" t="str">
        <f t="shared" si="78"/>
        <v/>
      </c>
      <c r="G700" s="86"/>
      <c r="H700" s="107">
        <f t="shared" si="73"/>
        <v>0</v>
      </c>
      <c r="I700" s="107">
        <f t="shared" si="74"/>
        <v>0</v>
      </c>
      <c r="J700" s="87">
        <f>IF($D700&gt;0,IFERROR(Параметры!$D$42*$H700/$H$2408,0),0)</f>
        <v>0</v>
      </c>
      <c r="K700" s="87">
        <f>IFERROR(ROUND($N700*Параметры!$D$36,2),0)</f>
        <v>0</v>
      </c>
      <c r="L700" s="87">
        <f t="shared" si="75"/>
        <v>0</v>
      </c>
      <c r="M700" s="87">
        <f t="shared" si="76"/>
        <v>0</v>
      </c>
      <c r="N700" s="107" t="str">
        <f t="shared" si="77"/>
        <v/>
      </c>
    </row>
    <row r="701" spans="2:14" x14ac:dyDescent="0.25">
      <c r="B701" s="82">
        <f>SUBTOTAL(103,$D$8:D701)</f>
        <v>694</v>
      </c>
      <c r="C701" s="83" t="s">
        <v>709</v>
      </c>
      <c r="D701" s="84">
        <v>0</v>
      </c>
      <c r="E701" s="85" t="str">
        <f t="shared" si="72"/>
        <v/>
      </c>
      <c r="F701" s="106" t="str">
        <f t="shared" si="78"/>
        <v/>
      </c>
      <c r="G701" s="86"/>
      <c r="H701" s="107">
        <f t="shared" si="73"/>
        <v>0</v>
      </c>
      <c r="I701" s="107">
        <f t="shared" si="74"/>
        <v>0</v>
      </c>
      <c r="J701" s="87">
        <f>IF($D701&gt;0,IFERROR(Параметры!$D$42*$H701/$H$2408,0),0)</f>
        <v>0</v>
      </c>
      <c r="K701" s="87">
        <f>IFERROR(ROUND($N701*Параметры!$D$36,2),0)</f>
        <v>0</v>
      </c>
      <c r="L701" s="87">
        <f t="shared" si="75"/>
        <v>0</v>
      </c>
      <c r="M701" s="87">
        <f t="shared" si="76"/>
        <v>0</v>
      </c>
      <c r="N701" s="107" t="str">
        <f t="shared" si="77"/>
        <v/>
      </c>
    </row>
    <row r="702" spans="2:14" x14ac:dyDescent="0.25">
      <c r="B702" s="82">
        <f>SUBTOTAL(103,$D$8:D702)</f>
        <v>695</v>
      </c>
      <c r="C702" s="83" t="s">
        <v>710</v>
      </c>
      <c r="D702" s="84">
        <v>0</v>
      </c>
      <c r="E702" s="85" t="str">
        <f t="shared" si="72"/>
        <v/>
      </c>
      <c r="F702" s="106" t="str">
        <f t="shared" si="78"/>
        <v/>
      </c>
      <c r="G702" s="86"/>
      <c r="H702" s="107">
        <f t="shared" si="73"/>
        <v>0</v>
      </c>
      <c r="I702" s="107">
        <f t="shared" si="74"/>
        <v>0</v>
      </c>
      <c r="J702" s="87">
        <f>IF($D702&gt;0,IFERROR(Параметры!$D$42*$H702/$H$2408,0),0)</f>
        <v>0</v>
      </c>
      <c r="K702" s="87">
        <f>IFERROR(ROUND($N702*Параметры!$D$36,2),0)</f>
        <v>0</v>
      </c>
      <c r="L702" s="87">
        <f t="shared" si="75"/>
        <v>0</v>
      </c>
      <c r="M702" s="87">
        <f t="shared" si="76"/>
        <v>0</v>
      </c>
      <c r="N702" s="107" t="str">
        <f t="shared" si="77"/>
        <v/>
      </c>
    </row>
    <row r="703" spans="2:14" x14ac:dyDescent="0.25">
      <c r="B703" s="82">
        <f>SUBTOTAL(103,$D$8:D703)</f>
        <v>696</v>
      </c>
      <c r="C703" s="83" t="s">
        <v>711</v>
      </c>
      <c r="D703" s="84">
        <v>0</v>
      </c>
      <c r="E703" s="85" t="str">
        <f t="shared" si="72"/>
        <v/>
      </c>
      <c r="F703" s="106" t="str">
        <f t="shared" si="78"/>
        <v/>
      </c>
      <c r="G703" s="86"/>
      <c r="H703" s="107">
        <f t="shared" si="73"/>
        <v>0</v>
      </c>
      <c r="I703" s="107">
        <f t="shared" si="74"/>
        <v>0</v>
      </c>
      <c r="J703" s="87">
        <f>IF($D703&gt;0,IFERROR(Параметры!$D$42*$H703/$H$2408,0),0)</f>
        <v>0</v>
      </c>
      <c r="K703" s="87">
        <f>IFERROR(ROUND($N703*Параметры!$D$36,2),0)</f>
        <v>0</v>
      </c>
      <c r="L703" s="87">
        <f t="shared" si="75"/>
        <v>0</v>
      </c>
      <c r="M703" s="87">
        <f t="shared" si="76"/>
        <v>0</v>
      </c>
      <c r="N703" s="107" t="str">
        <f t="shared" si="77"/>
        <v/>
      </c>
    </row>
    <row r="704" spans="2:14" x14ac:dyDescent="0.25">
      <c r="B704" s="82">
        <f>SUBTOTAL(103,$D$8:D704)</f>
        <v>697</v>
      </c>
      <c r="C704" s="83" t="s">
        <v>712</v>
      </c>
      <c r="D704" s="84">
        <v>0</v>
      </c>
      <c r="E704" s="85" t="str">
        <f t="shared" si="72"/>
        <v/>
      </c>
      <c r="F704" s="106" t="str">
        <f t="shared" si="78"/>
        <v/>
      </c>
      <c r="G704" s="86"/>
      <c r="H704" s="107">
        <f t="shared" si="73"/>
        <v>0</v>
      </c>
      <c r="I704" s="107">
        <f t="shared" si="74"/>
        <v>0</v>
      </c>
      <c r="J704" s="87">
        <f>IF($D704&gt;0,IFERROR(Параметры!$D$42*$H704/$H$2408,0),0)</f>
        <v>0</v>
      </c>
      <c r="K704" s="87">
        <f>IFERROR(ROUND($N704*Параметры!$D$36,2),0)</f>
        <v>0</v>
      </c>
      <c r="L704" s="87">
        <f t="shared" si="75"/>
        <v>0</v>
      </c>
      <c r="M704" s="87">
        <f t="shared" si="76"/>
        <v>0</v>
      </c>
      <c r="N704" s="107" t="str">
        <f t="shared" si="77"/>
        <v/>
      </c>
    </row>
    <row r="705" spans="2:14" x14ac:dyDescent="0.25">
      <c r="B705" s="82">
        <f>SUBTOTAL(103,$D$8:D705)</f>
        <v>698</v>
      </c>
      <c r="C705" s="83" t="s">
        <v>713</v>
      </c>
      <c r="D705" s="84">
        <v>0</v>
      </c>
      <c r="E705" s="85" t="str">
        <f t="shared" si="72"/>
        <v/>
      </c>
      <c r="F705" s="106" t="str">
        <f t="shared" si="78"/>
        <v/>
      </c>
      <c r="G705" s="86"/>
      <c r="H705" s="107">
        <f t="shared" si="73"/>
        <v>0</v>
      </c>
      <c r="I705" s="107">
        <f t="shared" si="74"/>
        <v>0</v>
      </c>
      <c r="J705" s="87">
        <f>IF($D705&gt;0,IFERROR(Параметры!$D$42*$H705/$H$2408,0),0)</f>
        <v>0</v>
      </c>
      <c r="K705" s="87">
        <f>IFERROR(ROUND($N705*Параметры!$D$36,2),0)</f>
        <v>0</v>
      </c>
      <c r="L705" s="87">
        <f t="shared" si="75"/>
        <v>0</v>
      </c>
      <c r="M705" s="87">
        <f t="shared" si="76"/>
        <v>0</v>
      </c>
      <c r="N705" s="107" t="str">
        <f t="shared" si="77"/>
        <v/>
      </c>
    </row>
    <row r="706" spans="2:14" x14ac:dyDescent="0.25">
      <c r="B706" s="82">
        <f>SUBTOTAL(103,$D$8:D706)</f>
        <v>699</v>
      </c>
      <c r="C706" s="83" t="s">
        <v>714</v>
      </c>
      <c r="D706" s="84">
        <v>0</v>
      </c>
      <c r="E706" s="85" t="str">
        <f t="shared" si="72"/>
        <v/>
      </c>
      <c r="F706" s="106" t="str">
        <f t="shared" si="78"/>
        <v/>
      </c>
      <c r="G706" s="86"/>
      <c r="H706" s="107">
        <f t="shared" si="73"/>
        <v>0</v>
      </c>
      <c r="I706" s="107">
        <f t="shared" si="74"/>
        <v>0</v>
      </c>
      <c r="J706" s="87">
        <f>IF($D706&gt;0,IFERROR(Параметры!$D$42*$H706/$H$2408,0),0)</f>
        <v>0</v>
      </c>
      <c r="K706" s="87">
        <f>IFERROR(ROUND($N706*Параметры!$D$36,2),0)</f>
        <v>0</v>
      </c>
      <c r="L706" s="87">
        <f t="shared" si="75"/>
        <v>0</v>
      </c>
      <c r="M706" s="87">
        <f t="shared" si="76"/>
        <v>0</v>
      </c>
      <c r="N706" s="107" t="str">
        <f t="shared" si="77"/>
        <v/>
      </c>
    </row>
    <row r="707" spans="2:14" x14ac:dyDescent="0.25">
      <c r="B707" s="82">
        <f>SUBTOTAL(103,$D$8:D707)</f>
        <v>700</v>
      </c>
      <c r="C707" s="83" t="s">
        <v>715</v>
      </c>
      <c r="D707" s="84">
        <v>0</v>
      </c>
      <c r="E707" s="85" t="str">
        <f t="shared" si="72"/>
        <v/>
      </c>
      <c r="F707" s="106" t="str">
        <f t="shared" si="78"/>
        <v/>
      </c>
      <c r="G707" s="86"/>
      <c r="H707" s="107">
        <f t="shared" si="73"/>
        <v>0</v>
      </c>
      <c r="I707" s="107">
        <f t="shared" si="74"/>
        <v>0</v>
      </c>
      <c r="J707" s="87">
        <f>IF($D707&gt;0,IFERROR(Параметры!$D$42*$H707/$H$2408,0),0)</f>
        <v>0</v>
      </c>
      <c r="K707" s="87">
        <f>IFERROR(ROUND($N707*Параметры!$D$36,2),0)</f>
        <v>0</v>
      </c>
      <c r="L707" s="87">
        <f t="shared" si="75"/>
        <v>0</v>
      </c>
      <c r="M707" s="87">
        <f t="shared" si="76"/>
        <v>0</v>
      </c>
      <c r="N707" s="107" t="str">
        <f t="shared" si="77"/>
        <v/>
      </c>
    </row>
    <row r="708" spans="2:14" x14ac:dyDescent="0.25">
      <c r="B708" s="82">
        <f>SUBTOTAL(103,$D$8:D708)</f>
        <v>701</v>
      </c>
      <c r="C708" s="83" t="s">
        <v>716</v>
      </c>
      <c r="D708" s="84">
        <v>0</v>
      </c>
      <c r="E708" s="85" t="str">
        <f t="shared" si="72"/>
        <v/>
      </c>
      <c r="F708" s="106" t="str">
        <f t="shared" si="78"/>
        <v/>
      </c>
      <c r="G708" s="86"/>
      <c r="H708" s="107">
        <f t="shared" si="73"/>
        <v>0</v>
      </c>
      <c r="I708" s="107">
        <f t="shared" si="74"/>
        <v>0</v>
      </c>
      <c r="J708" s="87">
        <f>IF($D708&gt;0,IFERROR(Параметры!$D$42*$H708/$H$2408,0),0)</f>
        <v>0</v>
      </c>
      <c r="K708" s="87">
        <f>IFERROR(ROUND($N708*Параметры!$D$36,2),0)</f>
        <v>0</v>
      </c>
      <c r="L708" s="87">
        <f t="shared" si="75"/>
        <v>0</v>
      </c>
      <c r="M708" s="87">
        <f t="shared" si="76"/>
        <v>0</v>
      </c>
      <c r="N708" s="107" t="str">
        <f t="shared" si="77"/>
        <v/>
      </c>
    </row>
    <row r="709" spans="2:14" x14ac:dyDescent="0.25">
      <c r="B709" s="82">
        <f>SUBTOTAL(103,$D$8:D709)</f>
        <v>702</v>
      </c>
      <c r="C709" s="83" t="s">
        <v>717</v>
      </c>
      <c r="D709" s="84">
        <v>0</v>
      </c>
      <c r="E709" s="85" t="str">
        <f t="shared" si="72"/>
        <v/>
      </c>
      <c r="F709" s="106" t="str">
        <f t="shared" si="78"/>
        <v/>
      </c>
      <c r="G709" s="86"/>
      <c r="H709" s="107">
        <f t="shared" si="73"/>
        <v>0</v>
      </c>
      <c r="I709" s="107">
        <f t="shared" si="74"/>
        <v>0</v>
      </c>
      <c r="J709" s="87">
        <f>IF($D709&gt;0,IFERROR(Параметры!$D$42*$H709/$H$2408,0),0)</f>
        <v>0</v>
      </c>
      <c r="K709" s="87">
        <f>IFERROR(ROUND($N709*Параметры!$D$36,2),0)</f>
        <v>0</v>
      </c>
      <c r="L709" s="87">
        <f t="shared" si="75"/>
        <v>0</v>
      </c>
      <c r="M709" s="87">
        <f t="shared" si="76"/>
        <v>0</v>
      </c>
      <c r="N709" s="107" t="str">
        <f t="shared" si="77"/>
        <v/>
      </c>
    </row>
    <row r="710" spans="2:14" x14ac:dyDescent="0.25">
      <c r="B710" s="82">
        <f>SUBTOTAL(103,$D$8:D710)</f>
        <v>703</v>
      </c>
      <c r="C710" s="83" t="s">
        <v>718</v>
      </c>
      <c r="D710" s="84">
        <v>0</v>
      </c>
      <c r="E710" s="85" t="str">
        <f t="shared" si="72"/>
        <v/>
      </c>
      <c r="F710" s="106" t="str">
        <f t="shared" si="78"/>
        <v/>
      </c>
      <c r="G710" s="86"/>
      <c r="H710" s="107">
        <f t="shared" si="73"/>
        <v>0</v>
      </c>
      <c r="I710" s="107">
        <f t="shared" si="74"/>
        <v>0</v>
      </c>
      <c r="J710" s="87">
        <f>IF($D710&gt;0,IFERROR(Параметры!$D$42*$H710/$H$2408,0),0)</f>
        <v>0</v>
      </c>
      <c r="K710" s="87">
        <f>IFERROR(ROUND($N710*Параметры!$D$36,2),0)</f>
        <v>0</v>
      </c>
      <c r="L710" s="87">
        <f t="shared" si="75"/>
        <v>0</v>
      </c>
      <c r="M710" s="87">
        <f t="shared" si="76"/>
        <v>0</v>
      </c>
      <c r="N710" s="107" t="str">
        <f t="shared" si="77"/>
        <v/>
      </c>
    </row>
    <row r="711" spans="2:14" x14ac:dyDescent="0.25">
      <c r="B711" s="82">
        <f>SUBTOTAL(103,$D$8:D711)</f>
        <v>704</v>
      </c>
      <c r="C711" s="83" t="s">
        <v>719</v>
      </c>
      <c r="D711" s="84">
        <v>0</v>
      </c>
      <c r="E711" s="85" t="str">
        <f t="shared" si="72"/>
        <v/>
      </c>
      <c r="F711" s="106" t="str">
        <f t="shared" si="78"/>
        <v/>
      </c>
      <c r="G711" s="86"/>
      <c r="H711" s="107">
        <f t="shared" si="73"/>
        <v>0</v>
      </c>
      <c r="I711" s="107">
        <f t="shared" si="74"/>
        <v>0</v>
      </c>
      <c r="J711" s="87">
        <f>IF($D711&gt;0,IFERROR(Параметры!$D$42*$H711/$H$2408,0),0)</f>
        <v>0</v>
      </c>
      <c r="K711" s="87">
        <f>IFERROR(ROUND($N711*Параметры!$D$36,2),0)</f>
        <v>0</v>
      </c>
      <c r="L711" s="87">
        <f t="shared" si="75"/>
        <v>0</v>
      </c>
      <c r="M711" s="87">
        <f t="shared" si="76"/>
        <v>0</v>
      </c>
      <c r="N711" s="107" t="str">
        <f t="shared" si="77"/>
        <v/>
      </c>
    </row>
    <row r="712" spans="2:14" x14ac:dyDescent="0.25">
      <c r="B712" s="82">
        <f>SUBTOTAL(103,$D$8:D712)</f>
        <v>705</v>
      </c>
      <c r="C712" s="83" t="s">
        <v>720</v>
      </c>
      <c r="D712" s="84">
        <v>0</v>
      </c>
      <c r="E712" s="85" t="str">
        <f t="shared" ref="E712:E775" si="79">IF($D712&lt;1,"",$K712+$L712)</f>
        <v/>
      </c>
      <c r="F712" s="106" t="str">
        <f t="shared" si="78"/>
        <v/>
      </c>
      <c r="G712" s="86"/>
      <c r="H712" s="107">
        <f t="shared" ref="H712:H775" si="80">IF($D712&gt;0,$D712*КИС,0)</f>
        <v>0</v>
      </c>
      <c r="I712" s="107">
        <f t="shared" ref="I712:I775" si="81">IF($D712&gt;0,$D712-$H712,0)</f>
        <v>0</v>
      </c>
      <c r="J712" s="87">
        <f>IF($D712&gt;0,IFERROR(Параметры!$D$42*$H712/$H$2408,0),0)</f>
        <v>0</v>
      </c>
      <c r="K712" s="87">
        <f>IFERROR(ROUND($N712*Параметры!$D$36,2),0)</f>
        <v>0</v>
      </c>
      <c r="L712" s="87">
        <f t="shared" ref="L712:L775" si="82">IF($K712&gt;0,$K712*0.055,0)</f>
        <v>0</v>
      </c>
      <c r="M712" s="87">
        <f t="shared" ref="M712:M775" si="83">IFERROR($L712/Плотность_ДТ,0)</f>
        <v>0</v>
      </c>
      <c r="N712" s="107" t="str">
        <f t="shared" ref="N712:N775" si="84">IF($D712&gt;0,MAX(0,$D712-IF($F712="",0,$F712)),"")</f>
        <v/>
      </c>
    </row>
    <row r="713" spans="2:14" x14ac:dyDescent="0.25">
      <c r="B713" s="82">
        <f>SUBTOTAL(103,$D$8:D713)</f>
        <v>706</v>
      </c>
      <c r="C713" s="83" t="s">
        <v>721</v>
      </c>
      <c r="D713" s="84">
        <v>0</v>
      </c>
      <c r="E713" s="85" t="str">
        <f t="shared" si="79"/>
        <v/>
      </c>
      <c r="F713" s="106" t="str">
        <f t="shared" si="78"/>
        <v/>
      </c>
      <c r="G713" s="86"/>
      <c r="H713" s="107">
        <f t="shared" si="80"/>
        <v>0</v>
      </c>
      <c r="I713" s="107">
        <f t="shared" si="81"/>
        <v>0</v>
      </c>
      <c r="J713" s="87">
        <f>IF($D713&gt;0,IFERROR(Параметры!$D$42*$H713/$H$2408,0),0)</f>
        <v>0</v>
      </c>
      <c r="K713" s="87">
        <f>IFERROR(ROUND($N713*Параметры!$D$36,2),0)</f>
        <v>0</v>
      </c>
      <c r="L713" s="87">
        <f t="shared" si="82"/>
        <v>0</v>
      </c>
      <c r="M713" s="87">
        <f t="shared" si="83"/>
        <v>0</v>
      </c>
      <c r="N713" s="107" t="str">
        <f t="shared" si="84"/>
        <v/>
      </c>
    </row>
    <row r="714" spans="2:14" x14ac:dyDescent="0.25">
      <c r="B714" s="82">
        <f>SUBTOTAL(103,$D$8:D714)</f>
        <v>707</v>
      </c>
      <c r="C714" s="83" t="s">
        <v>722</v>
      </c>
      <c r="D714" s="84">
        <v>0</v>
      </c>
      <c r="E714" s="85" t="str">
        <f t="shared" si="79"/>
        <v/>
      </c>
      <c r="F714" s="106" t="str">
        <f t="shared" si="78"/>
        <v/>
      </c>
      <c r="G714" s="86"/>
      <c r="H714" s="107">
        <f t="shared" si="80"/>
        <v>0</v>
      </c>
      <c r="I714" s="107">
        <f t="shared" si="81"/>
        <v>0</v>
      </c>
      <c r="J714" s="87">
        <f>IF($D714&gt;0,IFERROR(Параметры!$D$42*$H714/$H$2408,0),0)</f>
        <v>0</v>
      </c>
      <c r="K714" s="87">
        <f>IFERROR(ROUND($N714*Параметры!$D$36,2),0)</f>
        <v>0</v>
      </c>
      <c r="L714" s="87">
        <f t="shared" si="82"/>
        <v>0</v>
      </c>
      <c r="M714" s="87">
        <f t="shared" si="83"/>
        <v>0</v>
      </c>
      <c r="N714" s="107" t="str">
        <f t="shared" si="84"/>
        <v/>
      </c>
    </row>
    <row r="715" spans="2:14" x14ac:dyDescent="0.25">
      <c r="B715" s="82">
        <f>SUBTOTAL(103,$D$8:D715)</f>
        <v>708</v>
      </c>
      <c r="C715" s="83" t="s">
        <v>723</v>
      </c>
      <c r="D715" s="84">
        <v>0</v>
      </c>
      <c r="E715" s="85" t="str">
        <f t="shared" si="79"/>
        <v/>
      </c>
      <c r="F715" s="106" t="str">
        <f t="shared" ref="F715:F778" si="85">IF(D715&gt;0,2,"")</f>
        <v/>
      </c>
      <c r="G715" s="86"/>
      <c r="H715" s="107">
        <f t="shared" si="80"/>
        <v>0</v>
      </c>
      <c r="I715" s="107">
        <f t="shared" si="81"/>
        <v>0</v>
      </c>
      <c r="J715" s="87">
        <f>IF($D715&gt;0,IFERROR(Параметры!$D$42*$H715/$H$2408,0),0)</f>
        <v>0</v>
      </c>
      <c r="K715" s="87">
        <f>IFERROR(ROUND($N715*Параметры!$D$36,2),0)</f>
        <v>0</v>
      </c>
      <c r="L715" s="87">
        <f t="shared" si="82"/>
        <v>0</v>
      </c>
      <c r="M715" s="87">
        <f t="shared" si="83"/>
        <v>0</v>
      </c>
      <c r="N715" s="107" t="str">
        <f t="shared" si="84"/>
        <v/>
      </c>
    </row>
    <row r="716" spans="2:14" x14ac:dyDescent="0.25">
      <c r="B716" s="82">
        <f>SUBTOTAL(103,$D$8:D716)</f>
        <v>709</v>
      </c>
      <c r="C716" s="83" t="s">
        <v>724</v>
      </c>
      <c r="D716" s="84">
        <v>0</v>
      </c>
      <c r="E716" s="85" t="str">
        <f t="shared" si="79"/>
        <v/>
      </c>
      <c r="F716" s="106" t="str">
        <f t="shared" si="85"/>
        <v/>
      </c>
      <c r="G716" s="86"/>
      <c r="H716" s="107">
        <f t="shared" si="80"/>
        <v>0</v>
      </c>
      <c r="I716" s="107">
        <f t="shared" si="81"/>
        <v>0</v>
      </c>
      <c r="J716" s="87">
        <f>IF($D716&gt;0,IFERROR(Параметры!$D$42*$H716/$H$2408,0),0)</f>
        <v>0</v>
      </c>
      <c r="K716" s="87">
        <f>IFERROR(ROUND($N716*Параметры!$D$36,2),0)</f>
        <v>0</v>
      </c>
      <c r="L716" s="87">
        <f t="shared" si="82"/>
        <v>0</v>
      </c>
      <c r="M716" s="87">
        <f t="shared" si="83"/>
        <v>0</v>
      </c>
      <c r="N716" s="107" t="str">
        <f t="shared" si="84"/>
        <v/>
      </c>
    </row>
    <row r="717" spans="2:14" x14ac:dyDescent="0.25">
      <c r="B717" s="82">
        <f>SUBTOTAL(103,$D$8:D717)</f>
        <v>710</v>
      </c>
      <c r="C717" s="83" t="s">
        <v>725</v>
      </c>
      <c r="D717" s="84">
        <v>0</v>
      </c>
      <c r="E717" s="85" t="str">
        <f t="shared" si="79"/>
        <v/>
      </c>
      <c r="F717" s="106" t="str">
        <f t="shared" si="85"/>
        <v/>
      </c>
      <c r="G717" s="86"/>
      <c r="H717" s="107">
        <f t="shared" si="80"/>
        <v>0</v>
      </c>
      <c r="I717" s="107">
        <f t="shared" si="81"/>
        <v>0</v>
      </c>
      <c r="J717" s="87">
        <f>IF($D717&gt;0,IFERROR(Параметры!$D$42*$H717/$H$2408,0),0)</f>
        <v>0</v>
      </c>
      <c r="K717" s="87">
        <f>IFERROR(ROUND($N717*Параметры!$D$36,2),0)</f>
        <v>0</v>
      </c>
      <c r="L717" s="87">
        <f t="shared" si="82"/>
        <v>0</v>
      </c>
      <c r="M717" s="87">
        <f t="shared" si="83"/>
        <v>0</v>
      </c>
      <c r="N717" s="107" t="str">
        <f t="shared" si="84"/>
        <v/>
      </c>
    </row>
    <row r="718" spans="2:14" x14ac:dyDescent="0.25">
      <c r="B718" s="82">
        <f>SUBTOTAL(103,$D$8:D718)</f>
        <v>711</v>
      </c>
      <c r="C718" s="83" t="s">
        <v>726</v>
      </c>
      <c r="D718" s="84">
        <v>0</v>
      </c>
      <c r="E718" s="85" t="str">
        <f t="shared" si="79"/>
        <v/>
      </c>
      <c r="F718" s="106" t="str">
        <f t="shared" si="85"/>
        <v/>
      </c>
      <c r="G718" s="86"/>
      <c r="H718" s="107">
        <f t="shared" si="80"/>
        <v>0</v>
      </c>
      <c r="I718" s="107">
        <f t="shared" si="81"/>
        <v>0</v>
      </c>
      <c r="J718" s="87">
        <f>IF($D718&gt;0,IFERROR(Параметры!$D$42*$H718/$H$2408,0),0)</f>
        <v>0</v>
      </c>
      <c r="K718" s="87">
        <f>IFERROR(ROUND($N718*Параметры!$D$36,2),0)</f>
        <v>0</v>
      </c>
      <c r="L718" s="87">
        <f t="shared" si="82"/>
        <v>0</v>
      </c>
      <c r="M718" s="87">
        <f t="shared" si="83"/>
        <v>0</v>
      </c>
      <c r="N718" s="107" t="str">
        <f t="shared" si="84"/>
        <v/>
      </c>
    </row>
    <row r="719" spans="2:14" x14ac:dyDescent="0.25">
      <c r="B719" s="82">
        <f>SUBTOTAL(103,$D$8:D719)</f>
        <v>712</v>
      </c>
      <c r="C719" s="83" t="s">
        <v>727</v>
      </c>
      <c r="D719" s="84">
        <v>0</v>
      </c>
      <c r="E719" s="85" t="str">
        <f t="shared" si="79"/>
        <v/>
      </c>
      <c r="F719" s="106" t="str">
        <f t="shared" si="85"/>
        <v/>
      </c>
      <c r="G719" s="86"/>
      <c r="H719" s="107">
        <f t="shared" si="80"/>
        <v>0</v>
      </c>
      <c r="I719" s="107">
        <f t="shared" si="81"/>
        <v>0</v>
      </c>
      <c r="J719" s="87">
        <f>IF($D719&gt;0,IFERROR(Параметры!$D$42*$H719/$H$2408,0),0)</f>
        <v>0</v>
      </c>
      <c r="K719" s="87">
        <f>IFERROR(ROUND($N719*Параметры!$D$36,2),0)</f>
        <v>0</v>
      </c>
      <c r="L719" s="87">
        <f t="shared" si="82"/>
        <v>0</v>
      </c>
      <c r="M719" s="87">
        <f t="shared" si="83"/>
        <v>0</v>
      </c>
      <c r="N719" s="107" t="str">
        <f t="shared" si="84"/>
        <v/>
      </c>
    </row>
    <row r="720" spans="2:14" x14ac:dyDescent="0.25">
      <c r="B720" s="82">
        <f>SUBTOTAL(103,$D$8:D720)</f>
        <v>713</v>
      </c>
      <c r="C720" s="83" t="s">
        <v>728</v>
      </c>
      <c r="D720" s="84">
        <v>0</v>
      </c>
      <c r="E720" s="85" t="str">
        <f t="shared" si="79"/>
        <v/>
      </c>
      <c r="F720" s="106" t="str">
        <f t="shared" si="85"/>
        <v/>
      </c>
      <c r="G720" s="86"/>
      <c r="H720" s="107">
        <f t="shared" si="80"/>
        <v>0</v>
      </c>
      <c r="I720" s="107">
        <f t="shared" si="81"/>
        <v>0</v>
      </c>
      <c r="J720" s="87">
        <f>IF($D720&gt;0,IFERROR(Параметры!$D$42*$H720/$H$2408,0),0)</f>
        <v>0</v>
      </c>
      <c r="K720" s="87">
        <f>IFERROR(ROUND($N720*Параметры!$D$36,2),0)</f>
        <v>0</v>
      </c>
      <c r="L720" s="87">
        <f t="shared" si="82"/>
        <v>0</v>
      </c>
      <c r="M720" s="87">
        <f t="shared" si="83"/>
        <v>0</v>
      </c>
      <c r="N720" s="107" t="str">
        <f t="shared" si="84"/>
        <v/>
      </c>
    </row>
    <row r="721" spans="2:14" x14ac:dyDescent="0.25">
      <c r="B721" s="82">
        <f>SUBTOTAL(103,$D$8:D721)</f>
        <v>714</v>
      </c>
      <c r="C721" s="83" t="s">
        <v>729</v>
      </c>
      <c r="D721" s="84">
        <v>0</v>
      </c>
      <c r="E721" s="85" t="str">
        <f t="shared" si="79"/>
        <v/>
      </c>
      <c r="F721" s="106" t="str">
        <f t="shared" si="85"/>
        <v/>
      </c>
      <c r="G721" s="86"/>
      <c r="H721" s="107">
        <f t="shared" si="80"/>
        <v>0</v>
      </c>
      <c r="I721" s="107">
        <f t="shared" si="81"/>
        <v>0</v>
      </c>
      <c r="J721" s="87">
        <f>IF($D721&gt;0,IFERROR(Параметры!$D$42*$H721/$H$2408,0),0)</f>
        <v>0</v>
      </c>
      <c r="K721" s="87">
        <f>IFERROR(ROUND($N721*Параметры!$D$36,2),0)</f>
        <v>0</v>
      </c>
      <c r="L721" s="87">
        <f t="shared" si="82"/>
        <v>0</v>
      </c>
      <c r="M721" s="87">
        <f t="shared" si="83"/>
        <v>0</v>
      </c>
      <c r="N721" s="107" t="str">
        <f t="shared" si="84"/>
        <v/>
      </c>
    </row>
    <row r="722" spans="2:14" x14ac:dyDescent="0.25">
      <c r="B722" s="82">
        <f>SUBTOTAL(103,$D$8:D722)</f>
        <v>715</v>
      </c>
      <c r="C722" s="83" t="s">
        <v>730</v>
      </c>
      <c r="D722" s="84">
        <v>0</v>
      </c>
      <c r="E722" s="85" t="str">
        <f t="shared" si="79"/>
        <v/>
      </c>
      <c r="F722" s="106" t="str">
        <f t="shared" si="85"/>
        <v/>
      </c>
      <c r="G722" s="86"/>
      <c r="H722" s="107">
        <f t="shared" si="80"/>
        <v>0</v>
      </c>
      <c r="I722" s="107">
        <f t="shared" si="81"/>
        <v>0</v>
      </c>
      <c r="J722" s="87">
        <f>IF($D722&gt;0,IFERROR(Параметры!$D$42*$H722/$H$2408,0),0)</f>
        <v>0</v>
      </c>
      <c r="K722" s="87">
        <f>IFERROR(ROUND($N722*Параметры!$D$36,2),0)</f>
        <v>0</v>
      </c>
      <c r="L722" s="87">
        <f t="shared" si="82"/>
        <v>0</v>
      </c>
      <c r="M722" s="87">
        <f t="shared" si="83"/>
        <v>0</v>
      </c>
      <c r="N722" s="107" t="str">
        <f t="shared" si="84"/>
        <v/>
      </c>
    </row>
    <row r="723" spans="2:14" x14ac:dyDescent="0.25">
      <c r="B723" s="82">
        <f>SUBTOTAL(103,$D$8:D723)</f>
        <v>716</v>
      </c>
      <c r="C723" s="83" t="s">
        <v>731</v>
      </c>
      <c r="D723" s="84">
        <v>0</v>
      </c>
      <c r="E723" s="85" t="str">
        <f t="shared" si="79"/>
        <v/>
      </c>
      <c r="F723" s="106" t="str">
        <f t="shared" si="85"/>
        <v/>
      </c>
      <c r="G723" s="86"/>
      <c r="H723" s="107">
        <f t="shared" si="80"/>
        <v>0</v>
      </c>
      <c r="I723" s="107">
        <f t="shared" si="81"/>
        <v>0</v>
      </c>
      <c r="J723" s="87">
        <f>IF($D723&gt;0,IFERROR(Параметры!$D$42*$H723/$H$2408,0),0)</f>
        <v>0</v>
      </c>
      <c r="K723" s="87">
        <f>IFERROR(ROUND($N723*Параметры!$D$36,2),0)</f>
        <v>0</v>
      </c>
      <c r="L723" s="87">
        <f t="shared" si="82"/>
        <v>0</v>
      </c>
      <c r="M723" s="87">
        <f t="shared" si="83"/>
        <v>0</v>
      </c>
      <c r="N723" s="107" t="str">
        <f t="shared" si="84"/>
        <v/>
      </c>
    </row>
    <row r="724" spans="2:14" x14ac:dyDescent="0.25">
      <c r="B724" s="82">
        <f>SUBTOTAL(103,$D$8:D724)</f>
        <v>717</v>
      </c>
      <c r="C724" s="83" t="s">
        <v>732</v>
      </c>
      <c r="D724" s="84">
        <v>0</v>
      </c>
      <c r="E724" s="85" t="str">
        <f t="shared" si="79"/>
        <v/>
      </c>
      <c r="F724" s="106" t="str">
        <f t="shared" si="85"/>
        <v/>
      </c>
      <c r="G724" s="86"/>
      <c r="H724" s="107">
        <f t="shared" si="80"/>
        <v>0</v>
      </c>
      <c r="I724" s="107">
        <f t="shared" si="81"/>
        <v>0</v>
      </c>
      <c r="J724" s="87">
        <f>IF($D724&gt;0,IFERROR(Параметры!$D$42*$H724/$H$2408,0),0)</f>
        <v>0</v>
      </c>
      <c r="K724" s="87">
        <f>IFERROR(ROUND($N724*Параметры!$D$36,2),0)</f>
        <v>0</v>
      </c>
      <c r="L724" s="87">
        <f t="shared" si="82"/>
        <v>0</v>
      </c>
      <c r="M724" s="87">
        <f t="shared" si="83"/>
        <v>0</v>
      </c>
      <c r="N724" s="107" t="str">
        <f t="shared" si="84"/>
        <v/>
      </c>
    </row>
    <row r="725" spans="2:14" x14ac:dyDescent="0.25">
      <c r="B725" s="82">
        <f>SUBTOTAL(103,$D$8:D725)</f>
        <v>718</v>
      </c>
      <c r="C725" s="83" t="s">
        <v>733</v>
      </c>
      <c r="D725" s="84">
        <v>0</v>
      </c>
      <c r="E725" s="85" t="str">
        <f t="shared" si="79"/>
        <v/>
      </c>
      <c r="F725" s="106" t="str">
        <f t="shared" si="85"/>
        <v/>
      </c>
      <c r="G725" s="86"/>
      <c r="H725" s="107">
        <f t="shared" si="80"/>
        <v>0</v>
      </c>
      <c r="I725" s="107">
        <f t="shared" si="81"/>
        <v>0</v>
      </c>
      <c r="J725" s="87">
        <f>IF($D725&gt;0,IFERROR(Параметры!$D$42*$H725/$H$2408,0),0)</f>
        <v>0</v>
      </c>
      <c r="K725" s="87">
        <f>IFERROR(ROUND($N725*Параметры!$D$36,2),0)</f>
        <v>0</v>
      </c>
      <c r="L725" s="87">
        <f t="shared" si="82"/>
        <v>0</v>
      </c>
      <c r="M725" s="87">
        <f t="shared" si="83"/>
        <v>0</v>
      </c>
      <c r="N725" s="107" t="str">
        <f t="shared" si="84"/>
        <v/>
      </c>
    </row>
    <row r="726" spans="2:14" x14ac:dyDescent="0.25">
      <c r="B726" s="82">
        <f>SUBTOTAL(103,$D$8:D726)</f>
        <v>719</v>
      </c>
      <c r="C726" s="83" t="s">
        <v>734</v>
      </c>
      <c r="D726" s="84">
        <v>0</v>
      </c>
      <c r="E726" s="85" t="str">
        <f t="shared" si="79"/>
        <v/>
      </c>
      <c r="F726" s="106" t="str">
        <f t="shared" si="85"/>
        <v/>
      </c>
      <c r="G726" s="86"/>
      <c r="H726" s="107">
        <f t="shared" si="80"/>
        <v>0</v>
      </c>
      <c r="I726" s="107">
        <f t="shared" si="81"/>
        <v>0</v>
      </c>
      <c r="J726" s="87">
        <f>IF($D726&gt;0,IFERROR(Параметры!$D$42*$H726/$H$2408,0),0)</f>
        <v>0</v>
      </c>
      <c r="K726" s="87">
        <f>IFERROR(ROUND($N726*Параметры!$D$36,2),0)</f>
        <v>0</v>
      </c>
      <c r="L726" s="87">
        <f t="shared" si="82"/>
        <v>0</v>
      </c>
      <c r="M726" s="87">
        <f t="shared" si="83"/>
        <v>0</v>
      </c>
      <c r="N726" s="107" t="str">
        <f t="shared" si="84"/>
        <v/>
      </c>
    </row>
    <row r="727" spans="2:14" x14ac:dyDescent="0.25">
      <c r="B727" s="82">
        <f>SUBTOTAL(103,$D$8:D727)</f>
        <v>720</v>
      </c>
      <c r="C727" s="83" t="s">
        <v>735</v>
      </c>
      <c r="D727" s="84">
        <v>0</v>
      </c>
      <c r="E727" s="85" t="str">
        <f t="shared" si="79"/>
        <v/>
      </c>
      <c r="F727" s="106" t="str">
        <f t="shared" si="85"/>
        <v/>
      </c>
      <c r="G727" s="86"/>
      <c r="H727" s="107">
        <f t="shared" si="80"/>
        <v>0</v>
      </c>
      <c r="I727" s="107">
        <f t="shared" si="81"/>
        <v>0</v>
      </c>
      <c r="J727" s="87">
        <f>IF($D727&gt;0,IFERROR(Параметры!$D$42*$H727/$H$2408,0),0)</f>
        <v>0</v>
      </c>
      <c r="K727" s="87">
        <f>IFERROR(ROUND($N727*Параметры!$D$36,2),0)</f>
        <v>0</v>
      </c>
      <c r="L727" s="87">
        <f t="shared" si="82"/>
        <v>0</v>
      </c>
      <c r="M727" s="87">
        <f t="shared" si="83"/>
        <v>0</v>
      </c>
      <c r="N727" s="107" t="str">
        <f t="shared" si="84"/>
        <v/>
      </c>
    </row>
    <row r="728" spans="2:14" x14ac:dyDescent="0.25">
      <c r="B728" s="82">
        <f>SUBTOTAL(103,$D$8:D728)</f>
        <v>721</v>
      </c>
      <c r="C728" s="83" t="s">
        <v>736</v>
      </c>
      <c r="D728" s="84">
        <f t="array" ref="D728:D787">TRANSPOSE('Зарядная карта'!$C$17:$BJ$17)</f>
        <v>4</v>
      </c>
      <c r="E728" s="85">
        <f t="shared" si="79"/>
        <v>62.814700000000002</v>
      </c>
      <c r="F728" s="106">
        <f t="shared" si="85"/>
        <v>2</v>
      </c>
      <c r="G728" s="86"/>
      <c r="H728" s="107">
        <f t="shared" si="80"/>
        <v>3.44</v>
      </c>
      <c r="I728" s="107">
        <f t="shared" si="81"/>
        <v>0.56000000000000005</v>
      </c>
      <c r="J728" s="87">
        <f>IF($D728&gt;0,IFERROR(Параметры!$D$42*$H728/$H$2408,0),0)</f>
        <v>60.103959390862947</v>
      </c>
      <c r="K728" s="87">
        <f>IFERROR(ROUND($N728*Параметры!$D$36,2),0)</f>
        <v>59.54</v>
      </c>
      <c r="L728" s="87">
        <f t="shared" si="82"/>
        <v>3.2747000000000002</v>
      </c>
      <c r="M728" s="87">
        <f t="shared" si="83"/>
        <v>3.8420790191534921</v>
      </c>
      <c r="N728" s="107">
        <f t="shared" si="84"/>
        <v>2</v>
      </c>
    </row>
    <row r="729" spans="2:14" x14ac:dyDescent="0.25">
      <c r="B729" s="82">
        <f>SUBTOTAL(103,$D$8:D729)</f>
        <v>722</v>
      </c>
      <c r="C729" s="83" t="s">
        <v>737</v>
      </c>
      <c r="D729" s="84">
        <v>8</v>
      </c>
      <c r="E729" s="85">
        <f t="shared" si="79"/>
        <v>188.44409999999999</v>
      </c>
      <c r="F729" s="106">
        <f t="shared" si="85"/>
        <v>2</v>
      </c>
      <c r="G729" s="86"/>
      <c r="H729" s="107">
        <f t="shared" si="80"/>
        <v>6.88</v>
      </c>
      <c r="I729" s="107">
        <f t="shared" si="81"/>
        <v>1.1200000000000001</v>
      </c>
      <c r="J729" s="87">
        <f>IF($D729&gt;0,IFERROR(Параметры!$D$42*$H729/$H$2408,0),0)</f>
        <v>120.20791878172589</v>
      </c>
      <c r="K729" s="87">
        <f>IFERROR(ROUND($N729*Параметры!$D$36,2),0)</f>
        <v>178.62</v>
      </c>
      <c r="L729" s="87">
        <f t="shared" si="82"/>
        <v>9.8240999999999996</v>
      </c>
      <c r="M729" s="87">
        <f t="shared" si="83"/>
        <v>11.526237057460476</v>
      </c>
      <c r="N729" s="107">
        <f t="shared" si="84"/>
        <v>6</v>
      </c>
    </row>
    <row r="730" spans="2:14" x14ac:dyDescent="0.25">
      <c r="B730" s="82">
        <f>SUBTOTAL(103,$D$8:D730)</f>
        <v>723</v>
      </c>
      <c r="C730" s="83" t="s">
        <v>738</v>
      </c>
      <c r="D730" s="84">
        <v>8</v>
      </c>
      <c r="E730" s="85">
        <f t="shared" si="79"/>
        <v>188.44409999999999</v>
      </c>
      <c r="F730" s="106">
        <f t="shared" si="85"/>
        <v>2</v>
      </c>
      <c r="G730" s="86"/>
      <c r="H730" s="107">
        <f t="shared" si="80"/>
        <v>6.88</v>
      </c>
      <c r="I730" s="107">
        <f t="shared" si="81"/>
        <v>1.1200000000000001</v>
      </c>
      <c r="J730" s="87">
        <f>IF($D730&gt;0,IFERROR(Параметры!$D$42*$H730/$H$2408,0),0)</f>
        <v>120.20791878172589</v>
      </c>
      <c r="K730" s="87">
        <f>IFERROR(ROUND($N730*Параметры!$D$36,2),0)</f>
        <v>178.62</v>
      </c>
      <c r="L730" s="87">
        <f t="shared" si="82"/>
        <v>9.8240999999999996</v>
      </c>
      <c r="M730" s="87">
        <f t="shared" si="83"/>
        <v>11.526237057460476</v>
      </c>
      <c r="N730" s="107">
        <f t="shared" si="84"/>
        <v>6</v>
      </c>
    </row>
    <row r="731" spans="2:14" x14ac:dyDescent="0.25">
      <c r="B731" s="82">
        <f>SUBTOTAL(103,$D$8:D731)</f>
        <v>724</v>
      </c>
      <c r="C731" s="83" t="s">
        <v>739</v>
      </c>
      <c r="D731" s="84">
        <v>8</v>
      </c>
      <c r="E731" s="85">
        <f t="shared" si="79"/>
        <v>188.44409999999999</v>
      </c>
      <c r="F731" s="106">
        <f t="shared" si="85"/>
        <v>2</v>
      </c>
      <c r="G731" s="86"/>
      <c r="H731" s="107">
        <f t="shared" si="80"/>
        <v>6.88</v>
      </c>
      <c r="I731" s="107">
        <f t="shared" si="81"/>
        <v>1.1200000000000001</v>
      </c>
      <c r="J731" s="87">
        <f>IF($D731&gt;0,IFERROR(Параметры!$D$42*$H731/$H$2408,0),0)</f>
        <v>120.20791878172589</v>
      </c>
      <c r="K731" s="87">
        <f>IFERROR(ROUND($N731*Параметры!$D$36,2),0)</f>
        <v>178.62</v>
      </c>
      <c r="L731" s="87">
        <f t="shared" si="82"/>
        <v>9.8240999999999996</v>
      </c>
      <c r="M731" s="87">
        <f t="shared" si="83"/>
        <v>11.526237057460476</v>
      </c>
      <c r="N731" s="107">
        <f t="shared" si="84"/>
        <v>6</v>
      </c>
    </row>
    <row r="732" spans="2:14" x14ac:dyDescent="0.25">
      <c r="B732" s="82">
        <f>SUBTOTAL(103,$D$8:D732)</f>
        <v>725</v>
      </c>
      <c r="C732" s="83" t="s">
        <v>740</v>
      </c>
      <c r="D732" s="84">
        <v>8</v>
      </c>
      <c r="E732" s="85">
        <f t="shared" si="79"/>
        <v>188.44409999999999</v>
      </c>
      <c r="F732" s="106">
        <f t="shared" si="85"/>
        <v>2</v>
      </c>
      <c r="G732" s="86"/>
      <c r="H732" s="107">
        <f t="shared" si="80"/>
        <v>6.88</v>
      </c>
      <c r="I732" s="107">
        <f t="shared" si="81"/>
        <v>1.1200000000000001</v>
      </c>
      <c r="J732" s="87">
        <f>IF($D732&gt;0,IFERROR(Параметры!$D$42*$H732/$H$2408,0),0)</f>
        <v>120.20791878172589</v>
      </c>
      <c r="K732" s="87">
        <f>IFERROR(ROUND($N732*Параметры!$D$36,2),0)</f>
        <v>178.62</v>
      </c>
      <c r="L732" s="87">
        <f t="shared" si="82"/>
        <v>9.8240999999999996</v>
      </c>
      <c r="M732" s="87">
        <f t="shared" si="83"/>
        <v>11.526237057460476</v>
      </c>
      <c r="N732" s="107">
        <f t="shared" si="84"/>
        <v>6</v>
      </c>
    </row>
    <row r="733" spans="2:14" x14ac:dyDescent="0.25">
      <c r="B733" s="82">
        <f>SUBTOTAL(103,$D$8:D733)</f>
        <v>726</v>
      </c>
      <c r="C733" s="83" t="s">
        <v>741</v>
      </c>
      <c r="D733" s="84">
        <v>8</v>
      </c>
      <c r="E733" s="85">
        <f t="shared" si="79"/>
        <v>188.44409999999999</v>
      </c>
      <c r="F733" s="106">
        <f t="shared" si="85"/>
        <v>2</v>
      </c>
      <c r="G733" s="86"/>
      <c r="H733" s="107">
        <f t="shared" si="80"/>
        <v>6.88</v>
      </c>
      <c r="I733" s="107">
        <f t="shared" si="81"/>
        <v>1.1200000000000001</v>
      </c>
      <c r="J733" s="87">
        <f>IF($D733&gt;0,IFERROR(Параметры!$D$42*$H733/$H$2408,0),0)</f>
        <v>120.20791878172589</v>
      </c>
      <c r="K733" s="87">
        <f>IFERROR(ROUND($N733*Параметры!$D$36,2),0)</f>
        <v>178.62</v>
      </c>
      <c r="L733" s="87">
        <f t="shared" si="82"/>
        <v>9.8240999999999996</v>
      </c>
      <c r="M733" s="87">
        <f t="shared" si="83"/>
        <v>11.526237057460476</v>
      </c>
      <c r="N733" s="107">
        <f t="shared" si="84"/>
        <v>6</v>
      </c>
    </row>
    <row r="734" spans="2:14" x14ac:dyDescent="0.25">
      <c r="B734" s="82">
        <f>SUBTOTAL(103,$D$8:D734)</f>
        <v>727</v>
      </c>
      <c r="C734" s="83" t="s">
        <v>742</v>
      </c>
      <c r="D734" s="84">
        <v>8</v>
      </c>
      <c r="E734" s="85">
        <f t="shared" si="79"/>
        <v>188.44409999999999</v>
      </c>
      <c r="F734" s="106">
        <f t="shared" si="85"/>
        <v>2</v>
      </c>
      <c r="G734" s="86"/>
      <c r="H734" s="107">
        <f t="shared" si="80"/>
        <v>6.88</v>
      </c>
      <c r="I734" s="107">
        <f t="shared" si="81"/>
        <v>1.1200000000000001</v>
      </c>
      <c r="J734" s="87">
        <f>IF($D734&gt;0,IFERROR(Параметры!$D$42*$H734/$H$2408,0),0)</f>
        <v>120.20791878172589</v>
      </c>
      <c r="K734" s="87">
        <f>IFERROR(ROUND($N734*Параметры!$D$36,2),0)</f>
        <v>178.62</v>
      </c>
      <c r="L734" s="87">
        <f t="shared" si="82"/>
        <v>9.8240999999999996</v>
      </c>
      <c r="M734" s="87">
        <f t="shared" si="83"/>
        <v>11.526237057460476</v>
      </c>
      <c r="N734" s="107">
        <f t="shared" si="84"/>
        <v>6</v>
      </c>
    </row>
    <row r="735" spans="2:14" x14ac:dyDescent="0.25">
      <c r="B735" s="82">
        <f>SUBTOTAL(103,$D$8:D735)</f>
        <v>728</v>
      </c>
      <c r="C735" s="83" t="s">
        <v>743</v>
      </c>
      <c r="D735" s="84">
        <v>8</v>
      </c>
      <c r="E735" s="85">
        <f t="shared" si="79"/>
        <v>188.44409999999999</v>
      </c>
      <c r="F735" s="106">
        <f t="shared" si="85"/>
        <v>2</v>
      </c>
      <c r="G735" s="86"/>
      <c r="H735" s="107">
        <f t="shared" si="80"/>
        <v>6.88</v>
      </c>
      <c r="I735" s="107">
        <f t="shared" si="81"/>
        <v>1.1200000000000001</v>
      </c>
      <c r="J735" s="87">
        <f>IF($D735&gt;0,IFERROR(Параметры!$D$42*$H735/$H$2408,0),0)</f>
        <v>120.20791878172589</v>
      </c>
      <c r="K735" s="87">
        <f>IFERROR(ROUND($N735*Параметры!$D$36,2),0)</f>
        <v>178.62</v>
      </c>
      <c r="L735" s="87">
        <f t="shared" si="82"/>
        <v>9.8240999999999996</v>
      </c>
      <c r="M735" s="87">
        <f t="shared" si="83"/>
        <v>11.526237057460476</v>
      </c>
      <c r="N735" s="107">
        <f t="shared" si="84"/>
        <v>6</v>
      </c>
    </row>
    <row r="736" spans="2:14" x14ac:dyDescent="0.25">
      <c r="B736" s="82">
        <f>SUBTOTAL(103,$D$8:D736)</f>
        <v>729</v>
      </c>
      <c r="C736" s="83" t="s">
        <v>744</v>
      </c>
      <c r="D736" s="84">
        <v>8</v>
      </c>
      <c r="E736" s="85">
        <f t="shared" si="79"/>
        <v>188.44409999999999</v>
      </c>
      <c r="F736" s="106">
        <f t="shared" si="85"/>
        <v>2</v>
      </c>
      <c r="G736" s="86"/>
      <c r="H736" s="107">
        <f t="shared" si="80"/>
        <v>6.88</v>
      </c>
      <c r="I736" s="107">
        <f t="shared" si="81"/>
        <v>1.1200000000000001</v>
      </c>
      <c r="J736" s="87">
        <f>IF($D736&gt;0,IFERROR(Параметры!$D$42*$H736/$H$2408,0),0)</f>
        <v>120.20791878172589</v>
      </c>
      <c r="K736" s="87">
        <f>IFERROR(ROUND($N736*Параметры!$D$36,2),0)</f>
        <v>178.62</v>
      </c>
      <c r="L736" s="87">
        <f t="shared" si="82"/>
        <v>9.8240999999999996</v>
      </c>
      <c r="M736" s="87">
        <f t="shared" si="83"/>
        <v>11.526237057460476</v>
      </c>
      <c r="N736" s="107">
        <f t="shared" si="84"/>
        <v>6</v>
      </c>
    </row>
    <row r="737" spans="2:14" x14ac:dyDescent="0.25">
      <c r="B737" s="82">
        <f>SUBTOTAL(103,$D$8:D737)</f>
        <v>730</v>
      </c>
      <c r="C737" s="83" t="s">
        <v>745</v>
      </c>
      <c r="D737" s="84">
        <v>8</v>
      </c>
      <c r="E737" s="85">
        <f t="shared" si="79"/>
        <v>188.44409999999999</v>
      </c>
      <c r="F737" s="106">
        <f t="shared" si="85"/>
        <v>2</v>
      </c>
      <c r="G737" s="86"/>
      <c r="H737" s="107">
        <f t="shared" si="80"/>
        <v>6.88</v>
      </c>
      <c r="I737" s="107">
        <f t="shared" si="81"/>
        <v>1.1200000000000001</v>
      </c>
      <c r="J737" s="87">
        <f>IF($D737&gt;0,IFERROR(Параметры!$D$42*$H737/$H$2408,0),0)</f>
        <v>120.20791878172589</v>
      </c>
      <c r="K737" s="87">
        <f>IFERROR(ROUND($N737*Параметры!$D$36,2),0)</f>
        <v>178.62</v>
      </c>
      <c r="L737" s="87">
        <f t="shared" si="82"/>
        <v>9.8240999999999996</v>
      </c>
      <c r="M737" s="87">
        <f t="shared" si="83"/>
        <v>11.526237057460476</v>
      </c>
      <c r="N737" s="107">
        <f t="shared" si="84"/>
        <v>6</v>
      </c>
    </row>
    <row r="738" spans="2:14" x14ac:dyDescent="0.25">
      <c r="B738" s="82">
        <f>SUBTOTAL(103,$D$8:D738)</f>
        <v>731</v>
      </c>
      <c r="C738" s="83" t="s">
        <v>746</v>
      </c>
      <c r="D738" s="84">
        <v>8</v>
      </c>
      <c r="E738" s="85">
        <f t="shared" si="79"/>
        <v>188.44409999999999</v>
      </c>
      <c r="F738" s="106">
        <f t="shared" si="85"/>
        <v>2</v>
      </c>
      <c r="G738" s="86"/>
      <c r="H738" s="107">
        <f t="shared" si="80"/>
        <v>6.88</v>
      </c>
      <c r="I738" s="107">
        <f t="shared" si="81"/>
        <v>1.1200000000000001</v>
      </c>
      <c r="J738" s="87">
        <f>IF($D738&gt;0,IFERROR(Параметры!$D$42*$H738/$H$2408,0),0)</f>
        <v>120.20791878172589</v>
      </c>
      <c r="K738" s="87">
        <f>IFERROR(ROUND($N738*Параметры!$D$36,2),0)</f>
        <v>178.62</v>
      </c>
      <c r="L738" s="87">
        <f t="shared" si="82"/>
        <v>9.8240999999999996</v>
      </c>
      <c r="M738" s="87">
        <f t="shared" si="83"/>
        <v>11.526237057460476</v>
      </c>
      <c r="N738" s="107">
        <f t="shared" si="84"/>
        <v>6</v>
      </c>
    </row>
    <row r="739" spans="2:14" x14ac:dyDescent="0.25">
      <c r="B739" s="82">
        <f>SUBTOTAL(103,$D$8:D739)</f>
        <v>732</v>
      </c>
      <c r="C739" s="83" t="s">
        <v>747</v>
      </c>
      <c r="D739" s="84">
        <v>4</v>
      </c>
      <c r="E739" s="85">
        <f t="shared" si="79"/>
        <v>62.814700000000002</v>
      </c>
      <c r="F739" s="106">
        <f t="shared" si="85"/>
        <v>2</v>
      </c>
      <c r="G739" s="86"/>
      <c r="H739" s="107">
        <f t="shared" si="80"/>
        <v>3.44</v>
      </c>
      <c r="I739" s="107">
        <f t="shared" si="81"/>
        <v>0.56000000000000005</v>
      </c>
      <c r="J739" s="87">
        <f>IF($D739&gt;0,IFERROR(Параметры!$D$42*$H739/$H$2408,0),0)</f>
        <v>60.103959390862947</v>
      </c>
      <c r="K739" s="87">
        <f>IFERROR(ROUND($N739*Параметры!$D$36,2),0)</f>
        <v>59.54</v>
      </c>
      <c r="L739" s="87">
        <f t="shared" si="82"/>
        <v>3.2747000000000002</v>
      </c>
      <c r="M739" s="87">
        <f t="shared" si="83"/>
        <v>3.8420790191534921</v>
      </c>
      <c r="N739" s="107">
        <f t="shared" si="84"/>
        <v>2</v>
      </c>
    </row>
    <row r="740" spans="2:14" x14ac:dyDescent="0.25">
      <c r="B740" s="82">
        <f>SUBTOTAL(103,$D$8:D740)</f>
        <v>733</v>
      </c>
      <c r="C740" s="83" t="s">
        <v>748</v>
      </c>
      <c r="D740" s="84">
        <v>0</v>
      </c>
      <c r="E740" s="85" t="str">
        <f t="shared" si="79"/>
        <v/>
      </c>
      <c r="F740" s="106" t="str">
        <f t="shared" si="85"/>
        <v/>
      </c>
      <c r="G740" s="86"/>
      <c r="H740" s="107">
        <f t="shared" si="80"/>
        <v>0</v>
      </c>
      <c r="I740" s="107">
        <f t="shared" si="81"/>
        <v>0</v>
      </c>
      <c r="J740" s="87">
        <f>IF($D740&gt;0,IFERROR(Параметры!$D$42*$H740/$H$2408,0),0)</f>
        <v>0</v>
      </c>
      <c r="K740" s="87">
        <f>IFERROR(ROUND($N740*Параметры!$D$36,2),0)</f>
        <v>0</v>
      </c>
      <c r="L740" s="87">
        <f t="shared" si="82"/>
        <v>0</v>
      </c>
      <c r="M740" s="87">
        <f t="shared" si="83"/>
        <v>0</v>
      </c>
      <c r="N740" s="107" t="str">
        <f t="shared" si="84"/>
        <v/>
      </c>
    </row>
    <row r="741" spans="2:14" x14ac:dyDescent="0.25">
      <c r="B741" s="82">
        <f>SUBTOTAL(103,$D$8:D741)</f>
        <v>734</v>
      </c>
      <c r="C741" s="83" t="s">
        <v>749</v>
      </c>
      <c r="D741" s="84">
        <v>0</v>
      </c>
      <c r="E741" s="85" t="str">
        <f t="shared" si="79"/>
        <v/>
      </c>
      <c r="F741" s="106" t="str">
        <f t="shared" si="85"/>
        <v/>
      </c>
      <c r="G741" s="86"/>
      <c r="H741" s="107">
        <f t="shared" si="80"/>
        <v>0</v>
      </c>
      <c r="I741" s="107">
        <f t="shared" si="81"/>
        <v>0</v>
      </c>
      <c r="J741" s="87">
        <f>IF($D741&gt;0,IFERROR(Параметры!$D$42*$H741/$H$2408,0),0)</f>
        <v>0</v>
      </c>
      <c r="K741" s="87">
        <f>IFERROR(ROUND($N741*Параметры!$D$36,2),0)</f>
        <v>0</v>
      </c>
      <c r="L741" s="87">
        <f t="shared" si="82"/>
        <v>0</v>
      </c>
      <c r="M741" s="87">
        <f t="shared" si="83"/>
        <v>0</v>
      </c>
      <c r="N741" s="107" t="str">
        <f t="shared" si="84"/>
        <v/>
      </c>
    </row>
    <row r="742" spans="2:14" x14ac:dyDescent="0.25">
      <c r="B742" s="82">
        <f>SUBTOTAL(103,$D$8:D742)</f>
        <v>735</v>
      </c>
      <c r="C742" s="83" t="s">
        <v>750</v>
      </c>
      <c r="D742" s="84">
        <v>0</v>
      </c>
      <c r="E742" s="85" t="str">
        <f t="shared" si="79"/>
        <v/>
      </c>
      <c r="F742" s="106" t="str">
        <f t="shared" si="85"/>
        <v/>
      </c>
      <c r="G742" s="86"/>
      <c r="H742" s="107">
        <f t="shared" si="80"/>
        <v>0</v>
      </c>
      <c r="I742" s="107">
        <f t="shared" si="81"/>
        <v>0</v>
      </c>
      <c r="J742" s="87">
        <f>IF($D742&gt;0,IFERROR(Параметры!$D$42*$H742/$H$2408,0),0)</f>
        <v>0</v>
      </c>
      <c r="K742" s="87">
        <f>IFERROR(ROUND($N742*Параметры!$D$36,2),0)</f>
        <v>0</v>
      </c>
      <c r="L742" s="87">
        <f t="shared" si="82"/>
        <v>0</v>
      </c>
      <c r="M742" s="87">
        <f t="shared" si="83"/>
        <v>0</v>
      </c>
      <c r="N742" s="107" t="str">
        <f t="shared" si="84"/>
        <v/>
      </c>
    </row>
    <row r="743" spans="2:14" x14ac:dyDescent="0.25">
      <c r="B743" s="82">
        <f>SUBTOTAL(103,$D$8:D743)</f>
        <v>736</v>
      </c>
      <c r="C743" s="83" t="s">
        <v>751</v>
      </c>
      <c r="D743" s="84">
        <v>0</v>
      </c>
      <c r="E743" s="85" t="str">
        <f t="shared" si="79"/>
        <v/>
      </c>
      <c r="F743" s="106" t="str">
        <f t="shared" si="85"/>
        <v/>
      </c>
      <c r="G743" s="86"/>
      <c r="H743" s="107">
        <f t="shared" si="80"/>
        <v>0</v>
      </c>
      <c r="I743" s="107">
        <f t="shared" si="81"/>
        <v>0</v>
      </c>
      <c r="J743" s="87">
        <f>IF($D743&gt;0,IFERROR(Параметры!$D$42*$H743/$H$2408,0),0)</f>
        <v>0</v>
      </c>
      <c r="K743" s="87">
        <f>IFERROR(ROUND($N743*Параметры!$D$36,2),0)</f>
        <v>0</v>
      </c>
      <c r="L743" s="87">
        <f t="shared" si="82"/>
        <v>0</v>
      </c>
      <c r="M743" s="87">
        <f t="shared" si="83"/>
        <v>0</v>
      </c>
      <c r="N743" s="107" t="str">
        <f t="shared" si="84"/>
        <v/>
      </c>
    </row>
    <row r="744" spans="2:14" x14ac:dyDescent="0.25">
      <c r="B744" s="82">
        <f>SUBTOTAL(103,$D$8:D744)</f>
        <v>737</v>
      </c>
      <c r="C744" s="83" t="s">
        <v>752</v>
      </c>
      <c r="D744" s="84">
        <v>0</v>
      </c>
      <c r="E744" s="85" t="str">
        <f t="shared" si="79"/>
        <v/>
      </c>
      <c r="F744" s="106" t="str">
        <f t="shared" si="85"/>
        <v/>
      </c>
      <c r="G744" s="86"/>
      <c r="H744" s="107">
        <f t="shared" si="80"/>
        <v>0</v>
      </c>
      <c r="I744" s="107">
        <f t="shared" si="81"/>
        <v>0</v>
      </c>
      <c r="J744" s="87">
        <f>IF($D744&gt;0,IFERROR(Параметры!$D$42*$H744/$H$2408,0),0)</f>
        <v>0</v>
      </c>
      <c r="K744" s="87">
        <f>IFERROR(ROUND($N744*Параметры!$D$36,2),0)</f>
        <v>0</v>
      </c>
      <c r="L744" s="87">
        <f t="shared" si="82"/>
        <v>0</v>
      </c>
      <c r="M744" s="87">
        <f t="shared" si="83"/>
        <v>0</v>
      </c>
      <c r="N744" s="107" t="str">
        <f t="shared" si="84"/>
        <v/>
      </c>
    </row>
    <row r="745" spans="2:14" x14ac:dyDescent="0.25">
      <c r="B745" s="82">
        <f>SUBTOTAL(103,$D$8:D745)</f>
        <v>738</v>
      </c>
      <c r="C745" s="83" t="s">
        <v>753</v>
      </c>
      <c r="D745" s="84">
        <v>0</v>
      </c>
      <c r="E745" s="85" t="str">
        <f t="shared" si="79"/>
        <v/>
      </c>
      <c r="F745" s="106" t="str">
        <f t="shared" si="85"/>
        <v/>
      </c>
      <c r="G745" s="86"/>
      <c r="H745" s="107">
        <f t="shared" si="80"/>
        <v>0</v>
      </c>
      <c r="I745" s="107">
        <f t="shared" si="81"/>
        <v>0</v>
      </c>
      <c r="J745" s="87">
        <f>IF($D745&gt;0,IFERROR(Параметры!$D$42*$H745/$H$2408,0),0)</f>
        <v>0</v>
      </c>
      <c r="K745" s="87">
        <f>IFERROR(ROUND($N745*Параметры!$D$36,2),0)</f>
        <v>0</v>
      </c>
      <c r="L745" s="87">
        <f t="shared" si="82"/>
        <v>0</v>
      </c>
      <c r="M745" s="87">
        <f t="shared" si="83"/>
        <v>0</v>
      </c>
      <c r="N745" s="107" t="str">
        <f t="shared" si="84"/>
        <v/>
      </c>
    </row>
    <row r="746" spans="2:14" x14ac:dyDescent="0.25">
      <c r="B746" s="82">
        <f>SUBTOTAL(103,$D$8:D746)</f>
        <v>739</v>
      </c>
      <c r="C746" s="83" t="s">
        <v>754</v>
      </c>
      <c r="D746" s="84">
        <v>0</v>
      </c>
      <c r="E746" s="85" t="str">
        <f t="shared" si="79"/>
        <v/>
      </c>
      <c r="F746" s="106" t="str">
        <f t="shared" si="85"/>
        <v/>
      </c>
      <c r="G746" s="86"/>
      <c r="H746" s="107">
        <f t="shared" si="80"/>
        <v>0</v>
      </c>
      <c r="I746" s="107">
        <f t="shared" si="81"/>
        <v>0</v>
      </c>
      <c r="J746" s="87">
        <f>IF($D746&gt;0,IFERROR(Параметры!$D$42*$H746/$H$2408,0),0)</f>
        <v>0</v>
      </c>
      <c r="K746" s="87">
        <f>IFERROR(ROUND($N746*Параметры!$D$36,2),0)</f>
        <v>0</v>
      </c>
      <c r="L746" s="87">
        <f t="shared" si="82"/>
        <v>0</v>
      </c>
      <c r="M746" s="87">
        <f t="shared" si="83"/>
        <v>0</v>
      </c>
      <c r="N746" s="107" t="str">
        <f t="shared" si="84"/>
        <v/>
      </c>
    </row>
    <row r="747" spans="2:14" x14ac:dyDescent="0.25">
      <c r="B747" s="82">
        <f>SUBTOTAL(103,$D$8:D747)</f>
        <v>740</v>
      </c>
      <c r="C747" s="83" t="s">
        <v>755</v>
      </c>
      <c r="D747" s="84">
        <v>0</v>
      </c>
      <c r="E747" s="85" t="str">
        <f t="shared" si="79"/>
        <v/>
      </c>
      <c r="F747" s="106" t="str">
        <f t="shared" si="85"/>
        <v/>
      </c>
      <c r="G747" s="86"/>
      <c r="H747" s="107">
        <f t="shared" si="80"/>
        <v>0</v>
      </c>
      <c r="I747" s="107">
        <f t="shared" si="81"/>
        <v>0</v>
      </c>
      <c r="J747" s="87">
        <f>IF($D747&gt;0,IFERROR(Параметры!$D$42*$H747/$H$2408,0),0)</f>
        <v>0</v>
      </c>
      <c r="K747" s="87">
        <f>IFERROR(ROUND($N747*Параметры!$D$36,2),0)</f>
        <v>0</v>
      </c>
      <c r="L747" s="87">
        <f t="shared" si="82"/>
        <v>0</v>
      </c>
      <c r="M747" s="87">
        <f t="shared" si="83"/>
        <v>0</v>
      </c>
      <c r="N747" s="107" t="str">
        <f t="shared" si="84"/>
        <v/>
      </c>
    </row>
    <row r="748" spans="2:14" x14ac:dyDescent="0.25">
      <c r="B748" s="82">
        <f>SUBTOTAL(103,$D$8:D748)</f>
        <v>741</v>
      </c>
      <c r="C748" s="83" t="s">
        <v>756</v>
      </c>
      <c r="D748" s="84">
        <v>0</v>
      </c>
      <c r="E748" s="85" t="str">
        <f t="shared" si="79"/>
        <v/>
      </c>
      <c r="F748" s="106" t="str">
        <f t="shared" si="85"/>
        <v/>
      </c>
      <c r="G748" s="86"/>
      <c r="H748" s="107">
        <f t="shared" si="80"/>
        <v>0</v>
      </c>
      <c r="I748" s="107">
        <f t="shared" si="81"/>
        <v>0</v>
      </c>
      <c r="J748" s="87">
        <f>IF($D748&gt;0,IFERROR(Параметры!$D$42*$H748/$H$2408,0),0)</f>
        <v>0</v>
      </c>
      <c r="K748" s="87">
        <f>IFERROR(ROUND($N748*Параметры!$D$36,2),0)</f>
        <v>0</v>
      </c>
      <c r="L748" s="87">
        <f t="shared" si="82"/>
        <v>0</v>
      </c>
      <c r="M748" s="87">
        <f t="shared" si="83"/>
        <v>0</v>
      </c>
      <c r="N748" s="107" t="str">
        <f t="shared" si="84"/>
        <v/>
      </c>
    </row>
    <row r="749" spans="2:14" x14ac:dyDescent="0.25">
      <c r="B749" s="82">
        <f>SUBTOTAL(103,$D$8:D749)</f>
        <v>742</v>
      </c>
      <c r="C749" s="83" t="s">
        <v>757</v>
      </c>
      <c r="D749" s="84">
        <v>0</v>
      </c>
      <c r="E749" s="85" t="str">
        <f t="shared" si="79"/>
        <v/>
      </c>
      <c r="F749" s="106" t="str">
        <f t="shared" si="85"/>
        <v/>
      </c>
      <c r="G749" s="86"/>
      <c r="H749" s="107">
        <f t="shared" si="80"/>
        <v>0</v>
      </c>
      <c r="I749" s="107">
        <f t="shared" si="81"/>
        <v>0</v>
      </c>
      <c r="J749" s="87">
        <f>IF($D749&gt;0,IFERROR(Параметры!$D$42*$H749/$H$2408,0),0)</f>
        <v>0</v>
      </c>
      <c r="K749" s="87">
        <f>IFERROR(ROUND($N749*Параметры!$D$36,2),0)</f>
        <v>0</v>
      </c>
      <c r="L749" s="87">
        <f t="shared" si="82"/>
        <v>0</v>
      </c>
      <c r="M749" s="87">
        <f t="shared" si="83"/>
        <v>0</v>
      </c>
      <c r="N749" s="107" t="str">
        <f t="shared" si="84"/>
        <v/>
      </c>
    </row>
    <row r="750" spans="2:14" x14ac:dyDescent="0.25">
      <c r="B750" s="82">
        <f>SUBTOTAL(103,$D$8:D750)</f>
        <v>743</v>
      </c>
      <c r="C750" s="83" t="s">
        <v>758</v>
      </c>
      <c r="D750" s="84">
        <v>0</v>
      </c>
      <c r="E750" s="85" t="str">
        <f t="shared" si="79"/>
        <v/>
      </c>
      <c r="F750" s="106" t="str">
        <f t="shared" si="85"/>
        <v/>
      </c>
      <c r="G750" s="86"/>
      <c r="H750" s="107">
        <f t="shared" si="80"/>
        <v>0</v>
      </c>
      <c r="I750" s="107">
        <f t="shared" si="81"/>
        <v>0</v>
      </c>
      <c r="J750" s="87">
        <f>IF($D750&gt;0,IFERROR(Параметры!$D$42*$H750/$H$2408,0),0)</f>
        <v>0</v>
      </c>
      <c r="K750" s="87">
        <f>IFERROR(ROUND($N750*Параметры!$D$36,2),0)</f>
        <v>0</v>
      </c>
      <c r="L750" s="87">
        <f t="shared" si="82"/>
        <v>0</v>
      </c>
      <c r="M750" s="87">
        <f t="shared" si="83"/>
        <v>0</v>
      </c>
      <c r="N750" s="107" t="str">
        <f t="shared" si="84"/>
        <v/>
      </c>
    </row>
    <row r="751" spans="2:14" x14ac:dyDescent="0.25">
      <c r="B751" s="82">
        <f>SUBTOTAL(103,$D$8:D751)</f>
        <v>744</v>
      </c>
      <c r="C751" s="83" t="s">
        <v>759</v>
      </c>
      <c r="D751" s="84">
        <v>0</v>
      </c>
      <c r="E751" s="85" t="str">
        <f t="shared" si="79"/>
        <v/>
      </c>
      <c r="F751" s="106" t="str">
        <f t="shared" si="85"/>
        <v/>
      </c>
      <c r="G751" s="86"/>
      <c r="H751" s="107">
        <f t="shared" si="80"/>
        <v>0</v>
      </c>
      <c r="I751" s="107">
        <f t="shared" si="81"/>
        <v>0</v>
      </c>
      <c r="J751" s="87">
        <f>IF($D751&gt;0,IFERROR(Параметры!$D$42*$H751/$H$2408,0),0)</f>
        <v>0</v>
      </c>
      <c r="K751" s="87">
        <f>IFERROR(ROUND($N751*Параметры!$D$36,2),0)</f>
        <v>0</v>
      </c>
      <c r="L751" s="87">
        <f t="shared" si="82"/>
        <v>0</v>
      </c>
      <c r="M751" s="87">
        <f t="shared" si="83"/>
        <v>0</v>
      </c>
      <c r="N751" s="107" t="str">
        <f t="shared" si="84"/>
        <v/>
      </c>
    </row>
    <row r="752" spans="2:14" x14ac:dyDescent="0.25">
      <c r="B752" s="82">
        <f>SUBTOTAL(103,$D$8:D752)</f>
        <v>745</v>
      </c>
      <c r="C752" s="83" t="s">
        <v>760</v>
      </c>
      <c r="D752" s="84">
        <v>0</v>
      </c>
      <c r="E752" s="85" t="str">
        <f t="shared" si="79"/>
        <v/>
      </c>
      <c r="F752" s="106" t="str">
        <f t="shared" si="85"/>
        <v/>
      </c>
      <c r="G752" s="86"/>
      <c r="H752" s="107">
        <f t="shared" si="80"/>
        <v>0</v>
      </c>
      <c r="I752" s="107">
        <f t="shared" si="81"/>
        <v>0</v>
      </c>
      <c r="J752" s="87">
        <f>IF($D752&gt;0,IFERROR(Параметры!$D$42*$H752/$H$2408,0),0)</f>
        <v>0</v>
      </c>
      <c r="K752" s="87">
        <f>IFERROR(ROUND($N752*Параметры!$D$36,2),0)</f>
        <v>0</v>
      </c>
      <c r="L752" s="87">
        <f t="shared" si="82"/>
        <v>0</v>
      </c>
      <c r="M752" s="87">
        <f t="shared" si="83"/>
        <v>0</v>
      </c>
      <c r="N752" s="107" t="str">
        <f t="shared" si="84"/>
        <v/>
      </c>
    </row>
    <row r="753" spans="2:14" x14ac:dyDescent="0.25">
      <c r="B753" s="82">
        <f>SUBTOTAL(103,$D$8:D753)</f>
        <v>746</v>
      </c>
      <c r="C753" s="83" t="s">
        <v>761</v>
      </c>
      <c r="D753" s="84">
        <v>0</v>
      </c>
      <c r="E753" s="85" t="str">
        <f t="shared" si="79"/>
        <v/>
      </c>
      <c r="F753" s="106" t="str">
        <f t="shared" si="85"/>
        <v/>
      </c>
      <c r="G753" s="86"/>
      <c r="H753" s="107">
        <f t="shared" si="80"/>
        <v>0</v>
      </c>
      <c r="I753" s="107">
        <f t="shared" si="81"/>
        <v>0</v>
      </c>
      <c r="J753" s="87">
        <f>IF($D753&gt;0,IFERROR(Параметры!$D$42*$H753/$H$2408,0),0)</f>
        <v>0</v>
      </c>
      <c r="K753" s="87">
        <f>IFERROR(ROUND($N753*Параметры!$D$36,2),0)</f>
        <v>0</v>
      </c>
      <c r="L753" s="87">
        <f t="shared" si="82"/>
        <v>0</v>
      </c>
      <c r="M753" s="87">
        <f t="shared" si="83"/>
        <v>0</v>
      </c>
      <c r="N753" s="107" t="str">
        <f t="shared" si="84"/>
        <v/>
      </c>
    </row>
    <row r="754" spans="2:14" x14ac:dyDescent="0.25">
      <c r="B754" s="82">
        <f>SUBTOTAL(103,$D$8:D754)</f>
        <v>747</v>
      </c>
      <c r="C754" s="83" t="s">
        <v>762</v>
      </c>
      <c r="D754" s="84">
        <v>0</v>
      </c>
      <c r="E754" s="85" t="str">
        <f t="shared" si="79"/>
        <v/>
      </c>
      <c r="F754" s="106" t="str">
        <f t="shared" si="85"/>
        <v/>
      </c>
      <c r="G754" s="86"/>
      <c r="H754" s="107">
        <f t="shared" si="80"/>
        <v>0</v>
      </c>
      <c r="I754" s="107">
        <f t="shared" si="81"/>
        <v>0</v>
      </c>
      <c r="J754" s="87">
        <f>IF($D754&gt;0,IFERROR(Параметры!$D$42*$H754/$H$2408,0),0)</f>
        <v>0</v>
      </c>
      <c r="K754" s="87">
        <f>IFERROR(ROUND($N754*Параметры!$D$36,2),0)</f>
        <v>0</v>
      </c>
      <c r="L754" s="87">
        <f t="shared" si="82"/>
        <v>0</v>
      </c>
      <c r="M754" s="87">
        <f t="shared" si="83"/>
        <v>0</v>
      </c>
      <c r="N754" s="107" t="str">
        <f t="shared" si="84"/>
        <v/>
      </c>
    </row>
    <row r="755" spans="2:14" x14ac:dyDescent="0.25">
      <c r="B755" s="82">
        <f>SUBTOTAL(103,$D$8:D755)</f>
        <v>748</v>
      </c>
      <c r="C755" s="83" t="s">
        <v>763</v>
      </c>
      <c r="D755" s="84">
        <v>0</v>
      </c>
      <c r="E755" s="85" t="str">
        <f t="shared" si="79"/>
        <v/>
      </c>
      <c r="F755" s="106" t="str">
        <f t="shared" si="85"/>
        <v/>
      </c>
      <c r="G755" s="86"/>
      <c r="H755" s="107">
        <f t="shared" si="80"/>
        <v>0</v>
      </c>
      <c r="I755" s="107">
        <f t="shared" si="81"/>
        <v>0</v>
      </c>
      <c r="J755" s="87">
        <f>IF($D755&gt;0,IFERROR(Параметры!$D$42*$H755/$H$2408,0),0)</f>
        <v>0</v>
      </c>
      <c r="K755" s="87">
        <f>IFERROR(ROUND($N755*Параметры!$D$36,2),0)</f>
        <v>0</v>
      </c>
      <c r="L755" s="87">
        <f t="shared" si="82"/>
        <v>0</v>
      </c>
      <c r="M755" s="87">
        <f t="shared" si="83"/>
        <v>0</v>
      </c>
      <c r="N755" s="107" t="str">
        <f t="shared" si="84"/>
        <v/>
      </c>
    </row>
    <row r="756" spans="2:14" x14ac:dyDescent="0.25">
      <c r="B756" s="82">
        <f>SUBTOTAL(103,$D$8:D756)</f>
        <v>749</v>
      </c>
      <c r="C756" s="83" t="s">
        <v>764</v>
      </c>
      <c r="D756" s="84">
        <v>0</v>
      </c>
      <c r="E756" s="85" t="str">
        <f t="shared" si="79"/>
        <v/>
      </c>
      <c r="F756" s="106" t="str">
        <f t="shared" si="85"/>
        <v/>
      </c>
      <c r="G756" s="86"/>
      <c r="H756" s="107">
        <f t="shared" si="80"/>
        <v>0</v>
      </c>
      <c r="I756" s="107">
        <f t="shared" si="81"/>
        <v>0</v>
      </c>
      <c r="J756" s="87">
        <f>IF($D756&gt;0,IFERROR(Параметры!$D$42*$H756/$H$2408,0),0)</f>
        <v>0</v>
      </c>
      <c r="K756" s="87">
        <f>IFERROR(ROUND($N756*Параметры!$D$36,2),0)</f>
        <v>0</v>
      </c>
      <c r="L756" s="87">
        <f t="shared" si="82"/>
        <v>0</v>
      </c>
      <c r="M756" s="87">
        <f t="shared" si="83"/>
        <v>0</v>
      </c>
      <c r="N756" s="107" t="str">
        <f t="shared" si="84"/>
        <v/>
      </c>
    </row>
    <row r="757" spans="2:14" x14ac:dyDescent="0.25">
      <c r="B757" s="82">
        <f>SUBTOTAL(103,$D$8:D757)</f>
        <v>750</v>
      </c>
      <c r="C757" s="83" t="s">
        <v>765</v>
      </c>
      <c r="D757" s="84">
        <v>0</v>
      </c>
      <c r="E757" s="85" t="str">
        <f t="shared" si="79"/>
        <v/>
      </c>
      <c r="F757" s="106" t="str">
        <f t="shared" si="85"/>
        <v/>
      </c>
      <c r="G757" s="86"/>
      <c r="H757" s="107">
        <f t="shared" si="80"/>
        <v>0</v>
      </c>
      <c r="I757" s="107">
        <f t="shared" si="81"/>
        <v>0</v>
      </c>
      <c r="J757" s="87">
        <f>IF($D757&gt;0,IFERROR(Параметры!$D$42*$H757/$H$2408,0),0)</f>
        <v>0</v>
      </c>
      <c r="K757" s="87">
        <f>IFERROR(ROUND($N757*Параметры!$D$36,2),0)</f>
        <v>0</v>
      </c>
      <c r="L757" s="87">
        <f t="shared" si="82"/>
        <v>0</v>
      </c>
      <c r="M757" s="87">
        <f t="shared" si="83"/>
        <v>0</v>
      </c>
      <c r="N757" s="107" t="str">
        <f t="shared" si="84"/>
        <v/>
      </c>
    </row>
    <row r="758" spans="2:14" x14ac:dyDescent="0.25">
      <c r="B758" s="82">
        <f>SUBTOTAL(103,$D$8:D758)</f>
        <v>751</v>
      </c>
      <c r="C758" s="83" t="s">
        <v>766</v>
      </c>
      <c r="D758" s="84">
        <v>0</v>
      </c>
      <c r="E758" s="85" t="str">
        <f t="shared" si="79"/>
        <v/>
      </c>
      <c r="F758" s="106" t="str">
        <f t="shared" si="85"/>
        <v/>
      </c>
      <c r="G758" s="86"/>
      <c r="H758" s="107">
        <f t="shared" si="80"/>
        <v>0</v>
      </c>
      <c r="I758" s="107">
        <f t="shared" si="81"/>
        <v>0</v>
      </c>
      <c r="J758" s="87">
        <f>IF($D758&gt;0,IFERROR(Параметры!$D$42*$H758/$H$2408,0),0)</f>
        <v>0</v>
      </c>
      <c r="K758" s="87">
        <f>IFERROR(ROUND($N758*Параметры!$D$36,2),0)</f>
        <v>0</v>
      </c>
      <c r="L758" s="87">
        <f t="shared" si="82"/>
        <v>0</v>
      </c>
      <c r="M758" s="87">
        <f t="shared" si="83"/>
        <v>0</v>
      </c>
      <c r="N758" s="107" t="str">
        <f t="shared" si="84"/>
        <v/>
      </c>
    </row>
    <row r="759" spans="2:14" x14ac:dyDescent="0.25">
      <c r="B759" s="82">
        <f>SUBTOTAL(103,$D$8:D759)</f>
        <v>752</v>
      </c>
      <c r="C759" s="83" t="s">
        <v>767</v>
      </c>
      <c r="D759" s="84">
        <v>0</v>
      </c>
      <c r="E759" s="85" t="str">
        <f t="shared" si="79"/>
        <v/>
      </c>
      <c r="F759" s="106" t="str">
        <f t="shared" si="85"/>
        <v/>
      </c>
      <c r="G759" s="86"/>
      <c r="H759" s="107">
        <f t="shared" si="80"/>
        <v>0</v>
      </c>
      <c r="I759" s="107">
        <f t="shared" si="81"/>
        <v>0</v>
      </c>
      <c r="J759" s="87">
        <f>IF($D759&gt;0,IFERROR(Параметры!$D$42*$H759/$H$2408,0),0)</f>
        <v>0</v>
      </c>
      <c r="K759" s="87">
        <f>IFERROR(ROUND($N759*Параметры!$D$36,2),0)</f>
        <v>0</v>
      </c>
      <c r="L759" s="87">
        <f t="shared" si="82"/>
        <v>0</v>
      </c>
      <c r="M759" s="87">
        <f t="shared" si="83"/>
        <v>0</v>
      </c>
      <c r="N759" s="107" t="str">
        <f t="shared" si="84"/>
        <v/>
      </c>
    </row>
    <row r="760" spans="2:14" x14ac:dyDescent="0.25">
      <c r="B760" s="82">
        <f>SUBTOTAL(103,$D$8:D760)</f>
        <v>753</v>
      </c>
      <c r="C760" s="83" t="s">
        <v>768</v>
      </c>
      <c r="D760" s="84">
        <v>0</v>
      </c>
      <c r="E760" s="85" t="str">
        <f t="shared" si="79"/>
        <v/>
      </c>
      <c r="F760" s="106" t="str">
        <f t="shared" si="85"/>
        <v/>
      </c>
      <c r="G760" s="86"/>
      <c r="H760" s="107">
        <f t="shared" si="80"/>
        <v>0</v>
      </c>
      <c r="I760" s="107">
        <f t="shared" si="81"/>
        <v>0</v>
      </c>
      <c r="J760" s="87">
        <f>IF($D760&gt;0,IFERROR(Параметры!$D$42*$H760/$H$2408,0),0)</f>
        <v>0</v>
      </c>
      <c r="K760" s="87">
        <f>IFERROR(ROUND($N760*Параметры!$D$36,2),0)</f>
        <v>0</v>
      </c>
      <c r="L760" s="87">
        <f t="shared" si="82"/>
        <v>0</v>
      </c>
      <c r="M760" s="87">
        <f t="shared" si="83"/>
        <v>0</v>
      </c>
      <c r="N760" s="107" t="str">
        <f t="shared" si="84"/>
        <v/>
      </c>
    </row>
    <row r="761" spans="2:14" x14ac:dyDescent="0.25">
      <c r="B761" s="82">
        <f>SUBTOTAL(103,$D$8:D761)</f>
        <v>754</v>
      </c>
      <c r="C761" s="83" t="s">
        <v>769</v>
      </c>
      <c r="D761" s="84">
        <v>0</v>
      </c>
      <c r="E761" s="85" t="str">
        <f t="shared" si="79"/>
        <v/>
      </c>
      <c r="F761" s="106" t="str">
        <f t="shared" si="85"/>
        <v/>
      </c>
      <c r="G761" s="86"/>
      <c r="H761" s="107">
        <f t="shared" si="80"/>
        <v>0</v>
      </c>
      <c r="I761" s="107">
        <f t="shared" si="81"/>
        <v>0</v>
      </c>
      <c r="J761" s="87">
        <f>IF($D761&gt;0,IFERROR(Параметры!$D$42*$H761/$H$2408,0),0)</f>
        <v>0</v>
      </c>
      <c r="K761" s="87">
        <f>IFERROR(ROUND($N761*Параметры!$D$36,2),0)</f>
        <v>0</v>
      </c>
      <c r="L761" s="87">
        <f t="shared" si="82"/>
        <v>0</v>
      </c>
      <c r="M761" s="87">
        <f t="shared" si="83"/>
        <v>0</v>
      </c>
      <c r="N761" s="107" t="str">
        <f t="shared" si="84"/>
        <v/>
      </c>
    </row>
    <row r="762" spans="2:14" x14ac:dyDescent="0.25">
      <c r="B762" s="82">
        <f>SUBTOTAL(103,$D$8:D762)</f>
        <v>755</v>
      </c>
      <c r="C762" s="83" t="s">
        <v>770</v>
      </c>
      <c r="D762" s="84">
        <v>0</v>
      </c>
      <c r="E762" s="85" t="str">
        <f t="shared" si="79"/>
        <v/>
      </c>
      <c r="F762" s="106" t="str">
        <f t="shared" si="85"/>
        <v/>
      </c>
      <c r="G762" s="86"/>
      <c r="H762" s="107">
        <f t="shared" si="80"/>
        <v>0</v>
      </c>
      <c r="I762" s="107">
        <f t="shared" si="81"/>
        <v>0</v>
      </c>
      <c r="J762" s="87">
        <f>IF($D762&gt;0,IFERROR(Параметры!$D$42*$H762/$H$2408,0),0)</f>
        <v>0</v>
      </c>
      <c r="K762" s="87">
        <f>IFERROR(ROUND($N762*Параметры!$D$36,2),0)</f>
        <v>0</v>
      </c>
      <c r="L762" s="87">
        <f t="shared" si="82"/>
        <v>0</v>
      </c>
      <c r="M762" s="87">
        <f t="shared" si="83"/>
        <v>0</v>
      </c>
      <c r="N762" s="107" t="str">
        <f t="shared" si="84"/>
        <v/>
      </c>
    </row>
    <row r="763" spans="2:14" x14ac:dyDescent="0.25">
      <c r="B763" s="82">
        <f>SUBTOTAL(103,$D$8:D763)</f>
        <v>756</v>
      </c>
      <c r="C763" s="83" t="s">
        <v>771</v>
      </c>
      <c r="D763" s="84">
        <v>0</v>
      </c>
      <c r="E763" s="85" t="str">
        <f t="shared" si="79"/>
        <v/>
      </c>
      <c r="F763" s="106" t="str">
        <f t="shared" si="85"/>
        <v/>
      </c>
      <c r="G763" s="86"/>
      <c r="H763" s="107">
        <f t="shared" si="80"/>
        <v>0</v>
      </c>
      <c r="I763" s="107">
        <f t="shared" si="81"/>
        <v>0</v>
      </c>
      <c r="J763" s="87">
        <f>IF($D763&gt;0,IFERROR(Параметры!$D$42*$H763/$H$2408,0),0)</f>
        <v>0</v>
      </c>
      <c r="K763" s="87">
        <f>IFERROR(ROUND($N763*Параметры!$D$36,2),0)</f>
        <v>0</v>
      </c>
      <c r="L763" s="87">
        <f t="shared" si="82"/>
        <v>0</v>
      </c>
      <c r="M763" s="87">
        <f t="shared" si="83"/>
        <v>0</v>
      </c>
      <c r="N763" s="107" t="str">
        <f t="shared" si="84"/>
        <v/>
      </c>
    </row>
    <row r="764" spans="2:14" x14ac:dyDescent="0.25">
      <c r="B764" s="82">
        <f>SUBTOTAL(103,$D$8:D764)</f>
        <v>757</v>
      </c>
      <c r="C764" s="83" t="s">
        <v>772</v>
      </c>
      <c r="D764" s="84">
        <v>0</v>
      </c>
      <c r="E764" s="85" t="str">
        <f t="shared" si="79"/>
        <v/>
      </c>
      <c r="F764" s="106" t="str">
        <f t="shared" si="85"/>
        <v/>
      </c>
      <c r="G764" s="86"/>
      <c r="H764" s="107">
        <f t="shared" si="80"/>
        <v>0</v>
      </c>
      <c r="I764" s="107">
        <f t="shared" si="81"/>
        <v>0</v>
      </c>
      <c r="J764" s="87">
        <f>IF($D764&gt;0,IFERROR(Параметры!$D$42*$H764/$H$2408,0),0)</f>
        <v>0</v>
      </c>
      <c r="K764" s="87">
        <f>IFERROR(ROUND($N764*Параметры!$D$36,2),0)</f>
        <v>0</v>
      </c>
      <c r="L764" s="87">
        <f t="shared" si="82"/>
        <v>0</v>
      </c>
      <c r="M764" s="87">
        <f t="shared" si="83"/>
        <v>0</v>
      </c>
      <c r="N764" s="107" t="str">
        <f t="shared" si="84"/>
        <v/>
      </c>
    </row>
    <row r="765" spans="2:14" x14ac:dyDescent="0.25">
      <c r="B765" s="82">
        <f>SUBTOTAL(103,$D$8:D765)</f>
        <v>758</v>
      </c>
      <c r="C765" s="83" t="s">
        <v>773</v>
      </c>
      <c r="D765" s="84">
        <v>0</v>
      </c>
      <c r="E765" s="85" t="str">
        <f t="shared" si="79"/>
        <v/>
      </c>
      <c r="F765" s="106" t="str">
        <f t="shared" si="85"/>
        <v/>
      </c>
      <c r="G765" s="86"/>
      <c r="H765" s="107">
        <f t="shared" si="80"/>
        <v>0</v>
      </c>
      <c r="I765" s="107">
        <f t="shared" si="81"/>
        <v>0</v>
      </c>
      <c r="J765" s="87">
        <f>IF($D765&gt;0,IFERROR(Параметры!$D$42*$H765/$H$2408,0),0)</f>
        <v>0</v>
      </c>
      <c r="K765" s="87">
        <f>IFERROR(ROUND($N765*Параметры!$D$36,2),0)</f>
        <v>0</v>
      </c>
      <c r="L765" s="87">
        <f t="shared" si="82"/>
        <v>0</v>
      </c>
      <c r="M765" s="87">
        <f t="shared" si="83"/>
        <v>0</v>
      </c>
      <c r="N765" s="107" t="str">
        <f t="shared" si="84"/>
        <v/>
      </c>
    </row>
    <row r="766" spans="2:14" x14ac:dyDescent="0.25">
      <c r="B766" s="82">
        <f>SUBTOTAL(103,$D$8:D766)</f>
        <v>759</v>
      </c>
      <c r="C766" s="83" t="s">
        <v>774</v>
      </c>
      <c r="D766" s="84">
        <v>0</v>
      </c>
      <c r="E766" s="85" t="str">
        <f t="shared" si="79"/>
        <v/>
      </c>
      <c r="F766" s="106" t="str">
        <f t="shared" si="85"/>
        <v/>
      </c>
      <c r="G766" s="86"/>
      <c r="H766" s="107">
        <f t="shared" si="80"/>
        <v>0</v>
      </c>
      <c r="I766" s="107">
        <f t="shared" si="81"/>
        <v>0</v>
      </c>
      <c r="J766" s="87">
        <f>IF($D766&gt;0,IFERROR(Параметры!$D$42*$H766/$H$2408,0),0)</f>
        <v>0</v>
      </c>
      <c r="K766" s="87">
        <f>IFERROR(ROUND($N766*Параметры!$D$36,2),0)</f>
        <v>0</v>
      </c>
      <c r="L766" s="87">
        <f t="shared" si="82"/>
        <v>0</v>
      </c>
      <c r="M766" s="87">
        <f t="shared" si="83"/>
        <v>0</v>
      </c>
      <c r="N766" s="107" t="str">
        <f t="shared" si="84"/>
        <v/>
      </c>
    </row>
    <row r="767" spans="2:14" x14ac:dyDescent="0.25">
      <c r="B767" s="82">
        <f>SUBTOTAL(103,$D$8:D767)</f>
        <v>760</v>
      </c>
      <c r="C767" s="83" t="s">
        <v>775</v>
      </c>
      <c r="D767" s="84">
        <v>0</v>
      </c>
      <c r="E767" s="85" t="str">
        <f t="shared" si="79"/>
        <v/>
      </c>
      <c r="F767" s="106" t="str">
        <f t="shared" si="85"/>
        <v/>
      </c>
      <c r="G767" s="86"/>
      <c r="H767" s="107">
        <f t="shared" si="80"/>
        <v>0</v>
      </c>
      <c r="I767" s="107">
        <f t="shared" si="81"/>
        <v>0</v>
      </c>
      <c r="J767" s="87">
        <f>IF($D767&gt;0,IFERROR(Параметры!$D$42*$H767/$H$2408,0),0)</f>
        <v>0</v>
      </c>
      <c r="K767" s="87">
        <f>IFERROR(ROUND($N767*Параметры!$D$36,2),0)</f>
        <v>0</v>
      </c>
      <c r="L767" s="87">
        <f t="shared" si="82"/>
        <v>0</v>
      </c>
      <c r="M767" s="87">
        <f t="shared" si="83"/>
        <v>0</v>
      </c>
      <c r="N767" s="107" t="str">
        <f t="shared" si="84"/>
        <v/>
      </c>
    </row>
    <row r="768" spans="2:14" x14ac:dyDescent="0.25">
      <c r="B768" s="82">
        <f>SUBTOTAL(103,$D$8:D768)</f>
        <v>761</v>
      </c>
      <c r="C768" s="83" t="s">
        <v>776</v>
      </c>
      <c r="D768" s="84">
        <v>0</v>
      </c>
      <c r="E768" s="85" t="str">
        <f t="shared" si="79"/>
        <v/>
      </c>
      <c r="F768" s="106" t="str">
        <f t="shared" si="85"/>
        <v/>
      </c>
      <c r="G768" s="86"/>
      <c r="H768" s="107">
        <f t="shared" si="80"/>
        <v>0</v>
      </c>
      <c r="I768" s="107">
        <f t="shared" si="81"/>
        <v>0</v>
      </c>
      <c r="J768" s="87">
        <f>IF($D768&gt;0,IFERROR(Параметры!$D$42*$H768/$H$2408,0),0)</f>
        <v>0</v>
      </c>
      <c r="K768" s="87">
        <f>IFERROR(ROUND($N768*Параметры!$D$36,2),0)</f>
        <v>0</v>
      </c>
      <c r="L768" s="87">
        <f t="shared" si="82"/>
        <v>0</v>
      </c>
      <c r="M768" s="87">
        <f t="shared" si="83"/>
        <v>0</v>
      </c>
      <c r="N768" s="107" t="str">
        <f t="shared" si="84"/>
        <v/>
      </c>
    </row>
    <row r="769" spans="2:14" x14ac:dyDescent="0.25">
      <c r="B769" s="82">
        <f>SUBTOTAL(103,$D$8:D769)</f>
        <v>762</v>
      </c>
      <c r="C769" s="83" t="s">
        <v>777</v>
      </c>
      <c r="D769" s="84">
        <v>0</v>
      </c>
      <c r="E769" s="85" t="str">
        <f t="shared" si="79"/>
        <v/>
      </c>
      <c r="F769" s="106" t="str">
        <f t="shared" si="85"/>
        <v/>
      </c>
      <c r="G769" s="86"/>
      <c r="H769" s="107">
        <f t="shared" si="80"/>
        <v>0</v>
      </c>
      <c r="I769" s="107">
        <f t="shared" si="81"/>
        <v>0</v>
      </c>
      <c r="J769" s="87">
        <f>IF($D769&gt;0,IFERROR(Параметры!$D$42*$H769/$H$2408,0),0)</f>
        <v>0</v>
      </c>
      <c r="K769" s="87">
        <f>IFERROR(ROUND($N769*Параметры!$D$36,2),0)</f>
        <v>0</v>
      </c>
      <c r="L769" s="87">
        <f t="shared" si="82"/>
        <v>0</v>
      </c>
      <c r="M769" s="87">
        <f t="shared" si="83"/>
        <v>0</v>
      </c>
      <c r="N769" s="107" t="str">
        <f t="shared" si="84"/>
        <v/>
      </c>
    </row>
    <row r="770" spans="2:14" x14ac:dyDescent="0.25">
      <c r="B770" s="82">
        <f>SUBTOTAL(103,$D$8:D770)</f>
        <v>763</v>
      </c>
      <c r="C770" s="83" t="s">
        <v>778</v>
      </c>
      <c r="D770" s="84">
        <v>0</v>
      </c>
      <c r="E770" s="85" t="str">
        <f t="shared" si="79"/>
        <v/>
      </c>
      <c r="F770" s="106" t="str">
        <f t="shared" si="85"/>
        <v/>
      </c>
      <c r="G770" s="86"/>
      <c r="H770" s="107">
        <f t="shared" si="80"/>
        <v>0</v>
      </c>
      <c r="I770" s="107">
        <f t="shared" si="81"/>
        <v>0</v>
      </c>
      <c r="J770" s="87">
        <f>IF($D770&gt;0,IFERROR(Параметры!$D$42*$H770/$H$2408,0),0)</f>
        <v>0</v>
      </c>
      <c r="K770" s="87">
        <f>IFERROR(ROUND($N770*Параметры!$D$36,2),0)</f>
        <v>0</v>
      </c>
      <c r="L770" s="87">
        <f t="shared" si="82"/>
        <v>0</v>
      </c>
      <c r="M770" s="87">
        <f t="shared" si="83"/>
        <v>0</v>
      </c>
      <c r="N770" s="107" t="str">
        <f t="shared" si="84"/>
        <v/>
      </c>
    </row>
    <row r="771" spans="2:14" x14ac:dyDescent="0.25">
      <c r="B771" s="82">
        <f>SUBTOTAL(103,$D$8:D771)</f>
        <v>764</v>
      </c>
      <c r="C771" s="83" t="s">
        <v>779</v>
      </c>
      <c r="D771" s="84">
        <v>0</v>
      </c>
      <c r="E771" s="85" t="str">
        <f t="shared" si="79"/>
        <v/>
      </c>
      <c r="F771" s="106" t="str">
        <f t="shared" si="85"/>
        <v/>
      </c>
      <c r="G771" s="86"/>
      <c r="H771" s="107">
        <f t="shared" si="80"/>
        <v>0</v>
      </c>
      <c r="I771" s="107">
        <f t="shared" si="81"/>
        <v>0</v>
      </c>
      <c r="J771" s="87">
        <f>IF($D771&gt;0,IFERROR(Параметры!$D$42*$H771/$H$2408,0),0)</f>
        <v>0</v>
      </c>
      <c r="K771" s="87">
        <f>IFERROR(ROUND($N771*Параметры!$D$36,2),0)</f>
        <v>0</v>
      </c>
      <c r="L771" s="87">
        <f t="shared" si="82"/>
        <v>0</v>
      </c>
      <c r="M771" s="87">
        <f t="shared" si="83"/>
        <v>0</v>
      </c>
      <c r="N771" s="107" t="str">
        <f t="shared" si="84"/>
        <v/>
      </c>
    </row>
    <row r="772" spans="2:14" x14ac:dyDescent="0.25">
      <c r="B772" s="82">
        <f>SUBTOTAL(103,$D$8:D772)</f>
        <v>765</v>
      </c>
      <c r="C772" s="83" t="s">
        <v>780</v>
      </c>
      <c r="D772" s="84">
        <v>0</v>
      </c>
      <c r="E772" s="85" t="str">
        <f t="shared" si="79"/>
        <v/>
      </c>
      <c r="F772" s="106" t="str">
        <f t="shared" si="85"/>
        <v/>
      </c>
      <c r="G772" s="86"/>
      <c r="H772" s="107">
        <f t="shared" si="80"/>
        <v>0</v>
      </c>
      <c r="I772" s="107">
        <f t="shared" si="81"/>
        <v>0</v>
      </c>
      <c r="J772" s="87">
        <f>IF($D772&gt;0,IFERROR(Параметры!$D$42*$H772/$H$2408,0),0)</f>
        <v>0</v>
      </c>
      <c r="K772" s="87">
        <f>IFERROR(ROUND($N772*Параметры!$D$36,2),0)</f>
        <v>0</v>
      </c>
      <c r="L772" s="87">
        <f t="shared" si="82"/>
        <v>0</v>
      </c>
      <c r="M772" s="87">
        <f t="shared" si="83"/>
        <v>0</v>
      </c>
      <c r="N772" s="107" t="str">
        <f t="shared" si="84"/>
        <v/>
      </c>
    </row>
    <row r="773" spans="2:14" x14ac:dyDescent="0.25">
      <c r="B773" s="82">
        <f>SUBTOTAL(103,$D$8:D773)</f>
        <v>766</v>
      </c>
      <c r="C773" s="83" t="s">
        <v>781</v>
      </c>
      <c r="D773" s="84">
        <v>0</v>
      </c>
      <c r="E773" s="85" t="str">
        <f t="shared" si="79"/>
        <v/>
      </c>
      <c r="F773" s="106" t="str">
        <f t="shared" si="85"/>
        <v/>
      </c>
      <c r="G773" s="86"/>
      <c r="H773" s="107">
        <f t="shared" si="80"/>
        <v>0</v>
      </c>
      <c r="I773" s="107">
        <f t="shared" si="81"/>
        <v>0</v>
      </c>
      <c r="J773" s="87">
        <f>IF($D773&gt;0,IFERROR(Параметры!$D$42*$H773/$H$2408,0),0)</f>
        <v>0</v>
      </c>
      <c r="K773" s="87">
        <f>IFERROR(ROUND($N773*Параметры!$D$36,2),0)</f>
        <v>0</v>
      </c>
      <c r="L773" s="87">
        <f t="shared" si="82"/>
        <v>0</v>
      </c>
      <c r="M773" s="87">
        <f t="shared" si="83"/>
        <v>0</v>
      </c>
      <c r="N773" s="107" t="str">
        <f t="shared" si="84"/>
        <v/>
      </c>
    </row>
    <row r="774" spans="2:14" x14ac:dyDescent="0.25">
      <c r="B774" s="82">
        <f>SUBTOTAL(103,$D$8:D774)</f>
        <v>767</v>
      </c>
      <c r="C774" s="83" t="s">
        <v>782</v>
      </c>
      <c r="D774" s="84">
        <v>0</v>
      </c>
      <c r="E774" s="85" t="str">
        <f t="shared" si="79"/>
        <v/>
      </c>
      <c r="F774" s="106" t="str">
        <f t="shared" si="85"/>
        <v/>
      </c>
      <c r="G774" s="86"/>
      <c r="H774" s="107">
        <f t="shared" si="80"/>
        <v>0</v>
      </c>
      <c r="I774" s="107">
        <f t="shared" si="81"/>
        <v>0</v>
      </c>
      <c r="J774" s="87">
        <f>IF($D774&gt;0,IFERROR(Параметры!$D$42*$H774/$H$2408,0),0)</f>
        <v>0</v>
      </c>
      <c r="K774" s="87">
        <f>IFERROR(ROUND($N774*Параметры!$D$36,2),0)</f>
        <v>0</v>
      </c>
      <c r="L774" s="87">
        <f t="shared" si="82"/>
        <v>0</v>
      </c>
      <c r="M774" s="87">
        <f t="shared" si="83"/>
        <v>0</v>
      </c>
      <c r="N774" s="107" t="str">
        <f t="shared" si="84"/>
        <v/>
      </c>
    </row>
    <row r="775" spans="2:14" x14ac:dyDescent="0.25">
      <c r="B775" s="82">
        <f>SUBTOTAL(103,$D$8:D775)</f>
        <v>768</v>
      </c>
      <c r="C775" s="83" t="s">
        <v>783</v>
      </c>
      <c r="D775" s="84">
        <v>0</v>
      </c>
      <c r="E775" s="85" t="str">
        <f t="shared" si="79"/>
        <v/>
      </c>
      <c r="F775" s="106" t="str">
        <f t="shared" si="85"/>
        <v/>
      </c>
      <c r="G775" s="86"/>
      <c r="H775" s="107">
        <f t="shared" si="80"/>
        <v>0</v>
      </c>
      <c r="I775" s="107">
        <f t="shared" si="81"/>
        <v>0</v>
      </c>
      <c r="J775" s="87">
        <f>IF($D775&gt;0,IFERROR(Параметры!$D$42*$H775/$H$2408,0),0)</f>
        <v>0</v>
      </c>
      <c r="K775" s="87">
        <f>IFERROR(ROUND($N775*Параметры!$D$36,2),0)</f>
        <v>0</v>
      </c>
      <c r="L775" s="87">
        <f t="shared" si="82"/>
        <v>0</v>
      </c>
      <c r="M775" s="87">
        <f t="shared" si="83"/>
        <v>0</v>
      </c>
      <c r="N775" s="107" t="str">
        <f t="shared" si="84"/>
        <v/>
      </c>
    </row>
    <row r="776" spans="2:14" x14ac:dyDescent="0.25">
      <c r="B776" s="82">
        <f>SUBTOTAL(103,$D$8:D776)</f>
        <v>769</v>
      </c>
      <c r="C776" s="83" t="s">
        <v>784</v>
      </c>
      <c r="D776" s="84">
        <v>0</v>
      </c>
      <c r="E776" s="85" t="str">
        <f t="shared" ref="E776:E839" si="86">IF($D776&lt;1,"",$K776+$L776)</f>
        <v/>
      </c>
      <c r="F776" s="106" t="str">
        <f t="shared" si="85"/>
        <v/>
      </c>
      <c r="G776" s="86"/>
      <c r="H776" s="107">
        <f t="shared" ref="H776:H839" si="87">IF($D776&gt;0,$D776*КИС,0)</f>
        <v>0</v>
      </c>
      <c r="I776" s="107">
        <f t="shared" ref="I776:I839" si="88">IF($D776&gt;0,$D776-$H776,0)</f>
        <v>0</v>
      </c>
      <c r="J776" s="87">
        <f>IF($D776&gt;0,IFERROR(Параметры!$D$42*$H776/$H$2408,0),0)</f>
        <v>0</v>
      </c>
      <c r="K776" s="87">
        <f>IFERROR(ROUND($N776*Параметры!$D$36,2),0)</f>
        <v>0</v>
      </c>
      <c r="L776" s="87">
        <f t="shared" ref="L776:L839" si="89">IF($K776&gt;0,$K776*0.055,0)</f>
        <v>0</v>
      </c>
      <c r="M776" s="87">
        <f t="shared" ref="M776:M839" si="90">IFERROR($L776/Плотность_ДТ,0)</f>
        <v>0</v>
      </c>
      <c r="N776" s="107" t="str">
        <f t="shared" ref="N776:N839" si="91">IF($D776&gt;0,MAX(0,$D776-IF($F776="",0,$F776)),"")</f>
        <v/>
      </c>
    </row>
    <row r="777" spans="2:14" x14ac:dyDescent="0.25">
      <c r="B777" s="82">
        <f>SUBTOTAL(103,$D$8:D777)</f>
        <v>770</v>
      </c>
      <c r="C777" s="83" t="s">
        <v>785</v>
      </c>
      <c r="D777" s="84">
        <v>0</v>
      </c>
      <c r="E777" s="85" t="str">
        <f t="shared" si="86"/>
        <v/>
      </c>
      <c r="F777" s="106" t="str">
        <f t="shared" si="85"/>
        <v/>
      </c>
      <c r="G777" s="86"/>
      <c r="H777" s="107">
        <f t="shared" si="87"/>
        <v>0</v>
      </c>
      <c r="I777" s="107">
        <f t="shared" si="88"/>
        <v>0</v>
      </c>
      <c r="J777" s="87">
        <f>IF($D777&gt;0,IFERROR(Параметры!$D$42*$H777/$H$2408,0),0)</f>
        <v>0</v>
      </c>
      <c r="K777" s="87">
        <f>IFERROR(ROUND($N777*Параметры!$D$36,2),0)</f>
        <v>0</v>
      </c>
      <c r="L777" s="87">
        <f t="shared" si="89"/>
        <v>0</v>
      </c>
      <c r="M777" s="87">
        <f t="shared" si="90"/>
        <v>0</v>
      </c>
      <c r="N777" s="107" t="str">
        <f t="shared" si="91"/>
        <v/>
      </c>
    </row>
    <row r="778" spans="2:14" x14ac:dyDescent="0.25">
      <c r="B778" s="82">
        <f>SUBTOTAL(103,$D$8:D778)</f>
        <v>771</v>
      </c>
      <c r="C778" s="83" t="s">
        <v>786</v>
      </c>
      <c r="D778" s="84">
        <v>0</v>
      </c>
      <c r="E778" s="85" t="str">
        <f t="shared" si="86"/>
        <v/>
      </c>
      <c r="F778" s="106" t="str">
        <f t="shared" si="85"/>
        <v/>
      </c>
      <c r="G778" s="86"/>
      <c r="H778" s="107">
        <f t="shared" si="87"/>
        <v>0</v>
      </c>
      <c r="I778" s="107">
        <f t="shared" si="88"/>
        <v>0</v>
      </c>
      <c r="J778" s="87">
        <f>IF($D778&gt;0,IFERROR(Параметры!$D$42*$H778/$H$2408,0),0)</f>
        <v>0</v>
      </c>
      <c r="K778" s="87">
        <f>IFERROR(ROUND($N778*Параметры!$D$36,2),0)</f>
        <v>0</v>
      </c>
      <c r="L778" s="87">
        <f t="shared" si="89"/>
        <v>0</v>
      </c>
      <c r="M778" s="87">
        <f t="shared" si="90"/>
        <v>0</v>
      </c>
      <c r="N778" s="107" t="str">
        <f t="shared" si="91"/>
        <v/>
      </c>
    </row>
    <row r="779" spans="2:14" x14ac:dyDescent="0.25">
      <c r="B779" s="82">
        <f>SUBTOTAL(103,$D$8:D779)</f>
        <v>772</v>
      </c>
      <c r="C779" s="83" t="s">
        <v>787</v>
      </c>
      <c r="D779" s="84">
        <v>0</v>
      </c>
      <c r="E779" s="85" t="str">
        <f t="shared" si="86"/>
        <v/>
      </c>
      <c r="F779" s="106" t="str">
        <f t="shared" ref="F779:F842" si="92">IF(D779&gt;0,2,"")</f>
        <v/>
      </c>
      <c r="G779" s="86"/>
      <c r="H779" s="107">
        <f t="shared" si="87"/>
        <v>0</v>
      </c>
      <c r="I779" s="107">
        <f t="shared" si="88"/>
        <v>0</v>
      </c>
      <c r="J779" s="87">
        <f>IF($D779&gt;0,IFERROR(Параметры!$D$42*$H779/$H$2408,0),0)</f>
        <v>0</v>
      </c>
      <c r="K779" s="87">
        <f>IFERROR(ROUND($N779*Параметры!$D$36,2),0)</f>
        <v>0</v>
      </c>
      <c r="L779" s="87">
        <f t="shared" si="89"/>
        <v>0</v>
      </c>
      <c r="M779" s="87">
        <f t="shared" si="90"/>
        <v>0</v>
      </c>
      <c r="N779" s="107" t="str">
        <f t="shared" si="91"/>
        <v/>
      </c>
    </row>
    <row r="780" spans="2:14" x14ac:dyDescent="0.25">
      <c r="B780" s="82">
        <f>SUBTOTAL(103,$D$8:D780)</f>
        <v>773</v>
      </c>
      <c r="C780" s="83" t="s">
        <v>788</v>
      </c>
      <c r="D780" s="84">
        <v>0</v>
      </c>
      <c r="E780" s="85" t="str">
        <f t="shared" si="86"/>
        <v/>
      </c>
      <c r="F780" s="106" t="str">
        <f t="shared" si="92"/>
        <v/>
      </c>
      <c r="G780" s="86"/>
      <c r="H780" s="107">
        <f t="shared" si="87"/>
        <v>0</v>
      </c>
      <c r="I780" s="107">
        <f t="shared" si="88"/>
        <v>0</v>
      </c>
      <c r="J780" s="87">
        <f>IF($D780&gt;0,IFERROR(Параметры!$D$42*$H780/$H$2408,0),0)</f>
        <v>0</v>
      </c>
      <c r="K780" s="87">
        <f>IFERROR(ROUND($N780*Параметры!$D$36,2),0)</f>
        <v>0</v>
      </c>
      <c r="L780" s="87">
        <f t="shared" si="89"/>
        <v>0</v>
      </c>
      <c r="M780" s="87">
        <f t="shared" si="90"/>
        <v>0</v>
      </c>
      <c r="N780" s="107" t="str">
        <f t="shared" si="91"/>
        <v/>
      </c>
    </row>
    <row r="781" spans="2:14" x14ac:dyDescent="0.25">
      <c r="B781" s="82">
        <f>SUBTOTAL(103,$D$8:D781)</f>
        <v>774</v>
      </c>
      <c r="C781" s="83" t="s">
        <v>789</v>
      </c>
      <c r="D781" s="84">
        <v>0</v>
      </c>
      <c r="E781" s="85" t="str">
        <f t="shared" si="86"/>
        <v/>
      </c>
      <c r="F781" s="106" t="str">
        <f t="shared" si="92"/>
        <v/>
      </c>
      <c r="G781" s="86"/>
      <c r="H781" s="107">
        <f t="shared" si="87"/>
        <v>0</v>
      </c>
      <c r="I781" s="107">
        <f t="shared" si="88"/>
        <v>0</v>
      </c>
      <c r="J781" s="87">
        <f>IF($D781&gt;0,IFERROR(Параметры!$D$42*$H781/$H$2408,0),0)</f>
        <v>0</v>
      </c>
      <c r="K781" s="87">
        <f>IFERROR(ROUND($N781*Параметры!$D$36,2),0)</f>
        <v>0</v>
      </c>
      <c r="L781" s="87">
        <f t="shared" si="89"/>
        <v>0</v>
      </c>
      <c r="M781" s="87">
        <f t="shared" si="90"/>
        <v>0</v>
      </c>
      <c r="N781" s="107" t="str">
        <f t="shared" si="91"/>
        <v/>
      </c>
    </row>
    <row r="782" spans="2:14" x14ac:dyDescent="0.25">
      <c r="B782" s="82">
        <f>SUBTOTAL(103,$D$8:D782)</f>
        <v>775</v>
      </c>
      <c r="C782" s="83" t="s">
        <v>790</v>
      </c>
      <c r="D782" s="84">
        <v>0</v>
      </c>
      <c r="E782" s="85" t="str">
        <f t="shared" si="86"/>
        <v/>
      </c>
      <c r="F782" s="106" t="str">
        <f t="shared" si="92"/>
        <v/>
      </c>
      <c r="G782" s="86"/>
      <c r="H782" s="107">
        <f t="shared" si="87"/>
        <v>0</v>
      </c>
      <c r="I782" s="107">
        <f t="shared" si="88"/>
        <v>0</v>
      </c>
      <c r="J782" s="87">
        <f>IF($D782&gt;0,IFERROR(Параметры!$D$42*$H782/$H$2408,0),0)</f>
        <v>0</v>
      </c>
      <c r="K782" s="87">
        <f>IFERROR(ROUND($N782*Параметры!$D$36,2),0)</f>
        <v>0</v>
      </c>
      <c r="L782" s="87">
        <f t="shared" si="89"/>
        <v>0</v>
      </c>
      <c r="M782" s="87">
        <f t="shared" si="90"/>
        <v>0</v>
      </c>
      <c r="N782" s="107" t="str">
        <f t="shared" si="91"/>
        <v/>
      </c>
    </row>
    <row r="783" spans="2:14" x14ac:dyDescent="0.25">
      <c r="B783" s="82">
        <f>SUBTOTAL(103,$D$8:D783)</f>
        <v>776</v>
      </c>
      <c r="C783" s="83" t="s">
        <v>791</v>
      </c>
      <c r="D783" s="84">
        <v>0</v>
      </c>
      <c r="E783" s="85" t="str">
        <f t="shared" si="86"/>
        <v/>
      </c>
      <c r="F783" s="106" t="str">
        <f t="shared" si="92"/>
        <v/>
      </c>
      <c r="G783" s="86"/>
      <c r="H783" s="107">
        <f t="shared" si="87"/>
        <v>0</v>
      </c>
      <c r="I783" s="107">
        <f t="shared" si="88"/>
        <v>0</v>
      </c>
      <c r="J783" s="87">
        <f>IF($D783&gt;0,IFERROR(Параметры!$D$42*$H783/$H$2408,0),0)</f>
        <v>0</v>
      </c>
      <c r="K783" s="87">
        <f>IFERROR(ROUND($N783*Параметры!$D$36,2),0)</f>
        <v>0</v>
      </c>
      <c r="L783" s="87">
        <f t="shared" si="89"/>
        <v>0</v>
      </c>
      <c r="M783" s="87">
        <f t="shared" si="90"/>
        <v>0</v>
      </c>
      <c r="N783" s="107" t="str">
        <f t="shared" si="91"/>
        <v/>
      </c>
    </row>
    <row r="784" spans="2:14" x14ac:dyDescent="0.25">
      <c r="B784" s="82">
        <f>SUBTOTAL(103,$D$8:D784)</f>
        <v>777</v>
      </c>
      <c r="C784" s="83" t="s">
        <v>792</v>
      </c>
      <c r="D784" s="84">
        <v>0</v>
      </c>
      <c r="E784" s="85" t="str">
        <f t="shared" si="86"/>
        <v/>
      </c>
      <c r="F784" s="106" t="str">
        <f t="shared" si="92"/>
        <v/>
      </c>
      <c r="G784" s="86"/>
      <c r="H784" s="107">
        <f t="shared" si="87"/>
        <v>0</v>
      </c>
      <c r="I784" s="107">
        <f t="shared" si="88"/>
        <v>0</v>
      </c>
      <c r="J784" s="87">
        <f>IF($D784&gt;0,IFERROR(Параметры!$D$42*$H784/$H$2408,0),0)</f>
        <v>0</v>
      </c>
      <c r="K784" s="87">
        <f>IFERROR(ROUND($N784*Параметры!$D$36,2),0)</f>
        <v>0</v>
      </c>
      <c r="L784" s="87">
        <f t="shared" si="89"/>
        <v>0</v>
      </c>
      <c r="M784" s="87">
        <f t="shared" si="90"/>
        <v>0</v>
      </c>
      <c r="N784" s="107" t="str">
        <f t="shared" si="91"/>
        <v/>
      </c>
    </row>
    <row r="785" spans="2:14" x14ac:dyDescent="0.25">
      <c r="B785" s="82">
        <f>SUBTOTAL(103,$D$8:D785)</f>
        <v>778</v>
      </c>
      <c r="C785" s="83" t="s">
        <v>793</v>
      </c>
      <c r="D785" s="84">
        <v>0</v>
      </c>
      <c r="E785" s="85" t="str">
        <f t="shared" si="86"/>
        <v/>
      </c>
      <c r="F785" s="106" t="str">
        <f t="shared" si="92"/>
        <v/>
      </c>
      <c r="G785" s="86"/>
      <c r="H785" s="107">
        <f t="shared" si="87"/>
        <v>0</v>
      </c>
      <c r="I785" s="107">
        <f t="shared" si="88"/>
        <v>0</v>
      </c>
      <c r="J785" s="87">
        <f>IF($D785&gt;0,IFERROR(Параметры!$D$42*$H785/$H$2408,0),0)</f>
        <v>0</v>
      </c>
      <c r="K785" s="87">
        <f>IFERROR(ROUND($N785*Параметры!$D$36,2),0)</f>
        <v>0</v>
      </c>
      <c r="L785" s="87">
        <f t="shared" si="89"/>
        <v>0</v>
      </c>
      <c r="M785" s="87">
        <f t="shared" si="90"/>
        <v>0</v>
      </c>
      <c r="N785" s="107" t="str">
        <f t="shared" si="91"/>
        <v/>
      </c>
    </row>
    <row r="786" spans="2:14" x14ac:dyDescent="0.25">
      <c r="B786" s="82">
        <f>SUBTOTAL(103,$D$8:D786)</f>
        <v>779</v>
      </c>
      <c r="C786" s="83" t="s">
        <v>794</v>
      </c>
      <c r="D786" s="84">
        <v>0</v>
      </c>
      <c r="E786" s="85" t="str">
        <f t="shared" si="86"/>
        <v/>
      </c>
      <c r="F786" s="106" t="str">
        <f t="shared" si="92"/>
        <v/>
      </c>
      <c r="G786" s="86"/>
      <c r="H786" s="107">
        <f t="shared" si="87"/>
        <v>0</v>
      </c>
      <c r="I786" s="107">
        <f t="shared" si="88"/>
        <v>0</v>
      </c>
      <c r="J786" s="87">
        <f>IF($D786&gt;0,IFERROR(Параметры!$D$42*$H786/$H$2408,0),0)</f>
        <v>0</v>
      </c>
      <c r="K786" s="87">
        <f>IFERROR(ROUND($N786*Параметры!$D$36,2),0)</f>
        <v>0</v>
      </c>
      <c r="L786" s="87">
        <f t="shared" si="89"/>
        <v>0</v>
      </c>
      <c r="M786" s="87">
        <f t="shared" si="90"/>
        <v>0</v>
      </c>
      <c r="N786" s="107" t="str">
        <f t="shared" si="91"/>
        <v/>
      </c>
    </row>
    <row r="787" spans="2:14" x14ac:dyDescent="0.25">
      <c r="B787" s="82">
        <f>SUBTOTAL(103,$D$8:D787)</f>
        <v>780</v>
      </c>
      <c r="C787" s="83" t="s">
        <v>795</v>
      </c>
      <c r="D787" s="84">
        <v>0</v>
      </c>
      <c r="E787" s="85" t="str">
        <f t="shared" si="86"/>
        <v/>
      </c>
      <c r="F787" s="106" t="str">
        <f t="shared" si="92"/>
        <v/>
      </c>
      <c r="G787" s="86"/>
      <c r="H787" s="107">
        <f t="shared" si="87"/>
        <v>0</v>
      </c>
      <c r="I787" s="107">
        <f t="shared" si="88"/>
        <v>0</v>
      </c>
      <c r="J787" s="87">
        <f>IF($D787&gt;0,IFERROR(Параметры!$D$42*$H787/$H$2408,0),0)</f>
        <v>0</v>
      </c>
      <c r="K787" s="87">
        <f>IFERROR(ROUND($N787*Параметры!$D$36,2),0)</f>
        <v>0</v>
      </c>
      <c r="L787" s="87">
        <f t="shared" si="89"/>
        <v>0</v>
      </c>
      <c r="M787" s="87">
        <f t="shared" si="90"/>
        <v>0</v>
      </c>
      <c r="N787" s="107" t="str">
        <f t="shared" si="91"/>
        <v/>
      </c>
    </row>
    <row r="788" spans="2:14" x14ac:dyDescent="0.25">
      <c r="B788" s="82">
        <f>SUBTOTAL(103,$D$8:D788)</f>
        <v>781</v>
      </c>
      <c r="C788" s="83" t="s">
        <v>796</v>
      </c>
      <c r="D788" s="84">
        <f t="array" ref="D788:D847">TRANSPOSE('Зарядная карта'!$C$18:$BJ$18)</f>
        <v>4</v>
      </c>
      <c r="E788" s="85">
        <f t="shared" si="86"/>
        <v>62.814700000000002</v>
      </c>
      <c r="F788" s="106">
        <f t="shared" si="92"/>
        <v>2</v>
      </c>
      <c r="G788" s="86"/>
      <c r="H788" s="107">
        <f t="shared" si="87"/>
        <v>3.44</v>
      </c>
      <c r="I788" s="107">
        <f t="shared" si="88"/>
        <v>0.56000000000000005</v>
      </c>
      <c r="J788" s="87">
        <f>IF($D788&gt;0,IFERROR(Параметры!$D$42*$H788/$H$2408,0),0)</f>
        <v>60.103959390862947</v>
      </c>
      <c r="K788" s="87">
        <f>IFERROR(ROUND($N788*Параметры!$D$36,2),0)</f>
        <v>59.54</v>
      </c>
      <c r="L788" s="87">
        <f t="shared" si="89"/>
        <v>3.2747000000000002</v>
      </c>
      <c r="M788" s="87">
        <f t="shared" si="90"/>
        <v>3.8420790191534921</v>
      </c>
      <c r="N788" s="107">
        <f t="shared" si="91"/>
        <v>2</v>
      </c>
    </row>
    <row r="789" spans="2:14" x14ac:dyDescent="0.25">
      <c r="B789" s="82">
        <f>SUBTOTAL(103,$D$8:D789)</f>
        <v>782</v>
      </c>
      <c r="C789" s="83" t="s">
        <v>797</v>
      </c>
      <c r="D789" s="84">
        <v>8</v>
      </c>
      <c r="E789" s="85">
        <f t="shared" si="86"/>
        <v>188.44409999999999</v>
      </c>
      <c r="F789" s="106">
        <f t="shared" si="92"/>
        <v>2</v>
      </c>
      <c r="G789" s="86"/>
      <c r="H789" s="107">
        <f t="shared" si="87"/>
        <v>6.88</v>
      </c>
      <c r="I789" s="107">
        <f t="shared" si="88"/>
        <v>1.1200000000000001</v>
      </c>
      <c r="J789" s="87">
        <f>IF($D789&gt;0,IFERROR(Параметры!$D$42*$H789/$H$2408,0),0)</f>
        <v>120.20791878172589</v>
      </c>
      <c r="K789" s="87">
        <f>IFERROR(ROUND($N789*Параметры!$D$36,2),0)</f>
        <v>178.62</v>
      </c>
      <c r="L789" s="87">
        <f t="shared" si="89"/>
        <v>9.8240999999999996</v>
      </c>
      <c r="M789" s="87">
        <f t="shared" si="90"/>
        <v>11.526237057460476</v>
      </c>
      <c r="N789" s="107">
        <f t="shared" si="91"/>
        <v>6</v>
      </c>
    </row>
    <row r="790" spans="2:14" x14ac:dyDescent="0.25">
      <c r="B790" s="82">
        <f>SUBTOTAL(103,$D$8:D790)</f>
        <v>783</v>
      </c>
      <c r="C790" s="83" t="s">
        <v>798</v>
      </c>
      <c r="D790" s="84">
        <v>8</v>
      </c>
      <c r="E790" s="85">
        <f t="shared" si="86"/>
        <v>188.44409999999999</v>
      </c>
      <c r="F790" s="106">
        <f t="shared" si="92"/>
        <v>2</v>
      </c>
      <c r="G790" s="86"/>
      <c r="H790" s="107">
        <f t="shared" si="87"/>
        <v>6.88</v>
      </c>
      <c r="I790" s="107">
        <f t="shared" si="88"/>
        <v>1.1200000000000001</v>
      </c>
      <c r="J790" s="87">
        <f>IF($D790&gt;0,IFERROR(Параметры!$D$42*$H790/$H$2408,0),0)</f>
        <v>120.20791878172589</v>
      </c>
      <c r="K790" s="87">
        <f>IFERROR(ROUND($N790*Параметры!$D$36,2),0)</f>
        <v>178.62</v>
      </c>
      <c r="L790" s="87">
        <f t="shared" si="89"/>
        <v>9.8240999999999996</v>
      </c>
      <c r="M790" s="87">
        <f t="shared" si="90"/>
        <v>11.526237057460476</v>
      </c>
      <c r="N790" s="107">
        <f t="shared" si="91"/>
        <v>6</v>
      </c>
    </row>
    <row r="791" spans="2:14" x14ac:dyDescent="0.25">
      <c r="B791" s="82">
        <f>SUBTOTAL(103,$D$8:D791)</f>
        <v>784</v>
      </c>
      <c r="C791" s="83" t="s">
        <v>799</v>
      </c>
      <c r="D791" s="84">
        <v>8</v>
      </c>
      <c r="E791" s="85">
        <f t="shared" si="86"/>
        <v>188.44409999999999</v>
      </c>
      <c r="F791" s="106">
        <f t="shared" si="92"/>
        <v>2</v>
      </c>
      <c r="G791" s="86"/>
      <c r="H791" s="107">
        <f t="shared" si="87"/>
        <v>6.88</v>
      </c>
      <c r="I791" s="107">
        <f t="shared" si="88"/>
        <v>1.1200000000000001</v>
      </c>
      <c r="J791" s="87">
        <f>IF($D791&gt;0,IFERROR(Параметры!$D$42*$H791/$H$2408,0),0)</f>
        <v>120.20791878172589</v>
      </c>
      <c r="K791" s="87">
        <f>IFERROR(ROUND($N791*Параметры!$D$36,2),0)</f>
        <v>178.62</v>
      </c>
      <c r="L791" s="87">
        <f t="shared" si="89"/>
        <v>9.8240999999999996</v>
      </c>
      <c r="M791" s="87">
        <f t="shared" si="90"/>
        <v>11.526237057460476</v>
      </c>
      <c r="N791" s="107">
        <f t="shared" si="91"/>
        <v>6</v>
      </c>
    </row>
    <row r="792" spans="2:14" x14ac:dyDescent="0.25">
      <c r="B792" s="82">
        <f>SUBTOTAL(103,$D$8:D792)</f>
        <v>785</v>
      </c>
      <c r="C792" s="83" t="s">
        <v>800</v>
      </c>
      <c r="D792" s="84">
        <v>8</v>
      </c>
      <c r="E792" s="85">
        <f t="shared" si="86"/>
        <v>188.44409999999999</v>
      </c>
      <c r="F792" s="106">
        <f t="shared" si="92"/>
        <v>2</v>
      </c>
      <c r="G792" s="86"/>
      <c r="H792" s="107">
        <f t="shared" si="87"/>
        <v>6.88</v>
      </c>
      <c r="I792" s="107">
        <f t="shared" si="88"/>
        <v>1.1200000000000001</v>
      </c>
      <c r="J792" s="87">
        <f>IF($D792&gt;0,IFERROR(Параметры!$D$42*$H792/$H$2408,0),0)</f>
        <v>120.20791878172589</v>
      </c>
      <c r="K792" s="87">
        <f>IFERROR(ROUND($N792*Параметры!$D$36,2),0)</f>
        <v>178.62</v>
      </c>
      <c r="L792" s="87">
        <f t="shared" si="89"/>
        <v>9.8240999999999996</v>
      </c>
      <c r="M792" s="87">
        <f t="shared" si="90"/>
        <v>11.526237057460476</v>
      </c>
      <c r="N792" s="107">
        <f t="shared" si="91"/>
        <v>6</v>
      </c>
    </row>
    <row r="793" spans="2:14" x14ac:dyDescent="0.25">
      <c r="B793" s="82">
        <f>SUBTOTAL(103,$D$8:D793)</f>
        <v>786</v>
      </c>
      <c r="C793" s="83" t="s">
        <v>801</v>
      </c>
      <c r="D793" s="84">
        <v>8</v>
      </c>
      <c r="E793" s="85">
        <f t="shared" si="86"/>
        <v>188.44409999999999</v>
      </c>
      <c r="F793" s="106">
        <f t="shared" si="92"/>
        <v>2</v>
      </c>
      <c r="G793" s="86"/>
      <c r="H793" s="107">
        <f t="shared" si="87"/>
        <v>6.88</v>
      </c>
      <c r="I793" s="107">
        <f t="shared" si="88"/>
        <v>1.1200000000000001</v>
      </c>
      <c r="J793" s="87">
        <f>IF($D793&gt;0,IFERROR(Параметры!$D$42*$H793/$H$2408,0),0)</f>
        <v>120.20791878172589</v>
      </c>
      <c r="K793" s="87">
        <f>IFERROR(ROUND($N793*Параметры!$D$36,2),0)</f>
        <v>178.62</v>
      </c>
      <c r="L793" s="87">
        <f t="shared" si="89"/>
        <v>9.8240999999999996</v>
      </c>
      <c r="M793" s="87">
        <f t="shared" si="90"/>
        <v>11.526237057460476</v>
      </c>
      <c r="N793" s="107">
        <f t="shared" si="91"/>
        <v>6</v>
      </c>
    </row>
    <row r="794" spans="2:14" x14ac:dyDescent="0.25">
      <c r="B794" s="82">
        <f>SUBTOTAL(103,$D$8:D794)</f>
        <v>787</v>
      </c>
      <c r="C794" s="83" t="s">
        <v>802</v>
      </c>
      <c r="D794" s="84">
        <v>8</v>
      </c>
      <c r="E794" s="85">
        <f t="shared" si="86"/>
        <v>188.44409999999999</v>
      </c>
      <c r="F794" s="106">
        <f t="shared" si="92"/>
        <v>2</v>
      </c>
      <c r="G794" s="86"/>
      <c r="H794" s="107">
        <f t="shared" si="87"/>
        <v>6.88</v>
      </c>
      <c r="I794" s="107">
        <f t="shared" si="88"/>
        <v>1.1200000000000001</v>
      </c>
      <c r="J794" s="87">
        <f>IF($D794&gt;0,IFERROR(Параметры!$D$42*$H794/$H$2408,0),0)</f>
        <v>120.20791878172589</v>
      </c>
      <c r="K794" s="87">
        <f>IFERROR(ROUND($N794*Параметры!$D$36,2),0)</f>
        <v>178.62</v>
      </c>
      <c r="L794" s="87">
        <f t="shared" si="89"/>
        <v>9.8240999999999996</v>
      </c>
      <c r="M794" s="87">
        <f t="shared" si="90"/>
        <v>11.526237057460476</v>
      </c>
      <c r="N794" s="107">
        <f t="shared" si="91"/>
        <v>6</v>
      </c>
    </row>
    <row r="795" spans="2:14" x14ac:dyDescent="0.25">
      <c r="B795" s="82">
        <f>SUBTOTAL(103,$D$8:D795)</f>
        <v>788</v>
      </c>
      <c r="C795" s="83" t="s">
        <v>803</v>
      </c>
      <c r="D795" s="84">
        <v>8</v>
      </c>
      <c r="E795" s="85">
        <f t="shared" si="86"/>
        <v>188.44409999999999</v>
      </c>
      <c r="F795" s="106">
        <f t="shared" si="92"/>
        <v>2</v>
      </c>
      <c r="G795" s="86"/>
      <c r="H795" s="107">
        <f t="shared" si="87"/>
        <v>6.88</v>
      </c>
      <c r="I795" s="107">
        <f t="shared" si="88"/>
        <v>1.1200000000000001</v>
      </c>
      <c r="J795" s="87">
        <f>IF($D795&gt;0,IFERROR(Параметры!$D$42*$H795/$H$2408,0),0)</f>
        <v>120.20791878172589</v>
      </c>
      <c r="K795" s="87">
        <f>IFERROR(ROUND($N795*Параметры!$D$36,2),0)</f>
        <v>178.62</v>
      </c>
      <c r="L795" s="87">
        <f t="shared" si="89"/>
        <v>9.8240999999999996</v>
      </c>
      <c r="M795" s="87">
        <f t="shared" si="90"/>
        <v>11.526237057460476</v>
      </c>
      <c r="N795" s="107">
        <f t="shared" si="91"/>
        <v>6</v>
      </c>
    </row>
    <row r="796" spans="2:14" x14ac:dyDescent="0.25">
      <c r="B796" s="82">
        <f>SUBTOTAL(103,$D$8:D796)</f>
        <v>789</v>
      </c>
      <c r="C796" s="83" t="s">
        <v>804</v>
      </c>
      <c r="D796" s="84">
        <v>8</v>
      </c>
      <c r="E796" s="85">
        <f t="shared" si="86"/>
        <v>188.44409999999999</v>
      </c>
      <c r="F796" s="106">
        <f t="shared" si="92"/>
        <v>2</v>
      </c>
      <c r="G796" s="86"/>
      <c r="H796" s="107">
        <f t="shared" si="87"/>
        <v>6.88</v>
      </c>
      <c r="I796" s="107">
        <f t="shared" si="88"/>
        <v>1.1200000000000001</v>
      </c>
      <c r="J796" s="87">
        <f>IF($D796&gt;0,IFERROR(Параметры!$D$42*$H796/$H$2408,0),0)</f>
        <v>120.20791878172589</v>
      </c>
      <c r="K796" s="87">
        <f>IFERROR(ROUND($N796*Параметры!$D$36,2),0)</f>
        <v>178.62</v>
      </c>
      <c r="L796" s="87">
        <f t="shared" si="89"/>
        <v>9.8240999999999996</v>
      </c>
      <c r="M796" s="87">
        <f t="shared" si="90"/>
        <v>11.526237057460476</v>
      </c>
      <c r="N796" s="107">
        <f t="shared" si="91"/>
        <v>6</v>
      </c>
    </row>
    <row r="797" spans="2:14" x14ac:dyDescent="0.25">
      <c r="B797" s="82">
        <f>SUBTOTAL(103,$D$8:D797)</f>
        <v>790</v>
      </c>
      <c r="C797" s="83" t="s">
        <v>805</v>
      </c>
      <c r="D797" s="84">
        <v>8</v>
      </c>
      <c r="E797" s="85">
        <f t="shared" si="86"/>
        <v>188.44409999999999</v>
      </c>
      <c r="F797" s="106">
        <f t="shared" si="92"/>
        <v>2</v>
      </c>
      <c r="G797" s="86"/>
      <c r="H797" s="107">
        <f t="shared" si="87"/>
        <v>6.88</v>
      </c>
      <c r="I797" s="107">
        <f t="shared" si="88"/>
        <v>1.1200000000000001</v>
      </c>
      <c r="J797" s="87">
        <f>IF($D797&gt;0,IFERROR(Параметры!$D$42*$H797/$H$2408,0),0)</f>
        <v>120.20791878172589</v>
      </c>
      <c r="K797" s="87">
        <f>IFERROR(ROUND($N797*Параметры!$D$36,2),0)</f>
        <v>178.62</v>
      </c>
      <c r="L797" s="87">
        <f t="shared" si="89"/>
        <v>9.8240999999999996</v>
      </c>
      <c r="M797" s="87">
        <f t="shared" si="90"/>
        <v>11.526237057460476</v>
      </c>
      <c r="N797" s="107">
        <f t="shared" si="91"/>
        <v>6</v>
      </c>
    </row>
    <row r="798" spans="2:14" x14ac:dyDescent="0.25">
      <c r="B798" s="82">
        <f>SUBTOTAL(103,$D$8:D798)</f>
        <v>791</v>
      </c>
      <c r="C798" s="83" t="s">
        <v>806</v>
      </c>
      <c r="D798" s="84">
        <v>8</v>
      </c>
      <c r="E798" s="85">
        <f t="shared" si="86"/>
        <v>188.44409999999999</v>
      </c>
      <c r="F798" s="106">
        <f t="shared" si="92"/>
        <v>2</v>
      </c>
      <c r="G798" s="86"/>
      <c r="H798" s="107">
        <f t="shared" si="87"/>
        <v>6.88</v>
      </c>
      <c r="I798" s="107">
        <f t="shared" si="88"/>
        <v>1.1200000000000001</v>
      </c>
      <c r="J798" s="87">
        <f>IF($D798&gt;0,IFERROR(Параметры!$D$42*$H798/$H$2408,0),0)</f>
        <v>120.20791878172589</v>
      </c>
      <c r="K798" s="87">
        <f>IFERROR(ROUND($N798*Параметры!$D$36,2),0)</f>
        <v>178.62</v>
      </c>
      <c r="L798" s="87">
        <f t="shared" si="89"/>
        <v>9.8240999999999996</v>
      </c>
      <c r="M798" s="87">
        <f t="shared" si="90"/>
        <v>11.526237057460476</v>
      </c>
      <c r="N798" s="107">
        <f t="shared" si="91"/>
        <v>6</v>
      </c>
    </row>
    <row r="799" spans="2:14" x14ac:dyDescent="0.25">
      <c r="B799" s="82">
        <f>SUBTOTAL(103,$D$8:D799)</f>
        <v>792</v>
      </c>
      <c r="C799" s="83" t="s">
        <v>807</v>
      </c>
      <c r="D799" s="84">
        <v>4</v>
      </c>
      <c r="E799" s="85">
        <f t="shared" si="86"/>
        <v>62.814700000000002</v>
      </c>
      <c r="F799" s="106">
        <f t="shared" si="92"/>
        <v>2</v>
      </c>
      <c r="G799" s="86"/>
      <c r="H799" s="107">
        <f t="shared" si="87"/>
        <v>3.44</v>
      </c>
      <c r="I799" s="107">
        <f t="shared" si="88"/>
        <v>0.56000000000000005</v>
      </c>
      <c r="J799" s="87">
        <f>IF($D799&gt;0,IFERROR(Параметры!$D$42*$H799/$H$2408,0),0)</f>
        <v>60.103959390862947</v>
      </c>
      <c r="K799" s="87">
        <f>IFERROR(ROUND($N799*Параметры!$D$36,2),0)</f>
        <v>59.54</v>
      </c>
      <c r="L799" s="87">
        <f t="shared" si="89"/>
        <v>3.2747000000000002</v>
      </c>
      <c r="M799" s="87">
        <f t="shared" si="90"/>
        <v>3.8420790191534921</v>
      </c>
      <c r="N799" s="107">
        <f t="shared" si="91"/>
        <v>2</v>
      </c>
    </row>
    <row r="800" spans="2:14" x14ac:dyDescent="0.25">
      <c r="B800" s="82">
        <f>SUBTOTAL(103,$D$8:D800)</f>
        <v>793</v>
      </c>
      <c r="C800" s="83" t="s">
        <v>808</v>
      </c>
      <c r="D800" s="84">
        <v>0</v>
      </c>
      <c r="E800" s="85" t="str">
        <f t="shared" si="86"/>
        <v/>
      </c>
      <c r="F800" s="106" t="str">
        <f t="shared" si="92"/>
        <v/>
      </c>
      <c r="G800" s="86"/>
      <c r="H800" s="107">
        <f t="shared" si="87"/>
        <v>0</v>
      </c>
      <c r="I800" s="107">
        <f t="shared" si="88"/>
        <v>0</v>
      </c>
      <c r="J800" s="87">
        <f>IF($D800&gt;0,IFERROR(Параметры!$D$42*$H800/$H$2408,0),0)</f>
        <v>0</v>
      </c>
      <c r="K800" s="87">
        <f>IFERROR(ROUND($N800*Параметры!$D$36,2),0)</f>
        <v>0</v>
      </c>
      <c r="L800" s="87">
        <f t="shared" si="89"/>
        <v>0</v>
      </c>
      <c r="M800" s="87">
        <f t="shared" si="90"/>
        <v>0</v>
      </c>
      <c r="N800" s="107" t="str">
        <f t="shared" si="91"/>
        <v/>
      </c>
    </row>
    <row r="801" spans="2:14" x14ac:dyDescent="0.25">
      <c r="B801" s="82">
        <f>SUBTOTAL(103,$D$8:D801)</f>
        <v>794</v>
      </c>
      <c r="C801" s="83" t="s">
        <v>809</v>
      </c>
      <c r="D801" s="84">
        <v>0</v>
      </c>
      <c r="E801" s="85" t="str">
        <f t="shared" si="86"/>
        <v/>
      </c>
      <c r="F801" s="106" t="str">
        <f t="shared" si="92"/>
        <v/>
      </c>
      <c r="G801" s="86"/>
      <c r="H801" s="107">
        <f t="shared" si="87"/>
        <v>0</v>
      </c>
      <c r="I801" s="107">
        <f t="shared" si="88"/>
        <v>0</v>
      </c>
      <c r="J801" s="87">
        <f>IF($D801&gt;0,IFERROR(Параметры!$D$42*$H801/$H$2408,0),0)</f>
        <v>0</v>
      </c>
      <c r="K801" s="87">
        <f>IFERROR(ROUND($N801*Параметры!$D$36,2),0)</f>
        <v>0</v>
      </c>
      <c r="L801" s="87">
        <f t="shared" si="89"/>
        <v>0</v>
      </c>
      <c r="M801" s="87">
        <f t="shared" si="90"/>
        <v>0</v>
      </c>
      <c r="N801" s="107" t="str">
        <f t="shared" si="91"/>
        <v/>
      </c>
    </row>
    <row r="802" spans="2:14" x14ac:dyDescent="0.25">
      <c r="B802" s="82">
        <f>SUBTOTAL(103,$D$8:D802)</f>
        <v>795</v>
      </c>
      <c r="C802" s="83" t="s">
        <v>810</v>
      </c>
      <c r="D802" s="84">
        <v>0</v>
      </c>
      <c r="E802" s="85" t="str">
        <f t="shared" si="86"/>
        <v/>
      </c>
      <c r="F802" s="106" t="str">
        <f t="shared" si="92"/>
        <v/>
      </c>
      <c r="G802" s="86"/>
      <c r="H802" s="107">
        <f t="shared" si="87"/>
        <v>0</v>
      </c>
      <c r="I802" s="107">
        <f t="shared" si="88"/>
        <v>0</v>
      </c>
      <c r="J802" s="87">
        <f>IF($D802&gt;0,IFERROR(Параметры!$D$42*$H802/$H$2408,0),0)</f>
        <v>0</v>
      </c>
      <c r="K802" s="87">
        <f>IFERROR(ROUND($N802*Параметры!$D$36,2),0)</f>
        <v>0</v>
      </c>
      <c r="L802" s="87">
        <f t="shared" si="89"/>
        <v>0</v>
      </c>
      <c r="M802" s="87">
        <f t="shared" si="90"/>
        <v>0</v>
      </c>
      <c r="N802" s="107" t="str">
        <f t="shared" si="91"/>
        <v/>
      </c>
    </row>
    <row r="803" spans="2:14" x14ac:dyDescent="0.25">
      <c r="B803" s="82">
        <f>SUBTOTAL(103,$D$8:D803)</f>
        <v>796</v>
      </c>
      <c r="C803" s="83" t="s">
        <v>811</v>
      </c>
      <c r="D803" s="84">
        <v>0</v>
      </c>
      <c r="E803" s="85" t="str">
        <f t="shared" si="86"/>
        <v/>
      </c>
      <c r="F803" s="106" t="str">
        <f t="shared" si="92"/>
        <v/>
      </c>
      <c r="G803" s="86"/>
      <c r="H803" s="107">
        <f t="shared" si="87"/>
        <v>0</v>
      </c>
      <c r="I803" s="107">
        <f t="shared" si="88"/>
        <v>0</v>
      </c>
      <c r="J803" s="87">
        <f>IF($D803&gt;0,IFERROR(Параметры!$D$42*$H803/$H$2408,0),0)</f>
        <v>0</v>
      </c>
      <c r="K803" s="87">
        <f>IFERROR(ROUND($N803*Параметры!$D$36,2),0)</f>
        <v>0</v>
      </c>
      <c r="L803" s="87">
        <f t="shared" si="89"/>
        <v>0</v>
      </c>
      <c r="M803" s="87">
        <f t="shared" si="90"/>
        <v>0</v>
      </c>
      <c r="N803" s="107" t="str">
        <f t="shared" si="91"/>
        <v/>
      </c>
    </row>
    <row r="804" spans="2:14" x14ac:dyDescent="0.25">
      <c r="B804" s="82">
        <f>SUBTOTAL(103,$D$8:D804)</f>
        <v>797</v>
      </c>
      <c r="C804" s="83" t="s">
        <v>812</v>
      </c>
      <c r="D804" s="84">
        <v>0</v>
      </c>
      <c r="E804" s="85" t="str">
        <f t="shared" si="86"/>
        <v/>
      </c>
      <c r="F804" s="106" t="str">
        <f t="shared" si="92"/>
        <v/>
      </c>
      <c r="G804" s="86"/>
      <c r="H804" s="107">
        <f t="shared" si="87"/>
        <v>0</v>
      </c>
      <c r="I804" s="107">
        <f t="shared" si="88"/>
        <v>0</v>
      </c>
      <c r="J804" s="87">
        <f>IF($D804&gt;0,IFERROR(Параметры!$D$42*$H804/$H$2408,0),0)</f>
        <v>0</v>
      </c>
      <c r="K804" s="87">
        <f>IFERROR(ROUND($N804*Параметры!$D$36,2),0)</f>
        <v>0</v>
      </c>
      <c r="L804" s="87">
        <f t="shared" si="89"/>
        <v>0</v>
      </c>
      <c r="M804" s="87">
        <f t="shared" si="90"/>
        <v>0</v>
      </c>
      <c r="N804" s="107" t="str">
        <f t="shared" si="91"/>
        <v/>
      </c>
    </row>
    <row r="805" spans="2:14" x14ac:dyDescent="0.25">
      <c r="B805" s="82">
        <f>SUBTOTAL(103,$D$8:D805)</f>
        <v>798</v>
      </c>
      <c r="C805" s="83" t="s">
        <v>813</v>
      </c>
      <c r="D805" s="84">
        <v>0</v>
      </c>
      <c r="E805" s="85" t="str">
        <f t="shared" si="86"/>
        <v/>
      </c>
      <c r="F805" s="106" t="str">
        <f t="shared" si="92"/>
        <v/>
      </c>
      <c r="G805" s="86"/>
      <c r="H805" s="107">
        <f t="shared" si="87"/>
        <v>0</v>
      </c>
      <c r="I805" s="107">
        <f t="shared" si="88"/>
        <v>0</v>
      </c>
      <c r="J805" s="87">
        <f>IF($D805&gt;0,IFERROR(Параметры!$D$42*$H805/$H$2408,0),0)</f>
        <v>0</v>
      </c>
      <c r="K805" s="87">
        <f>IFERROR(ROUND($N805*Параметры!$D$36,2),0)</f>
        <v>0</v>
      </c>
      <c r="L805" s="87">
        <f t="shared" si="89"/>
        <v>0</v>
      </c>
      <c r="M805" s="87">
        <f t="shared" si="90"/>
        <v>0</v>
      </c>
      <c r="N805" s="107" t="str">
        <f t="shared" si="91"/>
        <v/>
      </c>
    </row>
    <row r="806" spans="2:14" x14ac:dyDescent="0.25">
      <c r="B806" s="82">
        <f>SUBTOTAL(103,$D$8:D806)</f>
        <v>799</v>
      </c>
      <c r="C806" s="83" t="s">
        <v>814</v>
      </c>
      <c r="D806" s="84">
        <v>0</v>
      </c>
      <c r="E806" s="85" t="str">
        <f t="shared" si="86"/>
        <v/>
      </c>
      <c r="F806" s="106" t="str">
        <f t="shared" si="92"/>
        <v/>
      </c>
      <c r="G806" s="86"/>
      <c r="H806" s="107">
        <f t="shared" si="87"/>
        <v>0</v>
      </c>
      <c r="I806" s="107">
        <f t="shared" si="88"/>
        <v>0</v>
      </c>
      <c r="J806" s="87">
        <f>IF($D806&gt;0,IFERROR(Параметры!$D$42*$H806/$H$2408,0),0)</f>
        <v>0</v>
      </c>
      <c r="K806" s="87">
        <f>IFERROR(ROUND($N806*Параметры!$D$36,2),0)</f>
        <v>0</v>
      </c>
      <c r="L806" s="87">
        <f t="shared" si="89"/>
        <v>0</v>
      </c>
      <c r="M806" s="87">
        <f t="shared" si="90"/>
        <v>0</v>
      </c>
      <c r="N806" s="107" t="str">
        <f t="shared" si="91"/>
        <v/>
      </c>
    </row>
    <row r="807" spans="2:14" x14ac:dyDescent="0.25">
      <c r="B807" s="82">
        <f>SUBTOTAL(103,$D$8:D807)</f>
        <v>800</v>
      </c>
      <c r="C807" s="83" t="s">
        <v>815</v>
      </c>
      <c r="D807" s="84">
        <v>0</v>
      </c>
      <c r="E807" s="85" t="str">
        <f t="shared" si="86"/>
        <v/>
      </c>
      <c r="F807" s="106" t="str">
        <f t="shared" si="92"/>
        <v/>
      </c>
      <c r="G807" s="86"/>
      <c r="H807" s="107">
        <f t="shared" si="87"/>
        <v>0</v>
      </c>
      <c r="I807" s="107">
        <f t="shared" si="88"/>
        <v>0</v>
      </c>
      <c r="J807" s="87">
        <f>IF($D807&gt;0,IFERROR(Параметры!$D$42*$H807/$H$2408,0),0)</f>
        <v>0</v>
      </c>
      <c r="K807" s="87">
        <f>IFERROR(ROUND($N807*Параметры!$D$36,2),0)</f>
        <v>0</v>
      </c>
      <c r="L807" s="87">
        <f t="shared" si="89"/>
        <v>0</v>
      </c>
      <c r="M807" s="87">
        <f t="shared" si="90"/>
        <v>0</v>
      </c>
      <c r="N807" s="107" t="str">
        <f t="shared" si="91"/>
        <v/>
      </c>
    </row>
    <row r="808" spans="2:14" x14ac:dyDescent="0.25">
      <c r="B808" s="82">
        <f>SUBTOTAL(103,$D$8:D808)</f>
        <v>801</v>
      </c>
      <c r="C808" s="83" t="s">
        <v>816</v>
      </c>
      <c r="D808" s="84">
        <v>0</v>
      </c>
      <c r="E808" s="85" t="str">
        <f t="shared" si="86"/>
        <v/>
      </c>
      <c r="F808" s="106" t="str">
        <f t="shared" si="92"/>
        <v/>
      </c>
      <c r="G808" s="86"/>
      <c r="H808" s="107">
        <f t="shared" si="87"/>
        <v>0</v>
      </c>
      <c r="I808" s="107">
        <f t="shared" si="88"/>
        <v>0</v>
      </c>
      <c r="J808" s="87">
        <f>IF($D808&gt;0,IFERROR(Параметры!$D$42*$H808/$H$2408,0),0)</f>
        <v>0</v>
      </c>
      <c r="K808" s="87">
        <f>IFERROR(ROUND($N808*Параметры!$D$36,2),0)</f>
        <v>0</v>
      </c>
      <c r="L808" s="87">
        <f t="shared" si="89"/>
        <v>0</v>
      </c>
      <c r="M808" s="87">
        <f t="shared" si="90"/>
        <v>0</v>
      </c>
      <c r="N808" s="107" t="str">
        <f t="shared" si="91"/>
        <v/>
      </c>
    </row>
    <row r="809" spans="2:14" x14ac:dyDescent="0.25">
      <c r="B809" s="82">
        <f>SUBTOTAL(103,$D$8:D809)</f>
        <v>802</v>
      </c>
      <c r="C809" s="83" t="s">
        <v>817</v>
      </c>
      <c r="D809" s="84">
        <v>0</v>
      </c>
      <c r="E809" s="85" t="str">
        <f t="shared" si="86"/>
        <v/>
      </c>
      <c r="F809" s="106" t="str">
        <f t="shared" si="92"/>
        <v/>
      </c>
      <c r="G809" s="86"/>
      <c r="H809" s="107">
        <f t="shared" si="87"/>
        <v>0</v>
      </c>
      <c r="I809" s="107">
        <f t="shared" si="88"/>
        <v>0</v>
      </c>
      <c r="J809" s="87">
        <f>IF($D809&gt;0,IFERROR(Параметры!$D$42*$H809/$H$2408,0),0)</f>
        <v>0</v>
      </c>
      <c r="K809" s="87">
        <f>IFERROR(ROUND($N809*Параметры!$D$36,2),0)</f>
        <v>0</v>
      </c>
      <c r="L809" s="87">
        <f t="shared" si="89"/>
        <v>0</v>
      </c>
      <c r="M809" s="87">
        <f t="shared" si="90"/>
        <v>0</v>
      </c>
      <c r="N809" s="107" t="str">
        <f t="shared" si="91"/>
        <v/>
      </c>
    </row>
    <row r="810" spans="2:14" x14ac:dyDescent="0.25">
      <c r="B810" s="82">
        <f>SUBTOTAL(103,$D$8:D810)</f>
        <v>803</v>
      </c>
      <c r="C810" s="83" t="s">
        <v>818</v>
      </c>
      <c r="D810" s="84">
        <v>0</v>
      </c>
      <c r="E810" s="85" t="str">
        <f t="shared" si="86"/>
        <v/>
      </c>
      <c r="F810" s="106" t="str">
        <f t="shared" si="92"/>
        <v/>
      </c>
      <c r="G810" s="86"/>
      <c r="H810" s="107">
        <f t="shared" si="87"/>
        <v>0</v>
      </c>
      <c r="I810" s="107">
        <f t="shared" si="88"/>
        <v>0</v>
      </c>
      <c r="J810" s="87">
        <f>IF($D810&gt;0,IFERROR(Параметры!$D$42*$H810/$H$2408,0),0)</f>
        <v>0</v>
      </c>
      <c r="K810" s="87">
        <f>IFERROR(ROUND($N810*Параметры!$D$36,2),0)</f>
        <v>0</v>
      </c>
      <c r="L810" s="87">
        <f t="shared" si="89"/>
        <v>0</v>
      </c>
      <c r="M810" s="87">
        <f t="shared" si="90"/>
        <v>0</v>
      </c>
      <c r="N810" s="107" t="str">
        <f t="shared" si="91"/>
        <v/>
      </c>
    </row>
    <row r="811" spans="2:14" x14ac:dyDescent="0.25">
      <c r="B811" s="82">
        <f>SUBTOTAL(103,$D$8:D811)</f>
        <v>804</v>
      </c>
      <c r="C811" s="83" t="s">
        <v>819</v>
      </c>
      <c r="D811" s="84">
        <v>0</v>
      </c>
      <c r="E811" s="85" t="str">
        <f t="shared" si="86"/>
        <v/>
      </c>
      <c r="F811" s="106" t="str">
        <f t="shared" si="92"/>
        <v/>
      </c>
      <c r="G811" s="86"/>
      <c r="H811" s="107">
        <f t="shared" si="87"/>
        <v>0</v>
      </c>
      <c r="I811" s="107">
        <f t="shared" si="88"/>
        <v>0</v>
      </c>
      <c r="J811" s="87">
        <f>IF($D811&gt;0,IFERROR(Параметры!$D$42*$H811/$H$2408,0),0)</f>
        <v>0</v>
      </c>
      <c r="K811" s="87">
        <f>IFERROR(ROUND($N811*Параметры!$D$36,2),0)</f>
        <v>0</v>
      </c>
      <c r="L811" s="87">
        <f t="shared" si="89"/>
        <v>0</v>
      </c>
      <c r="M811" s="87">
        <f t="shared" si="90"/>
        <v>0</v>
      </c>
      <c r="N811" s="107" t="str">
        <f t="shared" si="91"/>
        <v/>
      </c>
    </row>
    <row r="812" spans="2:14" x14ac:dyDescent="0.25">
      <c r="B812" s="82">
        <f>SUBTOTAL(103,$D$8:D812)</f>
        <v>805</v>
      </c>
      <c r="C812" s="83" t="s">
        <v>820</v>
      </c>
      <c r="D812" s="84">
        <v>0</v>
      </c>
      <c r="E812" s="85" t="str">
        <f t="shared" si="86"/>
        <v/>
      </c>
      <c r="F812" s="106" t="str">
        <f t="shared" si="92"/>
        <v/>
      </c>
      <c r="G812" s="86"/>
      <c r="H812" s="107">
        <f t="shared" si="87"/>
        <v>0</v>
      </c>
      <c r="I812" s="107">
        <f t="shared" si="88"/>
        <v>0</v>
      </c>
      <c r="J812" s="87">
        <f>IF($D812&gt;0,IFERROR(Параметры!$D$42*$H812/$H$2408,0),0)</f>
        <v>0</v>
      </c>
      <c r="K812" s="87">
        <f>IFERROR(ROUND($N812*Параметры!$D$36,2),0)</f>
        <v>0</v>
      </c>
      <c r="L812" s="87">
        <f t="shared" si="89"/>
        <v>0</v>
      </c>
      <c r="M812" s="87">
        <f t="shared" si="90"/>
        <v>0</v>
      </c>
      <c r="N812" s="107" t="str">
        <f t="shared" si="91"/>
        <v/>
      </c>
    </row>
    <row r="813" spans="2:14" x14ac:dyDescent="0.25">
      <c r="B813" s="82">
        <f>SUBTOTAL(103,$D$8:D813)</f>
        <v>806</v>
      </c>
      <c r="C813" s="83" t="s">
        <v>821</v>
      </c>
      <c r="D813" s="84">
        <v>0</v>
      </c>
      <c r="E813" s="85" t="str">
        <f t="shared" si="86"/>
        <v/>
      </c>
      <c r="F813" s="106" t="str">
        <f t="shared" si="92"/>
        <v/>
      </c>
      <c r="G813" s="86"/>
      <c r="H813" s="107">
        <f t="shared" si="87"/>
        <v>0</v>
      </c>
      <c r="I813" s="107">
        <f t="shared" si="88"/>
        <v>0</v>
      </c>
      <c r="J813" s="87">
        <f>IF($D813&gt;0,IFERROR(Параметры!$D$42*$H813/$H$2408,0),0)</f>
        <v>0</v>
      </c>
      <c r="K813" s="87">
        <f>IFERROR(ROUND($N813*Параметры!$D$36,2),0)</f>
        <v>0</v>
      </c>
      <c r="L813" s="87">
        <f t="shared" si="89"/>
        <v>0</v>
      </c>
      <c r="M813" s="87">
        <f t="shared" si="90"/>
        <v>0</v>
      </c>
      <c r="N813" s="107" t="str">
        <f t="shared" si="91"/>
        <v/>
      </c>
    </row>
    <row r="814" spans="2:14" x14ac:dyDescent="0.25">
      <c r="B814" s="82">
        <f>SUBTOTAL(103,$D$8:D814)</f>
        <v>807</v>
      </c>
      <c r="C814" s="83" t="s">
        <v>822</v>
      </c>
      <c r="D814" s="84">
        <v>0</v>
      </c>
      <c r="E814" s="85" t="str">
        <f t="shared" si="86"/>
        <v/>
      </c>
      <c r="F814" s="106" t="str">
        <f t="shared" si="92"/>
        <v/>
      </c>
      <c r="G814" s="86"/>
      <c r="H814" s="107">
        <f t="shared" si="87"/>
        <v>0</v>
      </c>
      <c r="I814" s="107">
        <f t="shared" si="88"/>
        <v>0</v>
      </c>
      <c r="J814" s="87">
        <f>IF($D814&gt;0,IFERROR(Параметры!$D$42*$H814/$H$2408,0),0)</f>
        <v>0</v>
      </c>
      <c r="K814" s="87">
        <f>IFERROR(ROUND($N814*Параметры!$D$36,2),0)</f>
        <v>0</v>
      </c>
      <c r="L814" s="87">
        <f t="shared" si="89"/>
        <v>0</v>
      </c>
      <c r="M814" s="87">
        <f t="shared" si="90"/>
        <v>0</v>
      </c>
      <c r="N814" s="107" t="str">
        <f t="shared" si="91"/>
        <v/>
      </c>
    </row>
    <row r="815" spans="2:14" x14ac:dyDescent="0.25">
      <c r="B815" s="82">
        <f>SUBTOTAL(103,$D$8:D815)</f>
        <v>808</v>
      </c>
      <c r="C815" s="83" t="s">
        <v>823</v>
      </c>
      <c r="D815" s="84">
        <v>0</v>
      </c>
      <c r="E815" s="85" t="str">
        <f t="shared" si="86"/>
        <v/>
      </c>
      <c r="F815" s="106" t="str">
        <f t="shared" si="92"/>
        <v/>
      </c>
      <c r="G815" s="86"/>
      <c r="H815" s="107">
        <f t="shared" si="87"/>
        <v>0</v>
      </c>
      <c r="I815" s="107">
        <f t="shared" si="88"/>
        <v>0</v>
      </c>
      <c r="J815" s="87">
        <f>IF($D815&gt;0,IFERROR(Параметры!$D$42*$H815/$H$2408,0),0)</f>
        <v>0</v>
      </c>
      <c r="K815" s="87">
        <f>IFERROR(ROUND($N815*Параметры!$D$36,2),0)</f>
        <v>0</v>
      </c>
      <c r="L815" s="87">
        <f t="shared" si="89"/>
        <v>0</v>
      </c>
      <c r="M815" s="87">
        <f t="shared" si="90"/>
        <v>0</v>
      </c>
      <c r="N815" s="107" t="str">
        <f t="shared" si="91"/>
        <v/>
      </c>
    </row>
    <row r="816" spans="2:14" x14ac:dyDescent="0.25">
      <c r="B816" s="82">
        <f>SUBTOTAL(103,$D$8:D816)</f>
        <v>809</v>
      </c>
      <c r="C816" s="83" t="s">
        <v>824</v>
      </c>
      <c r="D816" s="84">
        <v>0</v>
      </c>
      <c r="E816" s="85" t="str">
        <f t="shared" si="86"/>
        <v/>
      </c>
      <c r="F816" s="106" t="str">
        <f t="shared" si="92"/>
        <v/>
      </c>
      <c r="G816" s="86"/>
      <c r="H816" s="107">
        <f t="shared" si="87"/>
        <v>0</v>
      </c>
      <c r="I816" s="107">
        <f t="shared" si="88"/>
        <v>0</v>
      </c>
      <c r="J816" s="87">
        <f>IF($D816&gt;0,IFERROR(Параметры!$D$42*$H816/$H$2408,0),0)</f>
        <v>0</v>
      </c>
      <c r="K816" s="87">
        <f>IFERROR(ROUND($N816*Параметры!$D$36,2),0)</f>
        <v>0</v>
      </c>
      <c r="L816" s="87">
        <f t="shared" si="89"/>
        <v>0</v>
      </c>
      <c r="M816" s="87">
        <f t="shared" si="90"/>
        <v>0</v>
      </c>
      <c r="N816" s="107" t="str">
        <f t="shared" si="91"/>
        <v/>
      </c>
    </row>
    <row r="817" spans="2:14" x14ac:dyDescent="0.25">
      <c r="B817" s="82">
        <f>SUBTOTAL(103,$D$8:D817)</f>
        <v>810</v>
      </c>
      <c r="C817" s="83" t="s">
        <v>825</v>
      </c>
      <c r="D817" s="84">
        <v>0</v>
      </c>
      <c r="E817" s="85" t="str">
        <f t="shared" si="86"/>
        <v/>
      </c>
      <c r="F817" s="106" t="str">
        <f t="shared" si="92"/>
        <v/>
      </c>
      <c r="G817" s="86"/>
      <c r="H817" s="107">
        <f t="shared" si="87"/>
        <v>0</v>
      </c>
      <c r="I817" s="107">
        <f t="shared" si="88"/>
        <v>0</v>
      </c>
      <c r="J817" s="87">
        <f>IF($D817&gt;0,IFERROR(Параметры!$D$42*$H817/$H$2408,0),0)</f>
        <v>0</v>
      </c>
      <c r="K817" s="87">
        <f>IFERROR(ROUND($N817*Параметры!$D$36,2),0)</f>
        <v>0</v>
      </c>
      <c r="L817" s="87">
        <f t="shared" si="89"/>
        <v>0</v>
      </c>
      <c r="M817" s="87">
        <f t="shared" si="90"/>
        <v>0</v>
      </c>
      <c r="N817" s="107" t="str">
        <f t="shared" si="91"/>
        <v/>
      </c>
    </row>
    <row r="818" spans="2:14" x14ac:dyDescent="0.25">
      <c r="B818" s="82">
        <f>SUBTOTAL(103,$D$8:D818)</f>
        <v>811</v>
      </c>
      <c r="C818" s="83" t="s">
        <v>826</v>
      </c>
      <c r="D818" s="84">
        <v>0</v>
      </c>
      <c r="E818" s="85" t="str">
        <f t="shared" si="86"/>
        <v/>
      </c>
      <c r="F818" s="106" t="str">
        <f t="shared" si="92"/>
        <v/>
      </c>
      <c r="G818" s="86"/>
      <c r="H818" s="107">
        <f t="shared" si="87"/>
        <v>0</v>
      </c>
      <c r="I818" s="107">
        <f t="shared" si="88"/>
        <v>0</v>
      </c>
      <c r="J818" s="87">
        <f>IF($D818&gt;0,IFERROR(Параметры!$D$42*$H818/$H$2408,0),0)</f>
        <v>0</v>
      </c>
      <c r="K818" s="87">
        <f>IFERROR(ROUND($N818*Параметры!$D$36,2),0)</f>
        <v>0</v>
      </c>
      <c r="L818" s="87">
        <f t="shared" si="89"/>
        <v>0</v>
      </c>
      <c r="M818" s="87">
        <f t="shared" si="90"/>
        <v>0</v>
      </c>
      <c r="N818" s="107" t="str">
        <f t="shared" si="91"/>
        <v/>
      </c>
    </row>
    <row r="819" spans="2:14" x14ac:dyDescent="0.25">
      <c r="B819" s="82">
        <f>SUBTOTAL(103,$D$8:D819)</f>
        <v>812</v>
      </c>
      <c r="C819" s="83" t="s">
        <v>827</v>
      </c>
      <c r="D819" s="84">
        <v>0</v>
      </c>
      <c r="E819" s="85" t="str">
        <f t="shared" si="86"/>
        <v/>
      </c>
      <c r="F819" s="106" t="str">
        <f t="shared" si="92"/>
        <v/>
      </c>
      <c r="G819" s="86"/>
      <c r="H819" s="107">
        <f t="shared" si="87"/>
        <v>0</v>
      </c>
      <c r="I819" s="107">
        <f t="shared" si="88"/>
        <v>0</v>
      </c>
      <c r="J819" s="87">
        <f>IF($D819&gt;0,IFERROR(Параметры!$D$42*$H819/$H$2408,0),0)</f>
        <v>0</v>
      </c>
      <c r="K819" s="87">
        <f>IFERROR(ROUND($N819*Параметры!$D$36,2),0)</f>
        <v>0</v>
      </c>
      <c r="L819" s="87">
        <f t="shared" si="89"/>
        <v>0</v>
      </c>
      <c r="M819" s="87">
        <f t="shared" si="90"/>
        <v>0</v>
      </c>
      <c r="N819" s="107" t="str">
        <f t="shared" si="91"/>
        <v/>
      </c>
    </row>
    <row r="820" spans="2:14" x14ac:dyDescent="0.25">
      <c r="B820" s="82">
        <f>SUBTOTAL(103,$D$8:D820)</f>
        <v>813</v>
      </c>
      <c r="C820" s="83" t="s">
        <v>828</v>
      </c>
      <c r="D820" s="84">
        <v>0</v>
      </c>
      <c r="E820" s="85" t="str">
        <f t="shared" si="86"/>
        <v/>
      </c>
      <c r="F820" s="106" t="str">
        <f t="shared" si="92"/>
        <v/>
      </c>
      <c r="G820" s="86"/>
      <c r="H820" s="107">
        <f t="shared" si="87"/>
        <v>0</v>
      </c>
      <c r="I820" s="107">
        <f t="shared" si="88"/>
        <v>0</v>
      </c>
      <c r="J820" s="87">
        <f>IF($D820&gt;0,IFERROR(Параметры!$D$42*$H820/$H$2408,0),0)</f>
        <v>0</v>
      </c>
      <c r="K820" s="87">
        <f>IFERROR(ROUND($N820*Параметры!$D$36,2),0)</f>
        <v>0</v>
      </c>
      <c r="L820" s="87">
        <f t="shared" si="89"/>
        <v>0</v>
      </c>
      <c r="M820" s="87">
        <f t="shared" si="90"/>
        <v>0</v>
      </c>
      <c r="N820" s="107" t="str">
        <f t="shared" si="91"/>
        <v/>
      </c>
    </row>
    <row r="821" spans="2:14" x14ac:dyDescent="0.25">
      <c r="B821" s="82">
        <f>SUBTOTAL(103,$D$8:D821)</f>
        <v>814</v>
      </c>
      <c r="C821" s="83" t="s">
        <v>829</v>
      </c>
      <c r="D821" s="84">
        <v>0</v>
      </c>
      <c r="E821" s="85" t="str">
        <f t="shared" si="86"/>
        <v/>
      </c>
      <c r="F821" s="106" t="str">
        <f t="shared" si="92"/>
        <v/>
      </c>
      <c r="G821" s="86"/>
      <c r="H821" s="107">
        <f t="shared" si="87"/>
        <v>0</v>
      </c>
      <c r="I821" s="107">
        <f t="shared" si="88"/>
        <v>0</v>
      </c>
      <c r="J821" s="87">
        <f>IF($D821&gt;0,IFERROR(Параметры!$D$42*$H821/$H$2408,0),0)</f>
        <v>0</v>
      </c>
      <c r="K821" s="87">
        <f>IFERROR(ROUND($N821*Параметры!$D$36,2),0)</f>
        <v>0</v>
      </c>
      <c r="L821" s="87">
        <f t="shared" si="89"/>
        <v>0</v>
      </c>
      <c r="M821" s="87">
        <f t="shared" si="90"/>
        <v>0</v>
      </c>
      <c r="N821" s="107" t="str">
        <f t="shared" si="91"/>
        <v/>
      </c>
    </row>
    <row r="822" spans="2:14" x14ac:dyDescent="0.25">
      <c r="B822" s="82">
        <f>SUBTOTAL(103,$D$8:D822)</f>
        <v>815</v>
      </c>
      <c r="C822" s="83" t="s">
        <v>830</v>
      </c>
      <c r="D822" s="84">
        <v>0</v>
      </c>
      <c r="E822" s="85" t="str">
        <f t="shared" si="86"/>
        <v/>
      </c>
      <c r="F822" s="106" t="str">
        <f t="shared" si="92"/>
        <v/>
      </c>
      <c r="G822" s="86"/>
      <c r="H822" s="107">
        <f t="shared" si="87"/>
        <v>0</v>
      </c>
      <c r="I822" s="107">
        <f t="shared" si="88"/>
        <v>0</v>
      </c>
      <c r="J822" s="87">
        <f>IF($D822&gt;0,IFERROR(Параметры!$D$42*$H822/$H$2408,0),0)</f>
        <v>0</v>
      </c>
      <c r="K822" s="87">
        <f>IFERROR(ROUND($N822*Параметры!$D$36,2),0)</f>
        <v>0</v>
      </c>
      <c r="L822" s="87">
        <f t="shared" si="89"/>
        <v>0</v>
      </c>
      <c r="M822" s="87">
        <f t="shared" si="90"/>
        <v>0</v>
      </c>
      <c r="N822" s="107" t="str">
        <f t="shared" si="91"/>
        <v/>
      </c>
    </row>
    <row r="823" spans="2:14" x14ac:dyDescent="0.25">
      <c r="B823" s="82">
        <f>SUBTOTAL(103,$D$8:D823)</f>
        <v>816</v>
      </c>
      <c r="C823" s="83" t="s">
        <v>831</v>
      </c>
      <c r="D823" s="84">
        <v>0</v>
      </c>
      <c r="E823" s="85" t="str">
        <f t="shared" si="86"/>
        <v/>
      </c>
      <c r="F823" s="106" t="str">
        <f t="shared" si="92"/>
        <v/>
      </c>
      <c r="G823" s="86"/>
      <c r="H823" s="107">
        <f t="shared" si="87"/>
        <v>0</v>
      </c>
      <c r="I823" s="107">
        <f t="shared" si="88"/>
        <v>0</v>
      </c>
      <c r="J823" s="87">
        <f>IF($D823&gt;0,IFERROR(Параметры!$D$42*$H823/$H$2408,0),0)</f>
        <v>0</v>
      </c>
      <c r="K823" s="87">
        <f>IFERROR(ROUND($N823*Параметры!$D$36,2),0)</f>
        <v>0</v>
      </c>
      <c r="L823" s="87">
        <f t="shared" si="89"/>
        <v>0</v>
      </c>
      <c r="M823" s="87">
        <f t="shared" si="90"/>
        <v>0</v>
      </c>
      <c r="N823" s="107" t="str">
        <f t="shared" si="91"/>
        <v/>
      </c>
    </row>
    <row r="824" spans="2:14" x14ac:dyDescent="0.25">
      <c r="B824" s="82">
        <f>SUBTOTAL(103,$D$8:D824)</f>
        <v>817</v>
      </c>
      <c r="C824" s="83" t="s">
        <v>832</v>
      </c>
      <c r="D824" s="84">
        <v>0</v>
      </c>
      <c r="E824" s="85" t="str">
        <f t="shared" si="86"/>
        <v/>
      </c>
      <c r="F824" s="106" t="str">
        <f t="shared" si="92"/>
        <v/>
      </c>
      <c r="G824" s="86"/>
      <c r="H824" s="107">
        <f t="shared" si="87"/>
        <v>0</v>
      </c>
      <c r="I824" s="107">
        <f t="shared" si="88"/>
        <v>0</v>
      </c>
      <c r="J824" s="87">
        <f>IF($D824&gt;0,IFERROR(Параметры!$D$42*$H824/$H$2408,0),0)</f>
        <v>0</v>
      </c>
      <c r="K824" s="87">
        <f>IFERROR(ROUND($N824*Параметры!$D$36,2),0)</f>
        <v>0</v>
      </c>
      <c r="L824" s="87">
        <f t="shared" si="89"/>
        <v>0</v>
      </c>
      <c r="M824" s="87">
        <f t="shared" si="90"/>
        <v>0</v>
      </c>
      <c r="N824" s="107" t="str">
        <f t="shared" si="91"/>
        <v/>
      </c>
    </row>
    <row r="825" spans="2:14" x14ac:dyDescent="0.25">
      <c r="B825" s="82">
        <f>SUBTOTAL(103,$D$8:D825)</f>
        <v>818</v>
      </c>
      <c r="C825" s="83" t="s">
        <v>833</v>
      </c>
      <c r="D825" s="84">
        <v>0</v>
      </c>
      <c r="E825" s="85" t="str">
        <f t="shared" si="86"/>
        <v/>
      </c>
      <c r="F825" s="106" t="str">
        <f t="shared" si="92"/>
        <v/>
      </c>
      <c r="G825" s="86"/>
      <c r="H825" s="107">
        <f t="shared" si="87"/>
        <v>0</v>
      </c>
      <c r="I825" s="107">
        <f t="shared" si="88"/>
        <v>0</v>
      </c>
      <c r="J825" s="87">
        <f>IF($D825&gt;0,IFERROR(Параметры!$D$42*$H825/$H$2408,0),0)</f>
        <v>0</v>
      </c>
      <c r="K825" s="87">
        <f>IFERROR(ROUND($N825*Параметры!$D$36,2),0)</f>
        <v>0</v>
      </c>
      <c r="L825" s="87">
        <f t="shared" si="89"/>
        <v>0</v>
      </c>
      <c r="M825" s="87">
        <f t="shared" si="90"/>
        <v>0</v>
      </c>
      <c r="N825" s="107" t="str">
        <f t="shared" si="91"/>
        <v/>
      </c>
    </row>
    <row r="826" spans="2:14" x14ac:dyDescent="0.25">
      <c r="B826" s="82">
        <f>SUBTOTAL(103,$D$8:D826)</f>
        <v>819</v>
      </c>
      <c r="C826" s="83" t="s">
        <v>834</v>
      </c>
      <c r="D826" s="84">
        <v>0</v>
      </c>
      <c r="E826" s="85" t="str">
        <f t="shared" si="86"/>
        <v/>
      </c>
      <c r="F826" s="106" t="str">
        <f t="shared" si="92"/>
        <v/>
      </c>
      <c r="G826" s="86"/>
      <c r="H826" s="107">
        <f t="shared" si="87"/>
        <v>0</v>
      </c>
      <c r="I826" s="107">
        <f t="shared" si="88"/>
        <v>0</v>
      </c>
      <c r="J826" s="87">
        <f>IF($D826&gt;0,IFERROR(Параметры!$D$42*$H826/$H$2408,0),0)</f>
        <v>0</v>
      </c>
      <c r="K826" s="87">
        <f>IFERROR(ROUND($N826*Параметры!$D$36,2),0)</f>
        <v>0</v>
      </c>
      <c r="L826" s="87">
        <f t="shared" si="89"/>
        <v>0</v>
      </c>
      <c r="M826" s="87">
        <f t="shared" si="90"/>
        <v>0</v>
      </c>
      <c r="N826" s="107" t="str">
        <f t="shared" si="91"/>
        <v/>
      </c>
    </row>
    <row r="827" spans="2:14" x14ac:dyDescent="0.25">
      <c r="B827" s="82">
        <f>SUBTOTAL(103,$D$8:D827)</f>
        <v>820</v>
      </c>
      <c r="C827" s="83" t="s">
        <v>835</v>
      </c>
      <c r="D827" s="84">
        <v>0</v>
      </c>
      <c r="E827" s="85" t="str">
        <f t="shared" si="86"/>
        <v/>
      </c>
      <c r="F827" s="106" t="str">
        <f t="shared" si="92"/>
        <v/>
      </c>
      <c r="G827" s="86"/>
      <c r="H827" s="107">
        <f t="shared" si="87"/>
        <v>0</v>
      </c>
      <c r="I827" s="107">
        <f t="shared" si="88"/>
        <v>0</v>
      </c>
      <c r="J827" s="87">
        <f>IF($D827&gt;0,IFERROR(Параметры!$D$42*$H827/$H$2408,0),0)</f>
        <v>0</v>
      </c>
      <c r="K827" s="87">
        <f>IFERROR(ROUND($N827*Параметры!$D$36,2),0)</f>
        <v>0</v>
      </c>
      <c r="L827" s="87">
        <f t="shared" si="89"/>
        <v>0</v>
      </c>
      <c r="M827" s="87">
        <f t="shared" si="90"/>
        <v>0</v>
      </c>
      <c r="N827" s="107" t="str">
        <f t="shared" si="91"/>
        <v/>
      </c>
    </row>
    <row r="828" spans="2:14" x14ac:dyDescent="0.25">
      <c r="B828" s="82">
        <f>SUBTOTAL(103,$D$8:D828)</f>
        <v>821</v>
      </c>
      <c r="C828" s="83" t="s">
        <v>836</v>
      </c>
      <c r="D828" s="84">
        <v>0</v>
      </c>
      <c r="E828" s="85" t="str">
        <f t="shared" si="86"/>
        <v/>
      </c>
      <c r="F828" s="106" t="str">
        <f t="shared" si="92"/>
        <v/>
      </c>
      <c r="G828" s="86"/>
      <c r="H828" s="107">
        <f t="shared" si="87"/>
        <v>0</v>
      </c>
      <c r="I828" s="107">
        <f t="shared" si="88"/>
        <v>0</v>
      </c>
      <c r="J828" s="87">
        <f>IF($D828&gt;0,IFERROR(Параметры!$D$42*$H828/$H$2408,0),0)</f>
        <v>0</v>
      </c>
      <c r="K828" s="87">
        <f>IFERROR(ROUND($N828*Параметры!$D$36,2),0)</f>
        <v>0</v>
      </c>
      <c r="L828" s="87">
        <f t="shared" si="89"/>
        <v>0</v>
      </c>
      <c r="M828" s="87">
        <f t="shared" si="90"/>
        <v>0</v>
      </c>
      <c r="N828" s="107" t="str">
        <f t="shared" si="91"/>
        <v/>
      </c>
    </row>
    <row r="829" spans="2:14" x14ac:dyDescent="0.25">
      <c r="B829" s="82">
        <f>SUBTOTAL(103,$D$8:D829)</f>
        <v>822</v>
      </c>
      <c r="C829" s="83" t="s">
        <v>837</v>
      </c>
      <c r="D829" s="84">
        <v>0</v>
      </c>
      <c r="E829" s="85" t="str">
        <f t="shared" si="86"/>
        <v/>
      </c>
      <c r="F829" s="106" t="str">
        <f t="shared" si="92"/>
        <v/>
      </c>
      <c r="G829" s="86"/>
      <c r="H829" s="107">
        <f t="shared" si="87"/>
        <v>0</v>
      </c>
      <c r="I829" s="107">
        <f t="shared" si="88"/>
        <v>0</v>
      </c>
      <c r="J829" s="87">
        <f>IF($D829&gt;0,IFERROR(Параметры!$D$42*$H829/$H$2408,0),0)</f>
        <v>0</v>
      </c>
      <c r="K829" s="87">
        <f>IFERROR(ROUND($N829*Параметры!$D$36,2),0)</f>
        <v>0</v>
      </c>
      <c r="L829" s="87">
        <f t="shared" si="89"/>
        <v>0</v>
      </c>
      <c r="M829" s="87">
        <f t="shared" si="90"/>
        <v>0</v>
      </c>
      <c r="N829" s="107" t="str">
        <f t="shared" si="91"/>
        <v/>
      </c>
    </row>
    <row r="830" spans="2:14" x14ac:dyDescent="0.25">
      <c r="B830" s="82">
        <f>SUBTOTAL(103,$D$8:D830)</f>
        <v>823</v>
      </c>
      <c r="C830" s="83" t="s">
        <v>838</v>
      </c>
      <c r="D830" s="84">
        <v>0</v>
      </c>
      <c r="E830" s="85" t="str">
        <f t="shared" si="86"/>
        <v/>
      </c>
      <c r="F830" s="106" t="str">
        <f t="shared" si="92"/>
        <v/>
      </c>
      <c r="G830" s="86"/>
      <c r="H830" s="107">
        <f t="shared" si="87"/>
        <v>0</v>
      </c>
      <c r="I830" s="107">
        <f t="shared" si="88"/>
        <v>0</v>
      </c>
      <c r="J830" s="87">
        <f>IF($D830&gt;0,IFERROR(Параметры!$D$42*$H830/$H$2408,0),0)</f>
        <v>0</v>
      </c>
      <c r="K830" s="87">
        <f>IFERROR(ROUND($N830*Параметры!$D$36,2),0)</f>
        <v>0</v>
      </c>
      <c r="L830" s="87">
        <f t="shared" si="89"/>
        <v>0</v>
      </c>
      <c r="M830" s="87">
        <f t="shared" si="90"/>
        <v>0</v>
      </c>
      <c r="N830" s="107" t="str">
        <f t="shared" si="91"/>
        <v/>
      </c>
    </row>
    <row r="831" spans="2:14" x14ac:dyDescent="0.25">
      <c r="B831" s="82">
        <f>SUBTOTAL(103,$D$8:D831)</f>
        <v>824</v>
      </c>
      <c r="C831" s="83" t="s">
        <v>839</v>
      </c>
      <c r="D831" s="84">
        <v>0</v>
      </c>
      <c r="E831" s="85" t="str">
        <f t="shared" si="86"/>
        <v/>
      </c>
      <c r="F831" s="106" t="str">
        <f t="shared" si="92"/>
        <v/>
      </c>
      <c r="G831" s="86"/>
      <c r="H831" s="107">
        <f t="shared" si="87"/>
        <v>0</v>
      </c>
      <c r="I831" s="107">
        <f t="shared" si="88"/>
        <v>0</v>
      </c>
      <c r="J831" s="87">
        <f>IF($D831&gt;0,IFERROR(Параметры!$D$42*$H831/$H$2408,0),0)</f>
        <v>0</v>
      </c>
      <c r="K831" s="87">
        <f>IFERROR(ROUND($N831*Параметры!$D$36,2),0)</f>
        <v>0</v>
      </c>
      <c r="L831" s="87">
        <f t="shared" si="89"/>
        <v>0</v>
      </c>
      <c r="M831" s="87">
        <f t="shared" si="90"/>
        <v>0</v>
      </c>
      <c r="N831" s="107" t="str">
        <f t="shared" si="91"/>
        <v/>
      </c>
    </row>
    <row r="832" spans="2:14" x14ac:dyDescent="0.25">
      <c r="B832" s="82">
        <f>SUBTOTAL(103,$D$8:D832)</f>
        <v>825</v>
      </c>
      <c r="C832" s="83" t="s">
        <v>840</v>
      </c>
      <c r="D832" s="84">
        <v>0</v>
      </c>
      <c r="E832" s="85" t="str">
        <f t="shared" si="86"/>
        <v/>
      </c>
      <c r="F832" s="106" t="str">
        <f t="shared" si="92"/>
        <v/>
      </c>
      <c r="G832" s="86"/>
      <c r="H832" s="107">
        <f t="shared" si="87"/>
        <v>0</v>
      </c>
      <c r="I832" s="107">
        <f t="shared" si="88"/>
        <v>0</v>
      </c>
      <c r="J832" s="87">
        <f>IF($D832&gt;0,IFERROR(Параметры!$D$42*$H832/$H$2408,0),0)</f>
        <v>0</v>
      </c>
      <c r="K832" s="87">
        <f>IFERROR(ROUND($N832*Параметры!$D$36,2),0)</f>
        <v>0</v>
      </c>
      <c r="L832" s="87">
        <f t="shared" si="89"/>
        <v>0</v>
      </c>
      <c r="M832" s="87">
        <f t="shared" si="90"/>
        <v>0</v>
      </c>
      <c r="N832" s="107" t="str">
        <f t="shared" si="91"/>
        <v/>
      </c>
    </row>
    <row r="833" spans="2:14" x14ac:dyDescent="0.25">
      <c r="B833" s="82">
        <f>SUBTOTAL(103,$D$8:D833)</f>
        <v>826</v>
      </c>
      <c r="C833" s="83" t="s">
        <v>841</v>
      </c>
      <c r="D833" s="84">
        <v>0</v>
      </c>
      <c r="E833" s="85" t="str">
        <f t="shared" si="86"/>
        <v/>
      </c>
      <c r="F833" s="106" t="str">
        <f t="shared" si="92"/>
        <v/>
      </c>
      <c r="G833" s="86"/>
      <c r="H833" s="107">
        <f t="shared" si="87"/>
        <v>0</v>
      </c>
      <c r="I833" s="107">
        <f t="shared" si="88"/>
        <v>0</v>
      </c>
      <c r="J833" s="87">
        <f>IF($D833&gt;0,IFERROR(Параметры!$D$42*$H833/$H$2408,0),0)</f>
        <v>0</v>
      </c>
      <c r="K833" s="87">
        <f>IFERROR(ROUND($N833*Параметры!$D$36,2),0)</f>
        <v>0</v>
      </c>
      <c r="L833" s="87">
        <f t="shared" si="89"/>
        <v>0</v>
      </c>
      <c r="M833" s="87">
        <f t="shared" si="90"/>
        <v>0</v>
      </c>
      <c r="N833" s="107" t="str">
        <f t="shared" si="91"/>
        <v/>
      </c>
    </row>
    <row r="834" spans="2:14" x14ac:dyDescent="0.25">
      <c r="B834" s="82">
        <f>SUBTOTAL(103,$D$8:D834)</f>
        <v>827</v>
      </c>
      <c r="C834" s="83" t="s">
        <v>842</v>
      </c>
      <c r="D834" s="84">
        <v>0</v>
      </c>
      <c r="E834" s="85" t="str">
        <f t="shared" si="86"/>
        <v/>
      </c>
      <c r="F834" s="106" t="str">
        <f t="shared" si="92"/>
        <v/>
      </c>
      <c r="G834" s="86"/>
      <c r="H834" s="107">
        <f t="shared" si="87"/>
        <v>0</v>
      </c>
      <c r="I834" s="107">
        <f t="shared" si="88"/>
        <v>0</v>
      </c>
      <c r="J834" s="87">
        <f>IF($D834&gt;0,IFERROR(Параметры!$D$42*$H834/$H$2408,0),0)</f>
        <v>0</v>
      </c>
      <c r="K834" s="87">
        <f>IFERROR(ROUND($N834*Параметры!$D$36,2),0)</f>
        <v>0</v>
      </c>
      <c r="L834" s="87">
        <f t="shared" si="89"/>
        <v>0</v>
      </c>
      <c r="M834" s="87">
        <f t="shared" si="90"/>
        <v>0</v>
      </c>
      <c r="N834" s="107" t="str">
        <f t="shared" si="91"/>
        <v/>
      </c>
    </row>
    <row r="835" spans="2:14" x14ac:dyDescent="0.25">
      <c r="B835" s="82">
        <f>SUBTOTAL(103,$D$8:D835)</f>
        <v>828</v>
      </c>
      <c r="C835" s="83" t="s">
        <v>843</v>
      </c>
      <c r="D835" s="84">
        <v>0</v>
      </c>
      <c r="E835" s="85" t="str">
        <f t="shared" si="86"/>
        <v/>
      </c>
      <c r="F835" s="106" t="str">
        <f t="shared" si="92"/>
        <v/>
      </c>
      <c r="G835" s="86"/>
      <c r="H835" s="107">
        <f t="shared" si="87"/>
        <v>0</v>
      </c>
      <c r="I835" s="107">
        <f t="shared" si="88"/>
        <v>0</v>
      </c>
      <c r="J835" s="87">
        <f>IF($D835&gt;0,IFERROR(Параметры!$D$42*$H835/$H$2408,0),0)</f>
        <v>0</v>
      </c>
      <c r="K835" s="87">
        <f>IFERROR(ROUND($N835*Параметры!$D$36,2),0)</f>
        <v>0</v>
      </c>
      <c r="L835" s="87">
        <f t="shared" si="89"/>
        <v>0</v>
      </c>
      <c r="M835" s="87">
        <f t="shared" si="90"/>
        <v>0</v>
      </c>
      <c r="N835" s="107" t="str">
        <f t="shared" si="91"/>
        <v/>
      </c>
    </row>
    <row r="836" spans="2:14" x14ac:dyDescent="0.25">
      <c r="B836" s="82">
        <f>SUBTOTAL(103,$D$8:D836)</f>
        <v>829</v>
      </c>
      <c r="C836" s="83" t="s">
        <v>844</v>
      </c>
      <c r="D836" s="84">
        <v>0</v>
      </c>
      <c r="E836" s="85" t="str">
        <f t="shared" si="86"/>
        <v/>
      </c>
      <c r="F836" s="106" t="str">
        <f t="shared" si="92"/>
        <v/>
      </c>
      <c r="G836" s="86"/>
      <c r="H836" s="107">
        <f t="shared" si="87"/>
        <v>0</v>
      </c>
      <c r="I836" s="107">
        <f t="shared" si="88"/>
        <v>0</v>
      </c>
      <c r="J836" s="87">
        <f>IF($D836&gt;0,IFERROR(Параметры!$D$42*$H836/$H$2408,0),0)</f>
        <v>0</v>
      </c>
      <c r="K836" s="87">
        <f>IFERROR(ROUND($N836*Параметры!$D$36,2),0)</f>
        <v>0</v>
      </c>
      <c r="L836" s="87">
        <f t="shared" si="89"/>
        <v>0</v>
      </c>
      <c r="M836" s="87">
        <f t="shared" si="90"/>
        <v>0</v>
      </c>
      <c r="N836" s="107" t="str">
        <f t="shared" si="91"/>
        <v/>
      </c>
    </row>
    <row r="837" spans="2:14" x14ac:dyDescent="0.25">
      <c r="B837" s="82">
        <f>SUBTOTAL(103,$D$8:D837)</f>
        <v>830</v>
      </c>
      <c r="C837" s="83" t="s">
        <v>845</v>
      </c>
      <c r="D837" s="84">
        <v>0</v>
      </c>
      <c r="E837" s="85" t="str">
        <f t="shared" si="86"/>
        <v/>
      </c>
      <c r="F837" s="106" t="str">
        <f t="shared" si="92"/>
        <v/>
      </c>
      <c r="G837" s="86"/>
      <c r="H837" s="107">
        <f t="shared" si="87"/>
        <v>0</v>
      </c>
      <c r="I837" s="107">
        <f t="shared" si="88"/>
        <v>0</v>
      </c>
      <c r="J837" s="87">
        <f>IF($D837&gt;0,IFERROR(Параметры!$D$42*$H837/$H$2408,0),0)</f>
        <v>0</v>
      </c>
      <c r="K837" s="87">
        <f>IFERROR(ROUND($N837*Параметры!$D$36,2),0)</f>
        <v>0</v>
      </c>
      <c r="L837" s="87">
        <f t="shared" si="89"/>
        <v>0</v>
      </c>
      <c r="M837" s="87">
        <f t="shared" si="90"/>
        <v>0</v>
      </c>
      <c r="N837" s="107" t="str">
        <f t="shared" si="91"/>
        <v/>
      </c>
    </row>
    <row r="838" spans="2:14" x14ac:dyDescent="0.25">
      <c r="B838" s="82">
        <f>SUBTOTAL(103,$D$8:D838)</f>
        <v>831</v>
      </c>
      <c r="C838" s="83" t="s">
        <v>846</v>
      </c>
      <c r="D838" s="84">
        <v>0</v>
      </c>
      <c r="E838" s="85" t="str">
        <f t="shared" si="86"/>
        <v/>
      </c>
      <c r="F838" s="106" t="str">
        <f t="shared" si="92"/>
        <v/>
      </c>
      <c r="G838" s="86"/>
      <c r="H838" s="107">
        <f t="shared" si="87"/>
        <v>0</v>
      </c>
      <c r="I838" s="107">
        <f t="shared" si="88"/>
        <v>0</v>
      </c>
      <c r="J838" s="87">
        <f>IF($D838&gt;0,IFERROR(Параметры!$D$42*$H838/$H$2408,0),0)</f>
        <v>0</v>
      </c>
      <c r="K838" s="87">
        <f>IFERROR(ROUND($N838*Параметры!$D$36,2),0)</f>
        <v>0</v>
      </c>
      <c r="L838" s="87">
        <f t="shared" si="89"/>
        <v>0</v>
      </c>
      <c r="M838" s="87">
        <f t="shared" si="90"/>
        <v>0</v>
      </c>
      <c r="N838" s="107" t="str">
        <f t="shared" si="91"/>
        <v/>
      </c>
    </row>
    <row r="839" spans="2:14" x14ac:dyDescent="0.25">
      <c r="B839" s="82">
        <f>SUBTOTAL(103,$D$8:D839)</f>
        <v>832</v>
      </c>
      <c r="C839" s="83" t="s">
        <v>847</v>
      </c>
      <c r="D839" s="84">
        <v>0</v>
      </c>
      <c r="E839" s="85" t="str">
        <f t="shared" si="86"/>
        <v/>
      </c>
      <c r="F839" s="106" t="str">
        <f t="shared" si="92"/>
        <v/>
      </c>
      <c r="G839" s="86"/>
      <c r="H839" s="107">
        <f t="shared" si="87"/>
        <v>0</v>
      </c>
      <c r="I839" s="107">
        <f t="shared" si="88"/>
        <v>0</v>
      </c>
      <c r="J839" s="87">
        <f>IF($D839&gt;0,IFERROR(Параметры!$D$42*$H839/$H$2408,0),0)</f>
        <v>0</v>
      </c>
      <c r="K839" s="87">
        <f>IFERROR(ROUND($N839*Параметры!$D$36,2),0)</f>
        <v>0</v>
      </c>
      <c r="L839" s="87">
        <f t="shared" si="89"/>
        <v>0</v>
      </c>
      <c r="M839" s="87">
        <f t="shared" si="90"/>
        <v>0</v>
      </c>
      <c r="N839" s="107" t="str">
        <f t="shared" si="91"/>
        <v/>
      </c>
    </row>
    <row r="840" spans="2:14" x14ac:dyDescent="0.25">
      <c r="B840" s="82">
        <f>SUBTOTAL(103,$D$8:D840)</f>
        <v>833</v>
      </c>
      <c r="C840" s="83" t="s">
        <v>848</v>
      </c>
      <c r="D840" s="84">
        <v>0</v>
      </c>
      <c r="E840" s="85" t="str">
        <f t="shared" ref="E840:E903" si="93">IF($D840&lt;1,"",$K840+$L840)</f>
        <v/>
      </c>
      <c r="F840" s="106" t="str">
        <f t="shared" si="92"/>
        <v/>
      </c>
      <c r="G840" s="86"/>
      <c r="H840" s="107">
        <f t="shared" ref="H840:H903" si="94">IF($D840&gt;0,$D840*КИС,0)</f>
        <v>0</v>
      </c>
      <c r="I840" s="107">
        <f t="shared" ref="I840:I903" si="95">IF($D840&gt;0,$D840-$H840,0)</f>
        <v>0</v>
      </c>
      <c r="J840" s="87">
        <f>IF($D840&gt;0,IFERROR(Параметры!$D$42*$H840/$H$2408,0),0)</f>
        <v>0</v>
      </c>
      <c r="K840" s="87">
        <f>IFERROR(ROUND($N840*Параметры!$D$36,2),0)</f>
        <v>0</v>
      </c>
      <c r="L840" s="87">
        <f t="shared" ref="L840:L903" si="96">IF($K840&gt;0,$K840*0.055,0)</f>
        <v>0</v>
      </c>
      <c r="M840" s="87">
        <f t="shared" ref="M840:M903" si="97">IFERROR($L840/Плотность_ДТ,0)</f>
        <v>0</v>
      </c>
      <c r="N840" s="107" t="str">
        <f t="shared" ref="N840:N903" si="98">IF($D840&gt;0,MAX(0,$D840-IF($F840="",0,$F840)),"")</f>
        <v/>
      </c>
    </row>
    <row r="841" spans="2:14" x14ac:dyDescent="0.25">
      <c r="B841" s="82">
        <f>SUBTOTAL(103,$D$8:D841)</f>
        <v>834</v>
      </c>
      <c r="C841" s="83" t="s">
        <v>849</v>
      </c>
      <c r="D841" s="84">
        <v>0</v>
      </c>
      <c r="E841" s="85" t="str">
        <f t="shared" si="93"/>
        <v/>
      </c>
      <c r="F841" s="106" t="str">
        <f t="shared" si="92"/>
        <v/>
      </c>
      <c r="G841" s="86"/>
      <c r="H841" s="107">
        <f t="shared" si="94"/>
        <v>0</v>
      </c>
      <c r="I841" s="107">
        <f t="shared" si="95"/>
        <v>0</v>
      </c>
      <c r="J841" s="87">
        <f>IF($D841&gt;0,IFERROR(Параметры!$D$42*$H841/$H$2408,0),0)</f>
        <v>0</v>
      </c>
      <c r="K841" s="87">
        <f>IFERROR(ROUND($N841*Параметры!$D$36,2),0)</f>
        <v>0</v>
      </c>
      <c r="L841" s="87">
        <f t="shared" si="96"/>
        <v>0</v>
      </c>
      <c r="M841" s="87">
        <f t="shared" si="97"/>
        <v>0</v>
      </c>
      <c r="N841" s="107" t="str">
        <f t="shared" si="98"/>
        <v/>
      </c>
    </row>
    <row r="842" spans="2:14" x14ac:dyDescent="0.25">
      <c r="B842" s="82">
        <f>SUBTOTAL(103,$D$8:D842)</f>
        <v>835</v>
      </c>
      <c r="C842" s="83" t="s">
        <v>850</v>
      </c>
      <c r="D842" s="84">
        <v>0</v>
      </c>
      <c r="E842" s="85" t="str">
        <f t="shared" si="93"/>
        <v/>
      </c>
      <c r="F842" s="106" t="str">
        <f t="shared" si="92"/>
        <v/>
      </c>
      <c r="G842" s="86"/>
      <c r="H842" s="107">
        <f t="shared" si="94"/>
        <v>0</v>
      </c>
      <c r="I842" s="107">
        <f t="shared" si="95"/>
        <v>0</v>
      </c>
      <c r="J842" s="87">
        <f>IF($D842&gt;0,IFERROR(Параметры!$D$42*$H842/$H$2408,0),0)</f>
        <v>0</v>
      </c>
      <c r="K842" s="87">
        <f>IFERROR(ROUND($N842*Параметры!$D$36,2),0)</f>
        <v>0</v>
      </c>
      <c r="L842" s="87">
        <f t="shared" si="96"/>
        <v>0</v>
      </c>
      <c r="M842" s="87">
        <f t="shared" si="97"/>
        <v>0</v>
      </c>
      <c r="N842" s="107" t="str">
        <f t="shared" si="98"/>
        <v/>
      </c>
    </row>
    <row r="843" spans="2:14" x14ac:dyDescent="0.25">
      <c r="B843" s="82">
        <f>SUBTOTAL(103,$D$8:D843)</f>
        <v>836</v>
      </c>
      <c r="C843" s="83" t="s">
        <v>851</v>
      </c>
      <c r="D843" s="84">
        <v>0</v>
      </c>
      <c r="E843" s="85" t="str">
        <f t="shared" si="93"/>
        <v/>
      </c>
      <c r="F843" s="106" t="str">
        <f t="shared" ref="F843:F906" si="99">IF(D843&gt;0,2,"")</f>
        <v/>
      </c>
      <c r="G843" s="86"/>
      <c r="H843" s="107">
        <f t="shared" si="94"/>
        <v>0</v>
      </c>
      <c r="I843" s="107">
        <f t="shared" si="95"/>
        <v>0</v>
      </c>
      <c r="J843" s="87">
        <f>IF($D843&gt;0,IFERROR(Параметры!$D$42*$H843/$H$2408,0),0)</f>
        <v>0</v>
      </c>
      <c r="K843" s="87">
        <f>IFERROR(ROUND($N843*Параметры!$D$36,2),0)</f>
        <v>0</v>
      </c>
      <c r="L843" s="87">
        <f t="shared" si="96"/>
        <v>0</v>
      </c>
      <c r="M843" s="87">
        <f t="shared" si="97"/>
        <v>0</v>
      </c>
      <c r="N843" s="107" t="str">
        <f t="shared" si="98"/>
        <v/>
      </c>
    </row>
    <row r="844" spans="2:14" x14ac:dyDescent="0.25">
      <c r="B844" s="82">
        <f>SUBTOTAL(103,$D$8:D844)</f>
        <v>837</v>
      </c>
      <c r="C844" s="83" t="s">
        <v>852</v>
      </c>
      <c r="D844" s="84">
        <v>0</v>
      </c>
      <c r="E844" s="85" t="str">
        <f t="shared" si="93"/>
        <v/>
      </c>
      <c r="F844" s="106" t="str">
        <f t="shared" si="99"/>
        <v/>
      </c>
      <c r="G844" s="86"/>
      <c r="H844" s="107">
        <f t="shared" si="94"/>
        <v>0</v>
      </c>
      <c r="I844" s="107">
        <f t="shared" si="95"/>
        <v>0</v>
      </c>
      <c r="J844" s="87">
        <f>IF($D844&gt;0,IFERROR(Параметры!$D$42*$H844/$H$2408,0),0)</f>
        <v>0</v>
      </c>
      <c r="K844" s="87">
        <f>IFERROR(ROUND($N844*Параметры!$D$36,2),0)</f>
        <v>0</v>
      </c>
      <c r="L844" s="87">
        <f t="shared" si="96"/>
        <v>0</v>
      </c>
      <c r="M844" s="87">
        <f t="shared" si="97"/>
        <v>0</v>
      </c>
      <c r="N844" s="107" t="str">
        <f t="shared" si="98"/>
        <v/>
      </c>
    </row>
    <row r="845" spans="2:14" x14ac:dyDescent="0.25">
      <c r="B845" s="82">
        <f>SUBTOTAL(103,$D$8:D845)</f>
        <v>838</v>
      </c>
      <c r="C845" s="83" t="s">
        <v>853</v>
      </c>
      <c r="D845" s="84">
        <v>0</v>
      </c>
      <c r="E845" s="85" t="str">
        <f t="shared" si="93"/>
        <v/>
      </c>
      <c r="F845" s="106" t="str">
        <f t="shared" si="99"/>
        <v/>
      </c>
      <c r="G845" s="86"/>
      <c r="H845" s="107">
        <f t="shared" si="94"/>
        <v>0</v>
      </c>
      <c r="I845" s="107">
        <f t="shared" si="95"/>
        <v>0</v>
      </c>
      <c r="J845" s="87">
        <f>IF($D845&gt;0,IFERROR(Параметры!$D$42*$H845/$H$2408,0),0)</f>
        <v>0</v>
      </c>
      <c r="K845" s="87">
        <f>IFERROR(ROUND($N845*Параметры!$D$36,2),0)</f>
        <v>0</v>
      </c>
      <c r="L845" s="87">
        <f t="shared" si="96"/>
        <v>0</v>
      </c>
      <c r="M845" s="87">
        <f t="shared" si="97"/>
        <v>0</v>
      </c>
      <c r="N845" s="107" t="str">
        <f t="shared" si="98"/>
        <v/>
      </c>
    </row>
    <row r="846" spans="2:14" x14ac:dyDescent="0.25">
      <c r="B846" s="82">
        <f>SUBTOTAL(103,$D$8:D846)</f>
        <v>839</v>
      </c>
      <c r="C846" s="83" t="s">
        <v>854</v>
      </c>
      <c r="D846" s="84">
        <v>0</v>
      </c>
      <c r="E846" s="85" t="str">
        <f t="shared" si="93"/>
        <v/>
      </c>
      <c r="F846" s="106" t="str">
        <f t="shared" si="99"/>
        <v/>
      </c>
      <c r="G846" s="86"/>
      <c r="H846" s="107">
        <f t="shared" si="94"/>
        <v>0</v>
      </c>
      <c r="I846" s="107">
        <f t="shared" si="95"/>
        <v>0</v>
      </c>
      <c r="J846" s="87">
        <f>IF($D846&gt;0,IFERROR(Параметры!$D$42*$H846/$H$2408,0),0)</f>
        <v>0</v>
      </c>
      <c r="K846" s="87">
        <f>IFERROR(ROUND($N846*Параметры!$D$36,2),0)</f>
        <v>0</v>
      </c>
      <c r="L846" s="87">
        <f t="shared" si="96"/>
        <v>0</v>
      </c>
      <c r="M846" s="87">
        <f t="shared" si="97"/>
        <v>0</v>
      </c>
      <c r="N846" s="107" t="str">
        <f t="shared" si="98"/>
        <v/>
      </c>
    </row>
    <row r="847" spans="2:14" x14ac:dyDescent="0.25">
      <c r="B847" s="82">
        <f>SUBTOTAL(103,$D$8:D847)</f>
        <v>840</v>
      </c>
      <c r="C847" s="83" t="s">
        <v>855</v>
      </c>
      <c r="D847" s="84">
        <v>0</v>
      </c>
      <c r="E847" s="85" t="str">
        <f t="shared" si="93"/>
        <v/>
      </c>
      <c r="F847" s="106" t="str">
        <f t="shared" si="99"/>
        <v/>
      </c>
      <c r="G847" s="86"/>
      <c r="H847" s="107">
        <f t="shared" si="94"/>
        <v>0</v>
      </c>
      <c r="I847" s="107">
        <f t="shared" si="95"/>
        <v>0</v>
      </c>
      <c r="J847" s="87">
        <f>IF($D847&gt;0,IFERROR(Параметры!$D$42*$H847/$H$2408,0),0)</f>
        <v>0</v>
      </c>
      <c r="K847" s="87">
        <f>IFERROR(ROUND($N847*Параметры!$D$36,2),0)</f>
        <v>0</v>
      </c>
      <c r="L847" s="87">
        <f t="shared" si="96"/>
        <v>0</v>
      </c>
      <c r="M847" s="87">
        <f t="shared" si="97"/>
        <v>0</v>
      </c>
      <c r="N847" s="107" t="str">
        <f t="shared" si="98"/>
        <v/>
      </c>
    </row>
    <row r="848" spans="2:14" x14ac:dyDescent="0.25">
      <c r="B848" s="82">
        <f>SUBTOTAL(103,$D$8:D848)</f>
        <v>841</v>
      </c>
      <c r="C848" s="83" t="s">
        <v>856</v>
      </c>
      <c r="D848" s="84">
        <f t="array" ref="D848:D907">TRANSPOSE('Зарядная карта'!$C$19:$BJ$19)</f>
        <v>4</v>
      </c>
      <c r="E848" s="85">
        <f t="shared" si="93"/>
        <v>62.814700000000002</v>
      </c>
      <c r="F848" s="106">
        <f t="shared" si="99"/>
        <v>2</v>
      </c>
      <c r="G848" s="86"/>
      <c r="H848" s="107">
        <f t="shared" si="94"/>
        <v>3.44</v>
      </c>
      <c r="I848" s="107">
        <f t="shared" si="95"/>
        <v>0.56000000000000005</v>
      </c>
      <c r="J848" s="87">
        <f>IF($D848&gt;0,IFERROR(Параметры!$D$42*$H848/$H$2408,0),0)</f>
        <v>60.103959390862947</v>
      </c>
      <c r="K848" s="87">
        <f>IFERROR(ROUND($N848*Параметры!$D$36,2),0)</f>
        <v>59.54</v>
      </c>
      <c r="L848" s="87">
        <f t="shared" si="96"/>
        <v>3.2747000000000002</v>
      </c>
      <c r="M848" s="87">
        <f t="shared" si="97"/>
        <v>3.8420790191534921</v>
      </c>
      <c r="N848" s="107">
        <f t="shared" si="98"/>
        <v>2</v>
      </c>
    </row>
    <row r="849" spans="2:14" x14ac:dyDescent="0.25">
      <c r="B849" s="82">
        <f>SUBTOTAL(103,$D$8:D849)</f>
        <v>842</v>
      </c>
      <c r="C849" s="83" t="s">
        <v>857</v>
      </c>
      <c r="D849" s="84">
        <v>8</v>
      </c>
      <c r="E849" s="85">
        <f t="shared" si="93"/>
        <v>188.44409999999999</v>
      </c>
      <c r="F849" s="106">
        <f t="shared" si="99"/>
        <v>2</v>
      </c>
      <c r="G849" s="86"/>
      <c r="H849" s="107">
        <f t="shared" si="94"/>
        <v>6.88</v>
      </c>
      <c r="I849" s="107">
        <f t="shared" si="95"/>
        <v>1.1200000000000001</v>
      </c>
      <c r="J849" s="87">
        <f>IF($D849&gt;0,IFERROR(Параметры!$D$42*$H849/$H$2408,0),0)</f>
        <v>120.20791878172589</v>
      </c>
      <c r="K849" s="87">
        <f>IFERROR(ROUND($N849*Параметры!$D$36,2),0)</f>
        <v>178.62</v>
      </c>
      <c r="L849" s="87">
        <f t="shared" si="96"/>
        <v>9.8240999999999996</v>
      </c>
      <c r="M849" s="87">
        <f t="shared" si="97"/>
        <v>11.526237057460476</v>
      </c>
      <c r="N849" s="107">
        <f t="shared" si="98"/>
        <v>6</v>
      </c>
    </row>
    <row r="850" spans="2:14" x14ac:dyDescent="0.25">
      <c r="B850" s="82">
        <f>SUBTOTAL(103,$D$8:D850)</f>
        <v>843</v>
      </c>
      <c r="C850" s="83" t="s">
        <v>858</v>
      </c>
      <c r="D850" s="84">
        <v>8</v>
      </c>
      <c r="E850" s="85">
        <f t="shared" si="93"/>
        <v>188.44409999999999</v>
      </c>
      <c r="F850" s="106">
        <f t="shared" si="99"/>
        <v>2</v>
      </c>
      <c r="G850" s="86"/>
      <c r="H850" s="107">
        <f t="shared" si="94"/>
        <v>6.88</v>
      </c>
      <c r="I850" s="107">
        <f t="shared" si="95"/>
        <v>1.1200000000000001</v>
      </c>
      <c r="J850" s="87">
        <f>IF($D850&gt;0,IFERROR(Параметры!$D$42*$H850/$H$2408,0),0)</f>
        <v>120.20791878172589</v>
      </c>
      <c r="K850" s="87">
        <f>IFERROR(ROUND($N850*Параметры!$D$36,2),0)</f>
        <v>178.62</v>
      </c>
      <c r="L850" s="87">
        <f t="shared" si="96"/>
        <v>9.8240999999999996</v>
      </c>
      <c r="M850" s="87">
        <f t="shared" si="97"/>
        <v>11.526237057460476</v>
      </c>
      <c r="N850" s="107">
        <f t="shared" si="98"/>
        <v>6</v>
      </c>
    </row>
    <row r="851" spans="2:14" x14ac:dyDescent="0.25">
      <c r="B851" s="82">
        <f>SUBTOTAL(103,$D$8:D851)</f>
        <v>844</v>
      </c>
      <c r="C851" s="83" t="s">
        <v>859</v>
      </c>
      <c r="D851" s="84">
        <v>8</v>
      </c>
      <c r="E851" s="85">
        <f t="shared" si="93"/>
        <v>188.44409999999999</v>
      </c>
      <c r="F851" s="106">
        <f t="shared" si="99"/>
        <v>2</v>
      </c>
      <c r="G851" s="86"/>
      <c r="H851" s="107">
        <f t="shared" si="94"/>
        <v>6.88</v>
      </c>
      <c r="I851" s="107">
        <f t="shared" si="95"/>
        <v>1.1200000000000001</v>
      </c>
      <c r="J851" s="87">
        <f>IF($D851&gt;0,IFERROR(Параметры!$D$42*$H851/$H$2408,0),0)</f>
        <v>120.20791878172589</v>
      </c>
      <c r="K851" s="87">
        <f>IFERROR(ROUND($N851*Параметры!$D$36,2),0)</f>
        <v>178.62</v>
      </c>
      <c r="L851" s="87">
        <f t="shared" si="96"/>
        <v>9.8240999999999996</v>
      </c>
      <c r="M851" s="87">
        <f t="shared" si="97"/>
        <v>11.526237057460476</v>
      </c>
      <c r="N851" s="107">
        <f t="shared" si="98"/>
        <v>6</v>
      </c>
    </row>
    <row r="852" spans="2:14" x14ac:dyDescent="0.25">
      <c r="B852" s="82">
        <f>SUBTOTAL(103,$D$8:D852)</f>
        <v>845</v>
      </c>
      <c r="C852" s="83" t="s">
        <v>860</v>
      </c>
      <c r="D852" s="84">
        <v>8</v>
      </c>
      <c r="E852" s="85">
        <f t="shared" si="93"/>
        <v>188.44409999999999</v>
      </c>
      <c r="F852" s="106">
        <f t="shared" si="99"/>
        <v>2</v>
      </c>
      <c r="G852" s="86"/>
      <c r="H852" s="107">
        <f t="shared" si="94"/>
        <v>6.88</v>
      </c>
      <c r="I852" s="107">
        <f t="shared" si="95"/>
        <v>1.1200000000000001</v>
      </c>
      <c r="J852" s="87">
        <f>IF($D852&gt;0,IFERROR(Параметры!$D$42*$H852/$H$2408,0),0)</f>
        <v>120.20791878172589</v>
      </c>
      <c r="K852" s="87">
        <f>IFERROR(ROUND($N852*Параметры!$D$36,2),0)</f>
        <v>178.62</v>
      </c>
      <c r="L852" s="87">
        <f t="shared" si="96"/>
        <v>9.8240999999999996</v>
      </c>
      <c r="M852" s="87">
        <f t="shared" si="97"/>
        <v>11.526237057460476</v>
      </c>
      <c r="N852" s="107">
        <f t="shared" si="98"/>
        <v>6</v>
      </c>
    </row>
    <row r="853" spans="2:14" x14ac:dyDescent="0.25">
      <c r="B853" s="82">
        <f>SUBTOTAL(103,$D$8:D853)</f>
        <v>846</v>
      </c>
      <c r="C853" s="83" t="s">
        <v>861</v>
      </c>
      <c r="D853" s="84">
        <v>8</v>
      </c>
      <c r="E853" s="85">
        <f t="shared" si="93"/>
        <v>188.44409999999999</v>
      </c>
      <c r="F853" s="106">
        <f t="shared" si="99"/>
        <v>2</v>
      </c>
      <c r="G853" s="86"/>
      <c r="H853" s="107">
        <f t="shared" si="94"/>
        <v>6.88</v>
      </c>
      <c r="I853" s="107">
        <f t="shared" si="95"/>
        <v>1.1200000000000001</v>
      </c>
      <c r="J853" s="87">
        <f>IF($D853&gt;0,IFERROR(Параметры!$D$42*$H853/$H$2408,0),0)</f>
        <v>120.20791878172589</v>
      </c>
      <c r="K853" s="87">
        <f>IFERROR(ROUND($N853*Параметры!$D$36,2),0)</f>
        <v>178.62</v>
      </c>
      <c r="L853" s="87">
        <f t="shared" si="96"/>
        <v>9.8240999999999996</v>
      </c>
      <c r="M853" s="87">
        <f t="shared" si="97"/>
        <v>11.526237057460476</v>
      </c>
      <c r="N853" s="107">
        <f t="shared" si="98"/>
        <v>6</v>
      </c>
    </row>
    <row r="854" spans="2:14" x14ac:dyDescent="0.25">
      <c r="B854" s="82">
        <f>SUBTOTAL(103,$D$8:D854)</f>
        <v>847</v>
      </c>
      <c r="C854" s="83" t="s">
        <v>862</v>
      </c>
      <c r="D854" s="84">
        <v>8</v>
      </c>
      <c r="E854" s="85">
        <f t="shared" si="93"/>
        <v>188.44409999999999</v>
      </c>
      <c r="F854" s="106">
        <f t="shared" si="99"/>
        <v>2</v>
      </c>
      <c r="G854" s="86"/>
      <c r="H854" s="107">
        <f t="shared" si="94"/>
        <v>6.88</v>
      </c>
      <c r="I854" s="107">
        <f t="shared" si="95"/>
        <v>1.1200000000000001</v>
      </c>
      <c r="J854" s="87">
        <f>IF($D854&gt;0,IFERROR(Параметры!$D$42*$H854/$H$2408,0),0)</f>
        <v>120.20791878172589</v>
      </c>
      <c r="K854" s="87">
        <f>IFERROR(ROUND($N854*Параметры!$D$36,2),0)</f>
        <v>178.62</v>
      </c>
      <c r="L854" s="87">
        <f t="shared" si="96"/>
        <v>9.8240999999999996</v>
      </c>
      <c r="M854" s="87">
        <f t="shared" si="97"/>
        <v>11.526237057460476</v>
      </c>
      <c r="N854" s="107">
        <f t="shared" si="98"/>
        <v>6</v>
      </c>
    </row>
    <row r="855" spans="2:14" x14ac:dyDescent="0.25">
      <c r="B855" s="82">
        <f>SUBTOTAL(103,$D$8:D855)</f>
        <v>848</v>
      </c>
      <c r="C855" s="83" t="s">
        <v>863</v>
      </c>
      <c r="D855" s="84">
        <v>8</v>
      </c>
      <c r="E855" s="85">
        <f t="shared" si="93"/>
        <v>188.44409999999999</v>
      </c>
      <c r="F855" s="106">
        <f t="shared" si="99"/>
        <v>2</v>
      </c>
      <c r="G855" s="86"/>
      <c r="H855" s="107">
        <f t="shared" si="94"/>
        <v>6.88</v>
      </c>
      <c r="I855" s="107">
        <f t="shared" si="95"/>
        <v>1.1200000000000001</v>
      </c>
      <c r="J855" s="87">
        <f>IF($D855&gt;0,IFERROR(Параметры!$D$42*$H855/$H$2408,0),0)</f>
        <v>120.20791878172589</v>
      </c>
      <c r="K855" s="87">
        <f>IFERROR(ROUND($N855*Параметры!$D$36,2),0)</f>
        <v>178.62</v>
      </c>
      <c r="L855" s="87">
        <f t="shared" si="96"/>
        <v>9.8240999999999996</v>
      </c>
      <c r="M855" s="87">
        <f t="shared" si="97"/>
        <v>11.526237057460476</v>
      </c>
      <c r="N855" s="107">
        <f t="shared" si="98"/>
        <v>6</v>
      </c>
    </row>
    <row r="856" spans="2:14" x14ac:dyDescent="0.25">
      <c r="B856" s="82">
        <f>SUBTOTAL(103,$D$8:D856)</f>
        <v>849</v>
      </c>
      <c r="C856" s="83" t="s">
        <v>864</v>
      </c>
      <c r="D856" s="84">
        <v>8</v>
      </c>
      <c r="E856" s="85">
        <f t="shared" si="93"/>
        <v>188.44409999999999</v>
      </c>
      <c r="F856" s="106">
        <f t="shared" si="99"/>
        <v>2</v>
      </c>
      <c r="G856" s="86"/>
      <c r="H856" s="107">
        <f t="shared" si="94"/>
        <v>6.88</v>
      </c>
      <c r="I856" s="107">
        <f t="shared" si="95"/>
        <v>1.1200000000000001</v>
      </c>
      <c r="J856" s="87">
        <f>IF($D856&gt;0,IFERROR(Параметры!$D$42*$H856/$H$2408,0),0)</f>
        <v>120.20791878172589</v>
      </c>
      <c r="K856" s="87">
        <f>IFERROR(ROUND($N856*Параметры!$D$36,2),0)</f>
        <v>178.62</v>
      </c>
      <c r="L856" s="87">
        <f t="shared" si="96"/>
        <v>9.8240999999999996</v>
      </c>
      <c r="M856" s="87">
        <f t="shared" si="97"/>
        <v>11.526237057460476</v>
      </c>
      <c r="N856" s="107">
        <f t="shared" si="98"/>
        <v>6</v>
      </c>
    </row>
    <row r="857" spans="2:14" x14ac:dyDescent="0.25">
      <c r="B857" s="82">
        <f>SUBTOTAL(103,$D$8:D857)</f>
        <v>850</v>
      </c>
      <c r="C857" s="83" t="s">
        <v>865</v>
      </c>
      <c r="D857" s="84">
        <v>8</v>
      </c>
      <c r="E857" s="85">
        <f t="shared" si="93"/>
        <v>188.44409999999999</v>
      </c>
      <c r="F857" s="106">
        <f t="shared" si="99"/>
        <v>2</v>
      </c>
      <c r="G857" s="86"/>
      <c r="H857" s="107">
        <f t="shared" si="94"/>
        <v>6.88</v>
      </c>
      <c r="I857" s="107">
        <f t="shared" si="95"/>
        <v>1.1200000000000001</v>
      </c>
      <c r="J857" s="87">
        <f>IF($D857&gt;0,IFERROR(Параметры!$D$42*$H857/$H$2408,0),0)</f>
        <v>120.20791878172589</v>
      </c>
      <c r="K857" s="87">
        <f>IFERROR(ROUND($N857*Параметры!$D$36,2),0)</f>
        <v>178.62</v>
      </c>
      <c r="L857" s="87">
        <f t="shared" si="96"/>
        <v>9.8240999999999996</v>
      </c>
      <c r="M857" s="87">
        <f t="shared" si="97"/>
        <v>11.526237057460476</v>
      </c>
      <c r="N857" s="107">
        <f t="shared" si="98"/>
        <v>6</v>
      </c>
    </row>
    <row r="858" spans="2:14" x14ac:dyDescent="0.25">
      <c r="B858" s="82">
        <f>SUBTOTAL(103,$D$8:D858)</f>
        <v>851</v>
      </c>
      <c r="C858" s="83" t="s">
        <v>866</v>
      </c>
      <c r="D858" s="84">
        <v>8</v>
      </c>
      <c r="E858" s="85">
        <f t="shared" si="93"/>
        <v>188.44409999999999</v>
      </c>
      <c r="F858" s="106">
        <f t="shared" si="99"/>
        <v>2</v>
      </c>
      <c r="G858" s="86"/>
      <c r="H858" s="107">
        <f t="shared" si="94"/>
        <v>6.88</v>
      </c>
      <c r="I858" s="107">
        <f t="shared" si="95"/>
        <v>1.1200000000000001</v>
      </c>
      <c r="J858" s="87">
        <f>IF($D858&gt;0,IFERROR(Параметры!$D$42*$H858/$H$2408,0),0)</f>
        <v>120.20791878172589</v>
      </c>
      <c r="K858" s="87">
        <f>IFERROR(ROUND($N858*Параметры!$D$36,2),0)</f>
        <v>178.62</v>
      </c>
      <c r="L858" s="87">
        <f t="shared" si="96"/>
        <v>9.8240999999999996</v>
      </c>
      <c r="M858" s="87">
        <f t="shared" si="97"/>
        <v>11.526237057460476</v>
      </c>
      <c r="N858" s="107">
        <f t="shared" si="98"/>
        <v>6</v>
      </c>
    </row>
    <row r="859" spans="2:14" x14ac:dyDescent="0.25">
      <c r="B859" s="82">
        <f>SUBTOTAL(103,$D$8:D859)</f>
        <v>852</v>
      </c>
      <c r="C859" s="83" t="s">
        <v>867</v>
      </c>
      <c r="D859" s="84">
        <v>4</v>
      </c>
      <c r="E859" s="85">
        <f t="shared" si="93"/>
        <v>62.814700000000002</v>
      </c>
      <c r="F859" s="106">
        <f t="shared" si="99"/>
        <v>2</v>
      </c>
      <c r="G859" s="86"/>
      <c r="H859" s="107">
        <f t="shared" si="94"/>
        <v>3.44</v>
      </c>
      <c r="I859" s="107">
        <f t="shared" si="95"/>
        <v>0.56000000000000005</v>
      </c>
      <c r="J859" s="87">
        <f>IF($D859&gt;0,IFERROR(Параметры!$D$42*$H859/$H$2408,0),0)</f>
        <v>60.103959390862947</v>
      </c>
      <c r="K859" s="87">
        <f>IFERROR(ROUND($N859*Параметры!$D$36,2),0)</f>
        <v>59.54</v>
      </c>
      <c r="L859" s="87">
        <f t="shared" si="96"/>
        <v>3.2747000000000002</v>
      </c>
      <c r="M859" s="87">
        <f t="shared" si="97"/>
        <v>3.8420790191534921</v>
      </c>
      <c r="N859" s="107">
        <f t="shared" si="98"/>
        <v>2</v>
      </c>
    </row>
    <row r="860" spans="2:14" x14ac:dyDescent="0.25">
      <c r="B860" s="82">
        <f>SUBTOTAL(103,$D$8:D860)</f>
        <v>853</v>
      </c>
      <c r="C860" s="83" t="s">
        <v>868</v>
      </c>
      <c r="D860" s="84">
        <v>0</v>
      </c>
      <c r="E860" s="85" t="str">
        <f t="shared" si="93"/>
        <v/>
      </c>
      <c r="F860" s="106" t="str">
        <f t="shared" si="99"/>
        <v/>
      </c>
      <c r="G860" s="86"/>
      <c r="H860" s="107">
        <f t="shared" si="94"/>
        <v>0</v>
      </c>
      <c r="I860" s="107">
        <f t="shared" si="95"/>
        <v>0</v>
      </c>
      <c r="J860" s="87">
        <f>IF($D860&gt;0,IFERROR(Параметры!$D$42*$H860/$H$2408,0),0)</f>
        <v>0</v>
      </c>
      <c r="K860" s="87">
        <f>IFERROR(ROUND($N860*Параметры!$D$36,2),0)</f>
        <v>0</v>
      </c>
      <c r="L860" s="87">
        <f t="shared" si="96"/>
        <v>0</v>
      </c>
      <c r="M860" s="87">
        <f t="shared" si="97"/>
        <v>0</v>
      </c>
      <c r="N860" s="107" t="str">
        <f t="shared" si="98"/>
        <v/>
      </c>
    </row>
    <row r="861" spans="2:14" x14ac:dyDescent="0.25">
      <c r="B861" s="82">
        <f>SUBTOTAL(103,$D$8:D861)</f>
        <v>854</v>
      </c>
      <c r="C861" s="83" t="s">
        <v>869</v>
      </c>
      <c r="D861" s="84">
        <v>0</v>
      </c>
      <c r="E861" s="85" t="str">
        <f t="shared" si="93"/>
        <v/>
      </c>
      <c r="F861" s="106" t="str">
        <f t="shared" si="99"/>
        <v/>
      </c>
      <c r="G861" s="86"/>
      <c r="H861" s="107">
        <f t="shared" si="94"/>
        <v>0</v>
      </c>
      <c r="I861" s="107">
        <f t="shared" si="95"/>
        <v>0</v>
      </c>
      <c r="J861" s="87">
        <f>IF($D861&gt;0,IFERROR(Параметры!$D$42*$H861/$H$2408,0),0)</f>
        <v>0</v>
      </c>
      <c r="K861" s="87">
        <f>IFERROR(ROUND($N861*Параметры!$D$36,2),0)</f>
        <v>0</v>
      </c>
      <c r="L861" s="87">
        <f t="shared" si="96"/>
        <v>0</v>
      </c>
      <c r="M861" s="87">
        <f t="shared" si="97"/>
        <v>0</v>
      </c>
      <c r="N861" s="107" t="str">
        <f t="shared" si="98"/>
        <v/>
      </c>
    </row>
    <row r="862" spans="2:14" x14ac:dyDescent="0.25">
      <c r="B862" s="82">
        <f>SUBTOTAL(103,$D$8:D862)</f>
        <v>855</v>
      </c>
      <c r="C862" s="83" t="s">
        <v>870</v>
      </c>
      <c r="D862" s="84">
        <v>0</v>
      </c>
      <c r="E862" s="85" t="str">
        <f t="shared" si="93"/>
        <v/>
      </c>
      <c r="F862" s="106" t="str">
        <f t="shared" si="99"/>
        <v/>
      </c>
      <c r="G862" s="86"/>
      <c r="H862" s="107">
        <f t="shared" si="94"/>
        <v>0</v>
      </c>
      <c r="I862" s="107">
        <f t="shared" si="95"/>
        <v>0</v>
      </c>
      <c r="J862" s="87">
        <f>IF($D862&gt;0,IFERROR(Параметры!$D$42*$H862/$H$2408,0),0)</f>
        <v>0</v>
      </c>
      <c r="K862" s="87">
        <f>IFERROR(ROUND($N862*Параметры!$D$36,2),0)</f>
        <v>0</v>
      </c>
      <c r="L862" s="87">
        <f t="shared" si="96"/>
        <v>0</v>
      </c>
      <c r="M862" s="87">
        <f t="shared" si="97"/>
        <v>0</v>
      </c>
      <c r="N862" s="107" t="str">
        <f t="shared" si="98"/>
        <v/>
      </c>
    </row>
    <row r="863" spans="2:14" x14ac:dyDescent="0.25">
      <c r="B863" s="82">
        <f>SUBTOTAL(103,$D$8:D863)</f>
        <v>856</v>
      </c>
      <c r="C863" s="83" t="s">
        <v>871</v>
      </c>
      <c r="D863" s="84">
        <v>0</v>
      </c>
      <c r="E863" s="85" t="str">
        <f t="shared" si="93"/>
        <v/>
      </c>
      <c r="F863" s="106" t="str">
        <f t="shared" si="99"/>
        <v/>
      </c>
      <c r="G863" s="86"/>
      <c r="H863" s="107">
        <f t="shared" si="94"/>
        <v>0</v>
      </c>
      <c r="I863" s="107">
        <f t="shared" si="95"/>
        <v>0</v>
      </c>
      <c r="J863" s="87">
        <f>IF($D863&gt;0,IFERROR(Параметры!$D$42*$H863/$H$2408,0),0)</f>
        <v>0</v>
      </c>
      <c r="K863" s="87">
        <f>IFERROR(ROUND($N863*Параметры!$D$36,2),0)</f>
        <v>0</v>
      </c>
      <c r="L863" s="87">
        <f t="shared" si="96"/>
        <v>0</v>
      </c>
      <c r="M863" s="87">
        <f t="shared" si="97"/>
        <v>0</v>
      </c>
      <c r="N863" s="107" t="str">
        <f t="shared" si="98"/>
        <v/>
      </c>
    </row>
    <row r="864" spans="2:14" x14ac:dyDescent="0.25">
      <c r="B864" s="82">
        <f>SUBTOTAL(103,$D$8:D864)</f>
        <v>857</v>
      </c>
      <c r="C864" s="83" t="s">
        <v>872</v>
      </c>
      <c r="D864" s="84">
        <v>0</v>
      </c>
      <c r="E864" s="85" t="str">
        <f t="shared" si="93"/>
        <v/>
      </c>
      <c r="F864" s="106" t="str">
        <f t="shared" si="99"/>
        <v/>
      </c>
      <c r="G864" s="86"/>
      <c r="H864" s="107">
        <f t="shared" si="94"/>
        <v>0</v>
      </c>
      <c r="I864" s="107">
        <f t="shared" si="95"/>
        <v>0</v>
      </c>
      <c r="J864" s="87">
        <f>IF($D864&gt;0,IFERROR(Параметры!$D$42*$H864/$H$2408,0),0)</f>
        <v>0</v>
      </c>
      <c r="K864" s="87">
        <f>IFERROR(ROUND($N864*Параметры!$D$36,2),0)</f>
        <v>0</v>
      </c>
      <c r="L864" s="87">
        <f t="shared" si="96"/>
        <v>0</v>
      </c>
      <c r="M864" s="87">
        <f t="shared" si="97"/>
        <v>0</v>
      </c>
      <c r="N864" s="107" t="str">
        <f t="shared" si="98"/>
        <v/>
      </c>
    </row>
    <row r="865" spans="2:14" x14ac:dyDescent="0.25">
      <c r="B865" s="82">
        <f>SUBTOTAL(103,$D$8:D865)</f>
        <v>858</v>
      </c>
      <c r="C865" s="83" t="s">
        <v>873</v>
      </c>
      <c r="D865" s="84">
        <v>0</v>
      </c>
      <c r="E865" s="85" t="str">
        <f t="shared" si="93"/>
        <v/>
      </c>
      <c r="F865" s="106" t="str">
        <f t="shared" si="99"/>
        <v/>
      </c>
      <c r="G865" s="86"/>
      <c r="H865" s="107">
        <f t="shared" si="94"/>
        <v>0</v>
      </c>
      <c r="I865" s="107">
        <f t="shared" si="95"/>
        <v>0</v>
      </c>
      <c r="J865" s="87">
        <f>IF($D865&gt;0,IFERROR(Параметры!$D$42*$H865/$H$2408,0),0)</f>
        <v>0</v>
      </c>
      <c r="K865" s="87">
        <f>IFERROR(ROUND($N865*Параметры!$D$36,2),0)</f>
        <v>0</v>
      </c>
      <c r="L865" s="87">
        <f t="shared" si="96"/>
        <v>0</v>
      </c>
      <c r="M865" s="87">
        <f t="shared" si="97"/>
        <v>0</v>
      </c>
      <c r="N865" s="107" t="str">
        <f t="shared" si="98"/>
        <v/>
      </c>
    </row>
    <row r="866" spans="2:14" x14ac:dyDescent="0.25">
      <c r="B866" s="82">
        <f>SUBTOTAL(103,$D$8:D866)</f>
        <v>859</v>
      </c>
      <c r="C866" s="83" t="s">
        <v>874</v>
      </c>
      <c r="D866" s="84">
        <v>0</v>
      </c>
      <c r="E866" s="85" t="str">
        <f t="shared" si="93"/>
        <v/>
      </c>
      <c r="F866" s="106" t="str">
        <f t="shared" si="99"/>
        <v/>
      </c>
      <c r="G866" s="86"/>
      <c r="H866" s="107">
        <f t="shared" si="94"/>
        <v>0</v>
      </c>
      <c r="I866" s="107">
        <f t="shared" si="95"/>
        <v>0</v>
      </c>
      <c r="J866" s="87">
        <f>IF($D866&gt;0,IFERROR(Параметры!$D$42*$H866/$H$2408,0),0)</f>
        <v>0</v>
      </c>
      <c r="K866" s="87">
        <f>IFERROR(ROUND($N866*Параметры!$D$36,2),0)</f>
        <v>0</v>
      </c>
      <c r="L866" s="87">
        <f t="shared" si="96"/>
        <v>0</v>
      </c>
      <c r="M866" s="87">
        <f t="shared" si="97"/>
        <v>0</v>
      </c>
      <c r="N866" s="107" t="str">
        <f t="shared" si="98"/>
        <v/>
      </c>
    </row>
    <row r="867" spans="2:14" x14ac:dyDescent="0.25">
      <c r="B867" s="82">
        <f>SUBTOTAL(103,$D$8:D867)</f>
        <v>860</v>
      </c>
      <c r="C867" s="83" t="s">
        <v>875</v>
      </c>
      <c r="D867" s="84">
        <v>0</v>
      </c>
      <c r="E867" s="85" t="str">
        <f t="shared" si="93"/>
        <v/>
      </c>
      <c r="F867" s="106" t="str">
        <f t="shared" si="99"/>
        <v/>
      </c>
      <c r="G867" s="86"/>
      <c r="H867" s="107">
        <f t="shared" si="94"/>
        <v>0</v>
      </c>
      <c r="I867" s="107">
        <f t="shared" si="95"/>
        <v>0</v>
      </c>
      <c r="J867" s="87">
        <f>IF($D867&gt;0,IFERROR(Параметры!$D$42*$H867/$H$2408,0),0)</f>
        <v>0</v>
      </c>
      <c r="K867" s="87">
        <f>IFERROR(ROUND($N867*Параметры!$D$36,2),0)</f>
        <v>0</v>
      </c>
      <c r="L867" s="87">
        <f t="shared" si="96"/>
        <v>0</v>
      </c>
      <c r="M867" s="87">
        <f t="shared" si="97"/>
        <v>0</v>
      </c>
      <c r="N867" s="107" t="str">
        <f t="shared" si="98"/>
        <v/>
      </c>
    </row>
    <row r="868" spans="2:14" x14ac:dyDescent="0.25">
      <c r="B868" s="82">
        <f>SUBTOTAL(103,$D$8:D868)</f>
        <v>861</v>
      </c>
      <c r="C868" s="83" t="s">
        <v>876</v>
      </c>
      <c r="D868" s="84">
        <v>0</v>
      </c>
      <c r="E868" s="85" t="str">
        <f t="shared" si="93"/>
        <v/>
      </c>
      <c r="F868" s="106" t="str">
        <f t="shared" si="99"/>
        <v/>
      </c>
      <c r="G868" s="86"/>
      <c r="H868" s="107">
        <f t="shared" si="94"/>
        <v>0</v>
      </c>
      <c r="I868" s="107">
        <f t="shared" si="95"/>
        <v>0</v>
      </c>
      <c r="J868" s="87">
        <f>IF($D868&gt;0,IFERROR(Параметры!$D$42*$H868/$H$2408,0),0)</f>
        <v>0</v>
      </c>
      <c r="K868" s="87">
        <f>IFERROR(ROUND($N868*Параметры!$D$36,2),0)</f>
        <v>0</v>
      </c>
      <c r="L868" s="87">
        <f t="shared" si="96"/>
        <v>0</v>
      </c>
      <c r="M868" s="87">
        <f t="shared" si="97"/>
        <v>0</v>
      </c>
      <c r="N868" s="107" t="str">
        <f t="shared" si="98"/>
        <v/>
      </c>
    </row>
    <row r="869" spans="2:14" x14ac:dyDescent="0.25">
      <c r="B869" s="82">
        <f>SUBTOTAL(103,$D$8:D869)</f>
        <v>862</v>
      </c>
      <c r="C869" s="83" t="s">
        <v>877</v>
      </c>
      <c r="D869" s="84">
        <v>0</v>
      </c>
      <c r="E869" s="85" t="str">
        <f t="shared" si="93"/>
        <v/>
      </c>
      <c r="F869" s="106" t="str">
        <f t="shared" si="99"/>
        <v/>
      </c>
      <c r="G869" s="86"/>
      <c r="H869" s="107">
        <f t="shared" si="94"/>
        <v>0</v>
      </c>
      <c r="I869" s="107">
        <f t="shared" si="95"/>
        <v>0</v>
      </c>
      <c r="J869" s="87">
        <f>IF($D869&gt;0,IFERROR(Параметры!$D$42*$H869/$H$2408,0),0)</f>
        <v>0</v>
      </c>
      <c r="K869" s="87">
        <f>IFERROR(ROUND($N869*Параметры!$D$36,2),0)</f>
        <v>0</v>
      </c>
      <c r="L869" s="87">
        <f t="shared" si="96"/>
        <v>0</v>
      </c>
      <c r="M869" s="87">
        <f t="shared" si="97"/>
        <v>0</v>
      </c>
      <c r="N869" s="107" t="str">
        <f t="shared" si="98"/>
        <v/>
      </c>
    </row>
    <row r="870" spans="2:14" x14ac:dyDescent="0.25">
      <c r="B870" s="82">
        <f>SUBTOTAL(103,$D$8:D870)</f>
        <v>863</v>
      </c>
      <c r="C870" s="83" t="s">
        <v>878</v>
      </c>
      <c r="D870" s="84">
        <v>0</v>
      </c>
      <c r="E870" s="85" t="str">
        <f t="shared" si="93"/>
        <v/>
      </c>
      <c r="F870" s="106" t="str">
        <f t="shared" si="99"/>
        <v/>
      </c>
      <c r="G870" s="86"/>
      <c r="H870" s="107">
        <f t="shared" si="94"/>
        <v>0</v>
      </c>
      <c r="I870" s="107">
        <f t="shared" si="95"/>
        <v>0</v>
      </c>
      <c r="J870" s="87">
        <f>IF($D870&gt;0,IFERROR(Параметры!$D$42*$H870/$H$2408,0),0)</f>
        <v>0</v>
      </c>
      <c r="K870" s="87">
        <f>IFERROR(ROUND($N870*Параметры!$D$36,2),0)</f>
        <v>0</v>
      </c>
      <c r="L870" s="87">
        <f t="shared" si="96"/>
        <v>0</v>
      </c>
      <c r="M870" s="87">
        <f t="shared" si="97"/>
        <v>0</v>
      </c>
      <c r="N870" s="107" t="str">
        <f t="shared" si="98"/>
        <v/>
      </c>
    </row>
    <row r="871" spans="2:14" x14ac:dyDescent="0.25">
      <c r="B871" s="82">
        <f>SUBTOTAL(103,$D$8:D871)</f>
        <v>864</v>
      </c>
      <c r="C871" s="83" t="s">
        <v>879</v>
      </c>
      <c r="D871" s="84">
        <v>0</v>
      </c>
      <c r="E871" s="85" t="str">
        <f t="shared" si="93"/>
        <v/>
      </c>
      <c r="F871" s="106" t="str">
        <f t="shared" si="99"/>
        <v/>
      </c>
      <c r="G871" s="86"/>
      <c r="H871" s="107">
        <f t="shared" si="94"/>
        <v>0</v>
      </c>
      <c r="I871" s="107">
        <f t="shared" si="95"/>
        <v>0</v>
      </c>
      <c r="J871" s="87">
        <f>IF($D871&gt;0,IFERROR(Параметры!$D$42*$H871/$H$2408,0),0)</f>
        <v>0</v>
      </c>
      <c r="K871" s="87">
        <f>IFERROR(ROUND($N871*Параметры!$D$36,2),0)</f>
        <v>0</v>
      </c>
      <c r="L871" s="87">
        <f t="shared" si="96"/>
        <v>0</v>
      </c>
      <c r="M871" s="87">
        <f t="shared" si="97"/>
        <v>0</v>
      </c>
      <c r="N871" s="107" t="str">
        <f t="shared" si="98"/>
        <v/>
      </c>
    </row>
    <row r="872" spans="2:14" x14ac:dyDescent="0.25">
      <c r="B872" s="82">
        <f>SUBTOTAL(103,$D$8:D872)</f>
        <v>865</v>
      </c>
      <c r="C872" s="83" t="s">
        <v>880</v>
      </c>
      <c r="D872" s="84">
        <v>0</v>
      </c>
      <c r="E872" s="85" t="str">
        <f t="shared" si="93"/>
        <v/>
      </c>
      <c r="F872" s="106" t="str">
        <f t="shared" si="99"/>
        <v/>
      </c>
      <c r="G872" s="86"/>
      <c r="H872" s="107">
        <f t="shared" si="94"/>
        <v>0</v>
      </c>
      <c r="I872" s="107">
        <f t="shared" si="95"/>
        <v>0</v>
      </c>
      <c r="J872" s="87">
        <f>IF($D872&gt;0,IFERROR(Параметры!$D$42*$H872/$H$2408,0),0)</f>
        <v>0</v>
      </c>
      <c r="K872" s="87">
        <f>IFERROR(ROUND($N872*Параметры!$D$36,2),0)</f>
        <v>0</v>
      </c>
      <c r="L872" s="87">
        <f t="shared" si="96"/>
        <v>0</v>
      </c>
      <c r="M872" s="87">
        <f t="shared" si="97"/>
        <v>0</v>
      </c>
      <c r="N872" s="107" t="str">
        <f t="shared" si="98"/>
        <v/>
      </c>
    </row>
    <row r="873" spans="2:14" x14ac:dyDescent="0.25">
      <c r="B873" s="82">
        <f>SUBTOTAL(103,$D$8:D873)</f>
        <v>866</v>
      </c>
      <c r="C873" s="83" t="s">
        <v>881</v>
      </c>
      <c r="D873" s="84">
        <v>0</v>
      </c>
      <c r="E873" s="85" t="str">
        <f t="shared" si="93"/>
        <v/>
      </c>
      <c r="F873" s="106" t="str">
        <f t="shared" si="99"/>
        <v/>
      </c>
      <c r="G873" s="86"/>
      <c r="H873" s="107">
        <f t="shared" si="94"/>
        <v>0</v>
      </c>
      <c r="I873" s="107">
        <f t="shared" si="95"/>
        <v>0</v>
      </c>
      <c r="J873" s="87">
        <f>IF($D873&gt;0,IFERROR(Параметры!$D$42*$H873/$H$2408,0),0)</f>
        <v>0</v>
      </c>
      <c r="K873" s="87">
        <f>IFERROR(ROUND($N873*Параметры!$D$36,2),0)</f>
        <v>0</v>
      </c>
      <c r="L873" s="87">
        <f t="shared" si="96"/>
        <v>0</v>
      </c>
      <c r="M873" s="87">
        <f t="shared" si="97"/>
        <v>0</v>
      </c>
      <c r="N873" s="107" t="str">
        <f t="shared" si="98"/>
        <v/>
      </c>
    </row>
    <row r="874" spans="2:14" x14ac:dyDescent="0.25">
      <c r="B874" s="82">
        <f>SUBTOTAL(103,$D$8:D874)</f>
        <v>867</v>
      </c>
      <c r="C874" s="83" t="s">
        <v>882</v>
      </c>
      <c r="D874" s="84">
        <v>0</v>
      </c>
      <c r="E874" s="85" t="str">
        <f t="shared" si="93"/>
        <v/>
      </c>
      <c r="F874" s="106" t="str">
        <f t="shared" si="99"/>
        <v/>
      </c>
      <c r="G874" s="86"/>
      <c r="H874" s="107">
        <f t="shared" si="94"/>
        <v>0</v>
      </c>
      <c r="I874" s="107">
        <f t="shared" si="95"/>
        <v>0</v>
      </c>
      <c r="J874" s="87">
        <f>IF($D874&gt;0,IFERROR(Параметры!$D$42*$H874/$H$2408,0),0)</f>
        <v>0</v>
      </c>
      <c r="K874" s="87">
        <f>IFERROR(ROUND($N874*Параметры!$D$36,2),0)</f>
        <v>0</v>
      </c>
      <c r="L874" s="87">
        <f t="shared" si="96"/>
        <v>0</v>
      </c>
      <c r="M874" s="87">
        <f t="shared" si="97"/>
        <v>0</v>
      </c>
      <c r="N874" s="107" t="str">
        <f t="shared" si="98"/>
        <v/>
      </c>
    </row>
    <row r="875" spans="2:14" x14ac:dyDescent="0.25">
      <c r="B875" s="82">
        <f>SUBTOTAL(103,$D$8:D875)</f>
        <v>868</v>
      </c>
      <c r="C875" s="83" t="s">
        <v>883</v>
      </c>
      <c r="D875" s="84">
        <v>0</v>
      </c>
      <c r="E875" s="85" t="str">
        <f t="shared" si="93"/>
        <v/>
      </c>
      <c r="F875" s="106" t="str">
        <f t="shared" si="99"/>
        <v/>
      </c>
      <c r="G875" s="86"/>
      <c r="H875" s="107">
        <f t="shared" si="94"/>
        <v>0</v>
      </c>
      <c r="I875" s="107">
        <f t="shared" si="95"/>
        <v>0</v>
      </c>
      <c r="J875" s="87">
        <f>IF($D875&gt;0,IFERROR(Параметры!$D$42*$H875/$H$2408,0),0)</f>
        <v>0</v>
      </c>
      <c r="K875" s="87">
        <f>IFERROR(ROUND($N875*Параметры!$D$36,2),0)</f>
        <v>0</v>
      </c>
      <c r="L875" s="87">
        <f t="shared" si="96"/>
        <v>0</v>
      </c>
      <c r="M875" s="87">
        <f t="shared" si="97"/>
        <v>0</v>
      </c>
      <c r="N875" s="107" t="str">
        <f t="shared" si="98"/>
        <v/>
      </c>
    </row>
    <row r="876" spans="2:14" x14ac:dyDescent="0.25">
      <c r="B876" s="82">
        <f>SUBTOTAL(103,$D$8:D876)</f>
        <v>869</v>
      </c>
      <c r="C876" s="83" t="s">
        <v>884</v>
      </c>
      <c r="D876" s="84">
        <v>0</v>
      </c>
      <c r="E876" s="85" t="str">
        <f t="shared" si="93"/>
        <v/>
      </c>
      <c r="F876" s="106" t="str">
        <f t="shared" si="99"/>
        <v/>
      </c>
      <c r="G876" s="86"/>
      <c r="H876" s="107">
        <f t="shared" si="94"/>
        <v>0</v>
      </c>
      <c r="I876" s="107">
        <f t="shared" si="95"/>
        <v>0</v>
      </c>
      <c r="J876" s="87">
        <f>IF($D876&gt;0,IFERROR(Параметры!$D$42*$H876/$H$2408,0),0)</f>
        <v>0</v>
      </c>
      <c r="K876" s="87">
        <f>IFERROR(ROUND($N876*Параметры!$D$36,2),0)</f>
        <v>0</v>
      </c>
      <c r="L876" s="87">
        <f t="shared" si="96"/>
        <v>0</v>
      </c>
      <c r="M876" s="87">
        <f t="shared" si="97"/>
        <v>0</v>
      </c>
      <c r="N876" s="107" t="str">
        <f t="shared" si="98"/>
        <v/>
      </c>
    </row>
    <row r="877" spans="2:14" x14ac:dyDescent="0.25">
      <c r="B877" s="82">
        <f>SUBTOTAL(103,$D$8:D877)</f>
        <v>870</v>
      </c>
      <c r="C877" s="83" t="s">
        <v>885</v>
      </c>
      <c r="D877" s="84">
        <v>0</v>
      </c>
      <c r="E877" s="85" t="str">
        <f t="shared" si="93"/>
        <v/>
      </c>
      <c r="F877" s="106" t="str">
        <f t="shared" si="99"/>
        <v/>
      </c>
      <c r="G877" s="86"/>
      <c r="H877" s="107">
        <f t="shared" si="94"/>
        <v>0</v>
      </c>
      <c r="I877" s="107">
        <f t="shared" si="95"/>
        <v>0</v>
      </c>
      <c r="J877" s="87">
        <f>IF($D877&gt;0,IFERROR(Параметры!$D$42*$H877/$H$2408,0),0)</f>
        <v>0</v>
      </c>
      <c r="K877" s="87">
        <f>IFERROR(ROUND($N877*Параметры!$D$36,2),0)</f>
        <v>0</v>
      </c>
      <c r="L877" s="87">
        <f t="shared" si="96"/>
        <v>0</v>
      </c>
      <c r="M877" s="87">
        <f t="shared" si="97"/>
        <v>0</v>
      </c>
      <c r="N877" s="107" t="str">
        <f t="shared" si="98"/>
        <v/>
      </c>
    </row>
    <row r="878" spans="2:14" x14ac:dyDescent="0.25">
      <c r="B878" s="82">
        <f>SUBTOTAL(103,$D$8:D878)</f>
        <v>871</v>
      </c>
      <c r="C878" s="83" t="s">
        <v>886</v>
      </c>
      <c r="D878" s="84">
        <v>0</v>
      </c>
      <c r="E878" s="85" t="str">
        <f t="shared" si="93"/>
        <v/>
      </c>
      <c r="F878" s="106" t="str">
        <f t="shared" si="99"/>
        <v/>
      </c>
      <c r="G878" s="86"/>
      <c r="H878" s="107">
        <f t="shared" si="94"/>
        <v>0</v>
      </c>
      <c r="I878" s="107">
        <f t="shared" si="95"/>
        <v>0</v>
      </c>
      <c r="J878" s="87">
        <f>IF($D878&gt;0,IFERROR(Параметры!$D$42*$H878/$H$2408,0),0)</f>
        <v>0</v>
      </c>
      <c r="K878" s="87">
        <f>IFERROR(ROUND($N878*Параметры!$D$36,2),0)</f>
        <v>0</v>
      </c>
      <c r="L878" s="87">
        <f t="shared" si="96"/>
        <v>0</v>
      </c>
      <c r="M878" s="87">
        <f t="shared" si="97"/>
        <v>0</v>
      </c>
      <c r="N878" s="107" t="str">
        <f t="shared" si="98"/>
        <v/>
      </c>
    </row>
    <row r="879" spans="2:14" x14ac:dyDescent="0.25">
      <c r="B879" s="82">
        <f>SUBTOTAL(103,$D$8:D879)</f>
        <v>872</v>
      </c>
      <c r="C879" s="83" t="s">
        <v>887</v>
      </c>
      <c r="D879" s="84">
        <v>0</v>
      </c>
      <c r="E879" s="85" t="str">
        <f t="shared" si="93"/>
        <v/>
      </c>
      <c r="F879" s="106" t="str">
        <f t="shared" si="99"/>
        <v/>
      </c>
      <c r="G879" s="86"/>
      <c r="H879" s="107">
        <f t="shared" si="94"/>
        <v>0</v>
      </c>
      <c r="I879" s="107">
        <f t="shared" si="95"/>
        <v>0</v>
      </c>
      <c r="J879" s="87">
        <f>IF($D879&gt;0,IFERROR(Параметры!$D$42*$H879/$H$2408,0),0)</f>
        <v>0</v>
      </c>
      <c r="K879" s="87">
        <f>IFERROR(ROUND($N879*Параметры!$D$36,2),0)</f>
        <v>0</v>
      </c>
      <c r="L879" s="87">
        <f t="shared" si="96"/>
        <v>0</v>
      </c>
      <c r="M879" s="87">
        <f t="shared" si="97"/>
        <v>0</v>
      </c>
      <c r="N879" s="107" t="str">
        <f t="shared" si="98"/>
        <v/>
      </c>
    </row>
    <row r="880" spans="2:14" x14ac:dyDescent="0.25">
      <c r="B880" s="82">
        <f>SUBTOTAL(103,$D$8:D880)</f>
        <v>873</v>
      </c>
      <c r="C880" s="83" t="s">
        <v>888</v>
      </c>
      <c r="D880" s="84">
        <v>0</v>
      </c>
      <c r="E880" s="85" t="str">
        <f t="shared" si="93"/>
        <v/>
      </c>
      <c r="F880" s="106" t="str">
        <f t="shared" si="99"/>
        <v/>
      </c>
      <c r="G880" s="86"/>
      <c r="H880" s="107">
        <f t="shared" si="94"/>
        <v>0</v>
      </c>
      <c r="I880" s="107">
        <f t="shared" si="95"/>
        <v>0</v>
      </c>
      <c r="J880" s="87">
        <f>IF($D880&gt;0,IFERROR(Параметры!$D$42*$H880/$H$2408,0),0)</f>
        <v>0</v>
      </c>
      <c r="K880" s="87">
        <f>IFERROR(ROUND($N880*Параметры!$D$36,2),0)</f>
        <v>0</v>
      </c>
      <c r="L880" s="87">
        <f t="shared" si="96"/>
        <v>0</v>
      </c>
      <c r="M880" s="87">
        <f t="shared" si="97"/>
        <v>0</v>
      </c>
      <c r="N880" s="107" t="str">
        <f t="shared" si="98"/>
        <v/>
      </c>
    </row>
    <row r="881" spans="2:14" x14ac:dyDescent="0.25">
      <c r="B881" s="82">
        <f>SUBTOTAL(103,$D$8:D881)</f>
        <v>874</v>
      </c>
      <c r="C881" s="83" t="s">
        <v>889</v>
      </c>
      <c r="D881" s="84">
        <v>0</v>
      </c>
      <c r="E881" s="85" t="str">
        <f t="shared" si="93"/>
        <v/>
      </c>
      <c r="F881" s="106" t="str">
        <f t="shared" si="99"/>
        <v/>
      </c>
      <c r="G881" s="86"/>
      <c r="H881" s="107">
        <f t="shared" si="94"/>
        <v>0</v>
      </c>
      <c r="I881" s="107">
        <f t="shared" si="95"/>
        <v>0</v>
      </c>
      <c r="J881" s="87">
        <f>IF($D881&gt;0,IFERROR(Параметры!$D$42*$H881/$H$2408,0),0)</f>
        <v>0</v>
      </c>
      <c r="K881" s="87">
        <f>IFERROR(ROUND($N881*Параметры!$D$36,2),0)</f>
        <v>0</v>
      </c>
      <c r="L881" s="87">
        <f t="shared" si="96"/>
        <v>0</v>
      </c>
      <c r="M881" s="87">
        <f t="shared" si="97"/>
        <v>0</v>
      </c>
      <c r="N881" s="107" t="str">
        <f t="shared" si="98"/>
        <v/>
      </c>
    </row>
    <row r="882" spans="2:14" x14ac:dyDescent="0.25">
      <c r="B882" s="82">
        <f>SUBTOTAL(103,$D$8:D882)</f>
        <v>875</v>
      </c>
      <c r="C882" s="83" t="s">
        <v>890</v>
      </c>
      <c r="D882" s="84">
        <v>0</v>
      </c>
      <c r="E882" s="85" t="str">
        <f t="shared" si="93"/>
        <v/>
      </c>
      <c r="F882" s="106" t="str">
        <f t="shared" si="99"/>
        <v/>
      </c>
      <c r="G882" s="86"/>
      <c r="H882" s="107">
        <f t="shared" si="94"/>
        <v>0</v>
      </c>
      <c r="I882" s="107">
        <f t="shared" si="95"/>
        <v>0</v>
      </c>
      <c r="J882" s="87">
        <f>IF($D882&gt;0,IFERROR(Параметры!$D$42*$H882/$H$2408,0),0)</f>
        <v>0</v>
      </c>
      <c r="K882" s="87">
        <f>IFERROR(ROUND($N882*Параметры!$D$36,2),0)</f>
        <v>0</v>
      </c>
      <c r="L882" s="87">
        <f t="shared" si="96"/>
        <v>0</v>
      </c>
      <c r="M882" s="87">
        <f t="shared" si="97"/>
        <v>0</v>
      </c>
      <c r="N882" s="107" t="str">
        <f t="shared" si="98"/>
        <v/>
      </c>
    </row>
    <row r="883" spans="2:14" x14ac:dyDescent="0.25">
      <c r="B883" s="82">
        <f>SUBTOTAL(103,$D$8:D883)</f>
        <v>876</v>
      </c>
      <c r="C883" s="83" t="s">
        <v>891</v>
      </c>
      <c r="D883" s="84">
        <v>0</v>
      </c>
      <c r="E883" s="85" t="str">
        <f t="shared" si="93"/>
        <v/>
      </c>
      <c r="F883" s="106" t="str">
        <f t="shared" si="99"/>
        <v/>
      </c>
      <c r="G883" s="86"/>
      <c r="H883" s="107">
        <f t="shared" si="94"/>
        <v>0</v>
      </c>
      <c r="I883" s="107">
        <f t="shared" si="95"/>
        <v>0</v>
      </c>
      <c r="J883" s="87">
        <f>IF($D883&gt;0,IFERROR(Параметры!$D$42*$H883/$H$2408,0),0)</f>
        <v>0</v>
      </c>
      <c r="K883" s="87">
        <f>IFERROR(ROUND($N883*Параметры!$D$36,2),0)</f>
        <v>0</v>
      </c>
      <c r="L883" s="87">
        <f t="shared" si="96"/>
        <v>0</v>
      </c>
      <c r="M883" s="87">
        <f t="shared" si="97"/>
        <v>0</v>
      </c>
      <c r="N883" s="107" t="str">
        <f t="shared" si="98"/>
        <v/>
      </c>
    </row>
    <row r="884" spans="2:14" x14ac:dyDescent="0.25">
      <c r="B884" s="82">
        <f>SUBTOTAL(103,$D$8:D884)</f>
        <v>877</v>
      </c>
      <c r="C884" s="83" t="s">
        <v>892</v>
      </c>
      <c r="D884" s="84">
        <v>0</v>
      </c>
      <c r="E884" s="85" t="str">
        <f t="shared" si="93"/>
        <v/>
      </c>
      <c r="F884" s="106" t="str">
        <f t="shared" si="99"/>
        <v/>
      </c>
      <c r="G884" s="86"/>
      <c r="H884" s="107">
        <f t="shared" si="94"/>
        <v>0</v>
      </c>
      <c r="I884" s="107">
        <f t="shared" si="95"/>
        <v>0</v>
      </c>
      <c r="J884" s="87">
        <f>IF($D884&gt;0,IFERROR(Параметры!$D$42*$H884/$H$2408,0),0)</f>
        <v>0</v>
      </c>
      <c r="K884" s="87">
        <f>IFERROR(ROUND($N884*Параметры!$D$36,2),0)</f>
        <v>0</v>
      </c>
      <c r="L884" s="87">
        <f t="shared" si="96"/>
        <v>0</v>
      </c>
      <c r="M884" s="87">
        <f t="shared" si="97"/>
        <v>0</v>
      </c>
      <c r="N884" s="107" t="str">
        <f t="shared" si="98"/>
        <v/>
      </c>
    </row>
    <row r="885" spans="2:14" x14ac:dyDescent="0.25">
      <c r="B885" s="82">
        <f>SUBTOTAL(103,$D$8:D885)</f>
        <v>878</v>
      </c>
      <c r="C885" s="83" t="s">
        <v>893</v>
      </c>
      <c r="D885" s="84">
        <v>0</v>
      </c>
      <c r="E885" s="85" t="str">
        <f t="shared" si="93"/>
        <v/>
      </c>
      <c r="F885" s="106" t="str">
        <f t="shared" si="99"/>
        <v/>
      </c>
      <c r="G885" s="86"/>
      <c r="H885" s="107">
        <f t="shared" si="94"/>
        <v>0</v>
      </c>
      <c r="I885" s="107">
        <f t="shared" si="95"/>
        <v>0</v>
      </c>
      <c r="J885" s="87">
        <f>IF($D885&gt;0,IFERROR(Параметры!$D$42*$H885/$H$2408,0),0)</f>
        <v>0</v>
      </c>
      <c r="K885" s="87">
        <f>IFERROR(ROUND($N885*Параметры!$D$36,2),0)</f>
        <v>0</v>
      </c>
      <c r="L885" s="87">
        <f t="shared" si="96"/>
        <v>0</v>
      </c>
      <c r="M885" s="87">
        <f t="shared" si="97"/>
        <v>0</v>
      </c>
      <c r="N885" s="107" t="str">
        <f t="shared" si="98"/>
        <v/>
      </c>
    </row>
    <row r="886" spans="2:14" x14ac:dyDescent="0.25">
      <c r="B886" s="82">
        <f>SUBTOTAL(103,$D$8:D886)</f>
        <v>879</v>
      </c>
      <c r="C886" s="83" t="s">
        <v>894</v>
      </c>
      <c r="D886" s="84">
        <v>0</v>
      </c>
      <c r="E886" s="85" t="str">
        <f t="shared" si="93"/>
        <v/>
      </c>
      <c r="F886" s="106" t="str">
        <f t="shared" si="99"/>
        <v/>
      </c>
      <c r="G886" s="86"/>
      <c r="H886" s="107">
        <f t="shared" si="94"/>
        <v>0</v>
      </c>
      <c r="I886" s="107">
        <f t="shared" si="95"/>
        <v>0</v>
      </c>
      <c r="J886" s="87">
        <f>IF($D886&gt;0,IFERROR(Параметры!$D$42*$H886/$H$2408,0),0)</f>
        <v>0</v>
      </c>
      <c r="K886" s="87">
        <f>IFERROR(ROUND($N886*Параметры!$D$36,2),0)</f>
        <v>0</v>
      </c>
      <c r="L886" s="87">
        <f t="shared" si="96"/>
        <v>0</v>
      </c>
      <c r="M886" s="87">
        <f t="shared" si="97"/>
        <v>0</v>
      </c>
      <c r="N886" s="107" t="str">
        <f t="shared" si="98"/>
        <v/>
      </c>
    </row>
    <row r="887" spans="2:14" x14ac:dyDescent="0.25">
      <c r="B887" s="82">
        <f>SUBTOTAL(103,$D$8:D887)</f>
        <v>880</v>
      </c>
      <c r="C887" s="83" t="s">
        <v>895</v>
      </c>
      <c r="D887" s="84">
        <v>0</v>
      </c>
      <c r="E887" s="85" t="str">
        <f t="shared" si="93"/>
        <v/>
      </c>
      <c r="F887" s="106" t="str">
        <f t="shared" si="99"/>
        <v/>
      </c>
      <c r="G887" s="86"/>
      <c r="H887" s="107">
        <f t="shared" si="94"/>
        <v>0</v>
      </c>
      <c r="I887" s="107">
        <f t="shared" si="95"/>
        <v>0</v>
      </c>
      <c r="J887" s="87">
        <f>IF($D887&gt;0,IFERROR(Параметры!$D$42*$H887/$H$2408,0),0)</f>
        <v>0</v>
      </c>
      <c r="K887" s="87">
        <f>IFERROR(ROUND($N887*Параметры!$D$36,2),0)</f>
        <v>0</v>
      </c>
      <c r="L887" s="87">
        <f t="shared" si="96"/>
        <v>0</v>
      </c>
      <c r="M887" s="87">
        <f t="shared" si="97"/>
        <v>0</v>
      </c>
      <c r="N887" s="107" t="str">
        <f t="shared" si="98"/>
        <v/>
      </c>
    </row>
    <row r="888" spans="2:14" x14ac:dyDescent="0.25">
      <c r="B888" s="82">
        <f>SUBTOTAL(103,$D$8:D888)</f>
        <v>881</v>
      </c>
      <c r="C888" s="83" t="s">
        <v>896</v>
      </c>
      <c r="D888" s="84">
        <v>0</v>
      </c>
      <c r="E888" s="85" t="str">
        <f t="shared" si="93"/>
        <v/>
      </c>
      <c r="F888" s="106" t="str">
        <f t="shared" si="99"/>
        <v/>
      </c>
      <c r="G888" s="86"/>
      <c r="H888" s="107">
        <f t="shared" si="94"/>
        <v>0</v>
      </c>
      <c r="I888" s="107">
        <f t="shared" si="95"/>
        <v>0</v>
      </c>
      <c r="J888" s="87">
        <f>IF($D888&gt;0,IFERROR(Параметры!$D$42*$H888/$H$2408,0),0)</f>
        <v>0</v>
      </c>
      <c r="K888" s="87">
        <f>IFERROR(ROUND($N888*Параметры!$D$36,2),0)</f>
        <v>0</v>
      </c>
      <c r="L888" s="87">
        <f t="shared" si="96"/>
        <v>0</v>
      </c>
      <c r="M888" s="87">
        <f t="shared" si="97"/>
        <v>0</v>
      </c>
      <c r="N888" s="107" t="str">
        <f t="shared" si="98"/>
        <v/>
      </c>
    </row>
    <row r="889" spans="2:14" x14ac:dyDescent="0.25">
      <c r="B889" s="82">
        <f>SUBTOTAL(103,$D$8:D889)</f>
        <v>882</v>
      </c>
      <c r="C889" s="83" t="s">
        <v>897</v>
      </c>
      <c r="D889" s="84">
        <v>0</v>
      </c>
      <c r="E889" s="85" t="str">
        <f t="shared" si="93"/>
        <v/>
      </c>
      <c r="F889" s="106" t="str">
        <f t="shared" si="99"/>
        <v/>
      </c>
      <c r="G889" s="86"/>
      <c r="H889" s="107">
        <f t="shared" si="94"/>
        <v>0</v>
      </c>
      <c r="I889" s="107">
        <f t="shared" si="95"/>
        <v>0</v>
      </c>
      <c r="J889" s="87">
        <f>IF($D889&gt;0,IFERROR(Параметры!$D$42*$H889/$H$2408,0),0)</f>
        <v>0</v>
      </c>
      <c r="K889" s="87">
        <f>IFERROR(ROUND($N889*Параметры!$D$36,2),0)</f>
        <v>0</v>
      </c>
      <c r="L889" s="87">
        <f t="shared" si="96"/>
        <v>0</v>
      </c>
      <c r="M889" s="87">
        <f t="shared" si="97"/>
        <v>0</v>
      </c>
      <c r="N889" s="107" t="str">
        <f t="shared" si="98"/>
        <v/>
      </c>
    </row>
    <row r="890" spans="2:14" x14ac:dyDescent="0.25">
      <c r="B890" s="82">
        <f>SUBTOTAL(103,$D$8:D890)</f>
        <v>883</v>
      </c>
      <c r="C890" s="83" t="s">
        <v>898</v>
      </c>
      <c r="D890" s="84">
        <v>0</v>
      </c>
      <c r="E890" s="85" t="str">
        <f t="shared" si="93"/>
        <v/>
      </c>
      <c r="F890" s="106" t="str">
        <f t="shared" si="99"/>
        <v/>
      </c>
      <c r="G890" s="86"/>
      <c r="H890" s="107">
        <f t="shared" si="94"/>
        <v>0</v>
      </c>
      <c r="I890" s="107">
        <f t="shared" si="95"/>
        <v>0</v>
      </c>
      <c r="J890" s="87">
        <f>IF($D890&gt;0,IFERROR(Параметры!$D$42*$H890/$H$2408,0),0)</f>
        <v>0</v>
      </c>
      <c r="K890" s="87">
        <f>IFERROR(ROUND($N890*Параметры!$D$36,2),0)</f>
        <v>0</v>
      </c>
      <c r="L890" s="87">
        <f t="shared" si="96"/>
        <v>0</v>
      </c>
      <c r="M890" s="87">
        <f t="shared" si="97"/>
        <v>0</v>
      </c>
      <c r="N890" s="107" t="str">
        <f t="shared" si="98"/>
        <v/>
      </c>
    </row>
    <row r="891" spans="2:14" x14ac:dyDescent="0.25">
      <c r="B891" s="82">
        <f>SUBTOTAL(103,$D$8:D891)</f>
        <v>884</v>
      </c>
      <c r="C891" s="83" t="s">
        <v>899</v>
      </c>
      <c r="D891" s="84">
        <v>0</v>
      </c>
      <c r="E891" s="85" t="str">
        <f t="shared" si="93"/>
        <v/>
      </c>
      <c r="F891" s="106" t="str">
        <f t="shared" si="99"/>
        <v/>
      </c>
      <c r="G891" s="86"/>
      <c r="H891" s="107">
        <f t="shared" si="94"/>
        <v>0</v>
      </c>
      <c r="I891" s="107">
        <f t="shared" si="95"/>
        <v>0</v>
      </c>
      <c r="J891" s="87">
        <f>IF($D891&gt;0,IFERROR(Параметры!$D$42*$H891/$H$2408,0),0)</f>
        <v>0</v>
      </c>
      <c r="K891" s="87">
        <f>IFERROR(ROUND($N891*Параметры!$D$36,2),0)</f>
        <v>0</v>
      </c>
      <c r="L891" s="87">
        <f t="shared" si="96"/>
        <v>0</v>
      </c>
      <c r="M891" s="87">
        <f t="shared" si="97"/>
        <v>0</v>
      </c>
      <c r="N891" s="107" t="str">
        <f t="shared" si="98"/>
        <v/>
      </c>
    </row>
    <row r="892" spans="2:14" x14ac:dyDescent="0.25">
      <c r="B892" s="82">
        <f>SUBTOTAL(103,$D$8:D892)</f>
        <v>885</v>
      </c>
      <c r="C892" s="83" t="s">
        <v>900</v>
      </c>
      <c r="D892" s="84">
        <v>0</v>
      </c>
      <c r="E892" s="85" t="str">
        <f t="shared" si="93"/>
        <v/>
      </c>
      <c r="F892" s="106" t="str">
        <f t="shared" si="99"/>
        <v/>
      </c>
      <c r="G892" s="86"/>
      <c r="H892" s="107">
        <f t="shared" si="94"/>
        <v>0</v>
      </c>
      <c r="I892" s="107">
        <f t="shared" si="95"/>
        <v>0</v>
      </c>
      <c r="J892" s="87">
        <f>IF($D892&gt;0,IFERROR(Параметры!$D$42*$H892/$H$2408,0),0)</f>
        <v>0</v>
      </c>
      <c r="K892" s="87">
        <f>IFERROR(ROUND($N892*Параметры!$D$36,2),0)</f>
        <v>0</v>
      </c>
      <c r="L892" s="87">
        <f t="shared" si="96"/>
        <v>0</v>
      </c>
      <c r="M892" s="87">
        <f t="shared" si="97"/>
        <v>0</v>
      </c>
      <c r="N892" s="107" t="str">
        <f t="shared" si="98"/>
        <v/>
      </c>
    </row>
    <row r="893" spans="2:14" x14ac:dyDescent="0.25">
      <c r="B893" s="82">
        <f>SUBTOTAL(103,$D$8:D893)</f>
        <v>886</v>
      </c>
      <c r="C893" s="83" t="s">
        <v>901</v>
      </c>
      <c r="D893" s="84">
        <v>0</v>
      </c>
      <c r="E893" s="85" t="str">
        <f t="shared" si="93"/>
        <v/>
      </c>
      <c r="F893" s="106" t="str">
        <f t="shared" si="99"/>
        <v/>
      </c>
      <c r="G893" s="86"/>
      <c r="H893" s="107">
        <f t="shared" si="94"/>
        <v>0</v>
      </c>
      <c r="I893" s="107">
        <f t="shared" si="95"/>
        <v>0</v>
      </c>
      <c r="J893" s="87">
        <f>IF($D893&gt;0,IFERROR(Параметры!$D$42*$H893/$H$2408,0),0)</f>
        <v>0</v>
      </c>
      <c r="K893" s="87">
        <f>IFERROR(ROUND($N893*Параметры!$D$36,2),0)</f>
        <v>0</v>
      </c>
      <c r="L893" s="87">
        <f t="shared" si="96"/>
        <v>0</v>
      </c>
      <c r="M893" s="87">
        <f t="shared" si="97"/>
        <v>0</v>
      </c>
      <c r="N893" s="107" t="str">
        <f t="shared" si="98"/>
        <v/>
      </c>
    </row>
    <row r="894" spans="2:14" x14ac:dyDescent="0.25">
      <c r="B894" s="82">
        <f>SUBTOTAL(103,$D$8:D894)</f>
        <v>887</v>
      </c>
      <c r="C894" s="83" t="s">
        <v>902</v>
      </c>
      <c r="D894" s="84">
        <v>0</v>
      </c>
      <c r="E894" s="85" t="str">
        <f t="shared" si="93"/>
        <v/>
      </c>
      <c r="F894" s="106" t="str">
        <f t="shared" si="99"/>
        <v/>
      </c>
      <c r="G894" s="86"/>
      <c r="H894" s="107">
        <f t="shared" si="94"/>
        <v>0</v>
      </c>
      <c r="I894" s="107">
        <f t="shared" si="95"/>
        <v>0</v>
      </c>
      <c r="J894" s="87">
        <f>IF($D894&gt;0,IFERROR(Параметры!$D$42*$H894/$H$2408,0),0)</f>
        <v>0</v>
      </c>
      <c r="K894" s="87">
        <f>IFERROR(ROUND($N894*Параметры!$D$36,2),0)</f>
        <v>0</v>
      </c>
      <c r="L894" s="87">
        <f t="shared" si="96"/>
        <v>0</v>
      </c>
      <c r="M894" s="87">
        <f t="shared" si="97"/>
        <v>0</v>
      </c>
      <c r="N894" s="107" t="str">
        <f t="shared" si="98"/>
        <v/>
      </c>
    </row>
    <row r="895" spans="2:14" x14ac:dyDescent="0.25">
      <c r="B895" s="82">
        <f>SUBTOTAL(103,$D$8:D895)</f>
        <v>888</v>
      </c>
      <c r="C895" s="83" t="s">
        <v>903</v>
      </c>
      <c r="D895" s="84">
        <v>0</v>
      </c>
      <c r="E895" s="85" t="str">
        <f t="shared" si="93"/>
        <v/>
      </c>
      <c r="F895" s="106" t="str">
        <f t="shared" si="99"/>
        <v/>
      </c>
      <c r="G895" s="86"/>
      <c r="H895" s="107">
        <f t="shared" si="94"/>
        <v>0</v>
      </c>
      <c r="I895" s="107">
        <f t="shared" si="95"/>
        <v>0</v>
      </c>
      <c r="J895" s="87">
        <f>IF($D895&gt;0,IFERROR(Параметры!$D$42*$H895/$H$2408,0),0)</f>
        <v>0</v>
      </c>
      <c r="K895" s="87">
        <f>IFERROR(ROUND($N895*Параметры!$D$36,2),0)</f>
        <v>0</v>
      </c>
      <c r="L895" s="87">
        <f t="shared" si="96"/>
        <v>0</v>
      </c>
      <c r="M895" s="87">
        <f t="shared" si="97"/>
        <v>0</v>
      </c>
      <c r="N895" s="107" t="str">
        <f t="shared" si="98"/>
        <v/>
      </c>
    </row>
    <row r="896" spans="2:14" x14ac:dyDescent="0.25">
      <c r="B896" s="82">
        <f>SUBTOTAL(103,$D$8:D896)</f>
        <v>889</v>
      </c>
      <c r="C896" s="83" t="s">
        <v>904</v>
      </c>
      <c r="D896" s="84">
        <v>0</v>
      </c>
      <c r="E896" s="85" t="str">
        <f t="shared" si="93"/>
        <v/>
      </c>
      <c r="F896" s="106" t="str">
        <f t="shared" si="99"/>
        <v/>
      </c>
      <c r="G896" s="86"/>
      <c r="H896" s="107">
        <f t="shared" si="94"/>
        <v>0</v>
      </c>
      <c r="I896" s="107">
        <f t="shared" si="95"/>
        <v>0</v>
      </c>
      <c r="J896" s="87">
        <f>IF($D896&gt;0,IFERROR(Параметры!$D$42*$H896/$H$2408,0),0)</f>
        <v>0</v>
      </c>
      <c r="K896" s="87">
        <f>IFERROR(ROUND($N896*Параметры!$D$36,2),0)</f>
        <v>0</v>
      </c>
      <c r="L896" s="87">
        <f t="shared" si="96"/>
        <v>0</v>
      </c>
      <c r="M896" s="87">
        <f t="shared" si="97"/>
        <v>0</v>
      </c>
      <c r="N896" s="107" t="str">
        <f t="shared" si="98"/>
        <v/>
      </c>
    </row>
    <row r="897" spans="2:14" x14ac:dyDescent="0.25">
      <c r="B897" s="82">
        <f>SUBTOTAL(103,$D$8:D897)</f>
        <v>890</v>
      </c>
      <c r="C897" s="83" t="s">
        <v>905</v>
      </c>
      <c r="D897" s="84">
        <v>0</v>
      </c>
      <c r="E897" s="85" t="str">
        <f t="shared" si="93"/>
        <v/>
      </c>
      <c r="F897" s="106" t="str">
        <f t="shared" si="99"/>
        <v/>
      </c>
      <c r="G897" s="86"/>
      <c r="H897" s="107">
        <f t="shared" si="94"/>
        <v>0</v>
      </c>
      <c r="I897" s="107">
        <f t="shared" si="95"/>
        <v>0</v>
      </c>
      <c r="J897" s="87">
        <f>IF($D897&gt;0,IFERROR(Параметры!$D$42*$H897/$H$2408,0),0)</f>
        <v>0</v>
      </c>
      <c r="K897" s="87">
        <f>IFERROR(ROUND($N897*Параметры!$D$36,2),0)</f>
        <v>0</v>
      </c>
      <c r="L897" s="87">
        <f t="shared" si="96"/>
        <v>0</v>
      </c>
      <c r="M897" s="87">
        <f t="shared" si="97"/>
        <v>0</v>
      </c>
      <c r="N897" s="107" t="str">
        <f t="shared" si="98"/>
        <v/>
      </c>
    </row>
    <row r="898" spans="2:14" x14ac:dyDescent="0.25">
      <c r="B898" s="82">
        <f>SUBTOTAL(103,$D$8:D898)</f>
        <v>891</v>
      </c>
      <c r="C898" s="83" t="s">
        <v>906</v>
      </c>
      <c r="D898" s="84">
        <v>0</v>
      </c>
      <c r="E898" s="85" t="str">
        <f t="shared" si="93"/>
        <v/>
      </c>
      <c r="F898" s="106" t="str">
        <f t="shared" si="99"/>
        <v/>
      </c>
      <c r="G898" s="86"/>
      <c r="H898" s="107">
        <f t="shared" si="94"/>
        <v>0</v>
      </c>
      <c r="I898" s="107">
        <f t="shared" si="95"/>
        <v>0</v>
      </c>
      <c r="J898" s="87">
        <f>IF($D898&gt;0,IFERROR(Параметры!$D$42*$H898/$H$2408,0),0)</f>
        <v>0</v>
      </c>
      <c r="K898" s="87">
        <f>IFERROR(ROUND($N898*Параметры!$D$36,2),0)</f>
        <v>0</v>
      </c>
      <c r="L898" s="87">
        <f t="shared" si="96"/>
        <v>0</v>
      </c>
      <c r="M898" s="87">
        <f t="shared" si="97"/>
        <v>0</v>
      </c>
      <c r="N898" s="107" t="str">
        <f t="shared" si="98"/>
        <v/>
      </c>
    </row>
    <row r="899" spans="2:14" x14ac:dyDescent="0.25">
      <c r="B899" s="82">
        <f>SUBTOTAL(103,$D$8:D899)</f>
        <v>892</v>
      </c>
      <c r="C899" s="83" t="s">
        <v>907</v>
      </c>
      <c r="D899" s="84">
        <v>0</v>
      </c>
      <c r="E899" s="85" t="str">
        <f t="shared" si="93"/>
        <v/>
      </c>
      <c r="F899" s="106" t="str">
        <f t="shared" si="99"/>
        <v/>
      </c>
      <c r="G899" s="86"/>
      <c r="H899" s="107">
        <f t="shared" si="94"/>
        <v>0</v>
      </c>
      <c r="I899" s="107">
        <f t="shared" si="95"/>
        <v>0</v>
      </c>
      <c r="J899" s="87">
        <f>IF($D899&gt;0,IFERROR(Параметры!$D$42*$H899/$H$2408,0),0)</f>
        <v>0</v>
      </c>
      <c r="K899" s="87">
        <f>IFERROR(ROUND($N899*Параметры!$D$36,2),0)</f>
        <v>0</v>
      </c>
      <c r="L899" s="87">
        <f t="shared" si="96"/>
        <v>0</v>
      </c>
      <c r="M899" s="87">
        <f t="shared" si="97"/>
        <v>0</v>
      </c>
      <c r="N899" s="107" t="str">
        <f t="shared" si="98"/>
        <v/>
      </c>
    </row>
    <row r="900" spans="2:14" x14ac:dyDescent="0.25">
      <c r="B900" s="82">
        <f>SUBTOTAL(103,$D$8:D900)</f>
        <v>893</v>
      </c>
      <c r="C900" s="83" t="s">
        <v>908</v>
      </c>
      <c r="D900" s="84">
        <v>0</v>
      </c>
      <c r="E900" s="85" t="str">
        <f t="shared" si="93"/>
        <v/>
      </c>
      <c r="F900" s="106" t="str">
        <f t="shared" si="99"/>
        <v/>
      </c>
      <c r="G900" s="86"/>
      <c r="H900" s="107">
        <f t="shared" si="94"/>
        <v>0</v>
      </c>
      <c r="I900" s="107">
        <f t="shared" si="95"/>
        <v>0</v>
      </c>
      <c r="J900" s="87">
        <f>IF($D900&gt;0,IFERROR(Параметры!$D$42*$H900/$H$2408,0),0)</f>
        <v>0</v>
      </c>
      <c r="K900" s="87">
        <f>IFERROR(ROUND($N900*Параметры!$D$36,2),0)</f>
        <v>0</v>
      </c>
      <c r="L900" s="87">
        <f t="shared" si="96"/>
        <v>0</v>
      </c>
      <c r="M900" s="87">
        <f t="shared" si="97"/>
        <v>0</v>
      </c>
      <c r="N900" s="107" t="str">
        <f t="shared" si="98"/>
        <v/>
      </c>
    </row>
    <row r="901" spans="2:14" x14ac:dyDescent="0.25">
      <c r="B901" s="82">
        <f>SUBTOTAL(103,$D$8:D901)</f>
        <v>894</v>
      </c>
      <c r="C901" s="83" t="s">
        <v>909</v>
      </c>
      <c r="D901" s="84">
        <v>0</v>
      </c>
      <c r="E901" s="85" t="str">
        <f t="shared" si="93"/>
        <v/>
      </c>
      <c r="F901" s="106" t="str">
        <f t="shared" si="99"/>
        <v/>
      </c>
      <c r="G901" s="86"/>
      <c r="H901" s="107">
        <f t="shared" si="94"/>
        <v>0</v>
      </c>
      <c r="I901" s="107">
        <f t="shared" si="95"/>
        <v>0</v>
      </c>
      <c r="J901" s="87">
        <f>IF($D901&gt;0,IFERROR(Параметры!$D$42*$H901/$H$2408,0),0)</f>
        <v>0</v>
      </c>
      <c r="K901" s="87">
        <f>IFERROR(ROUND($N901*Параметры!$D$36,2),0)</f>
        <v>0</v>
      </c>
      <c r="L901" s="87">
        <f t="shared" si="96"/>
        <v>0</v>
      </c>
      <c r="M901" s="87">
        <f t="shared" si="97"/>
        <v>0</v>
      </c>
      <c r="N901" s="107" t="str">
        <f t="shared" si="98"/>
        <v/>
      </c>
    </row>
    <row r="902" spans="2:14" x14ac:dyDescent="0.25">
      <c r="B902" s="82">
        <f>SUBTOTAL(103,$D$8:D902)</f>
        <v>895</v>
      </c>
      <c r="C902" s="83" t="s">
        <v>910</v>
      </c>
      <c r="D902" s="84">
        <v>0</v>
      </c>
      <c r="E902" s="85" t="str">
        <f t="shared" si="93"/>
        <v/>
      </c>
      <c r="F902" s="106" t="str">
        <f t="shared" si="99"/>
        <v/>
      </c>
      <c r="G902" s="86"/>
      <c r="H902" s="107">
        <f t="shared" si="94"/>
        <v>0</v>
      </c>
      <c r="I902" s="107">
        <f t="shared" si="95"/>
        <v>0</v>
      </c>
      <c r="J902" s="87">
        <f>IF($D902&gt;0,IFERROR(Параметры!$D$42*$H902/$H$2408,0),0)</f>
        <v>0</v>
      </c>
      <c r="K902" s="87">
        <f>IFERROR(ROUND($N902*Параметры!$D$36,2),0)</f>
        <v>0</v>
      </c>
      <c r="L902" s="87">
        <f t="shared" si="96"/>
        <v>0</v>
      </c>
      <c r="M902" s="87">
        <f t="shared" si="97"/>
        <v>0</v>
      </c>
      <c r="N902" s="107" t="str">
        <f t="shared" si="98"/>
        <v/>
      </c>
    </row>
    <row r="903" spans="2:14" x14ac:dyDescent="0.25">
      <c r="B903" s="82">
        <f>SUBTOTAL(103,$D$8:D903)</f>
        <v>896</v>
      </c>
      <c r="C903" s="83" t="s">
        <v>911</v>
      </c>
      <c r="D903" s="84">
        <v>0</v>
      </c>
      <c r="E903" s="85" t="str">
        <f t="shared" si="93"/>
        <v/>
      </c>
      <c r="F903" s="106" t="str">
        <f t="shared" si="99"/>
        <v/>
      </c>
      <c r="G903" s="86"/>
      <c r="H903" s="107">
        <f t="shared" si="94"/>
        <v>0</v>
      </c>
      <c r="I903" s="107">
        <f t="shared" si="95"/>
        <v>0</v>
      </c>
      <c r="J903" s="87">
        <f>IF($D903&gt;0,IFERROR(Параметры!$D$42*$H903/$H$2408,0),0)</f>
        <v>0</v>
      </c>
      <c r="K903" s="87">
        <f>IFERROR(ROUND($N903*Параметры!$D$36,2),0)</f>
        <v>0</v>
      </c>
      <c r="L903" s="87">
        <f t="shared" si="96"/>
        <v>0</v>
      </c>
      <c r="M903" s="87">
        <f t="shared" si="97"/>
        <v>0</v>
      </c>
      <c r="N903" s="107" t="str">
        <f t="shared" si="98"/>
        <v/>
      </c>
    </row>
    <row r="904" spans="2:14" x14ac:dyDescent="0.25">
      <c r="B904" s="82">
        <f>SUBTOTAL(103,$D$8:D904)</f>
        <v>897</v>
      </c>
      <c r="C904" s="83" t="s">
        <v>912</v>
      </c>
      <c r="D904" s="84">
        <v>0</v>
      </c>
      <c r="E904" s="85" t="str">
        <f t="shared" ref="E904:E967" si="100">IF($D904&lt;1,"",$K904+$L904)</f>
        <v/>
      </c>
      <c r="F904" s="106" t="str">
        <f t="shared" si="99"/>
        <v/>
      </c>
      <c r="G904" s="86"/>
      <c r="H904" s="107">
        <f t="shared" ref="H904:H967" si="101">IF($D904&gt;0,$D904*КИС,0)</f>
        <v>0</v>
      </c>
      <c r="I904" s="107">
        <f t="shared" ref="I904:I967" si="102">IF($D904&gt;0,$D904-$H904,0)</f>
        <v>0</v>
      </c>
      <c r="J904" s="87">
        <f>IF($D904&gt;0,IFERROR(Параметры!$D$42*$H904/$H$2408,0),0)</f>
        <v>0</v>
      </c>
      <c r="K904" s="87">
        <f>IFERROR(ROUND($N904*Параметры!$D$36,2),0)</f>
        <v>0</v>
      </c>
      <c r="L904" s="87">
        <f t="shared" ref="L904:L967" si="103">IF($K904&gt;0,$K904*0.055,0)</f>
        <v>0</v>
      </c>
      <c r="M904" s="87">
        <f t="shared" ref="M904:M967" si="104">IFERROR($L904/Плотность_ДТ,0)</f>
        <v>0</v>
      </c>
      <c r="N904" s="107" t="str">
        <f t="shared" ref="N904:N967" si="105">IF($D904&gt;0,MAX(0,$D904-IF($F904="",0,$F904)),"")</f>
        <v/>
      </c>
    </row>
    <row r="905" spans="2:14" x14ac:dyDescent="0.25">
      <c r="B905" s="82">
        <f>SUBTOTAL(103,$D$8:D905)</f>
        <v>898</v>
      </c>
      <c r="C905" s="83" t="s">
        <v>913</v>
      </c>
      <c r="D905" s="84">
        <v>0</v>
      </c>
      <c r="E905" s="85" t="str">
        <f t="shared" si="100"/>
        <v/>
      </c>
      <c r="F905" s="106" t="str">
        <f t="shared" si="99"/>
        <v/>
      </c>
      <c r="G905" s="86"/>
      <c r="H905" s="107">
        <f t="shared" si="101"/>
        <v>0</v>
      </c>
      <c r="I905" s="107">
        <f t="shared" si="102"/>
        <v>0</v>
      </c>
      <c r="J905" s="87">
        <f>IF($D905&gt;0,IFERROR(Параметры!$D$42*$H905/$H$2408,0),0)</f>
        <v>0</v>
      </c>
      <c r="K905" s="87">
        <f>IFERROR(ROUND($N905*Параметры!$D$36,2),0)</f>
        <v>0</v>
      </c>
      <c r="L905" s="87">
        <f t="shared" si="103"/>
        <v>0</v>
      </c>
      <c r="M905" s="87">
        <f t="shared" si="104"/>
        <v>0</v>
      </c>
      <c r="N905" s="107" t="str">
        <f t="shared" si="105"/>
        <v/>
      </c>
    </row>
    <row r="906" spans="2:14" x14ac:dyDescent="0.25">
      <c r="B906" s="82">
        <f>SUBTOTAL(103,$D$8:D906)</f>
        <v>899</v>
      </c>
      <c r="C906" s="83" t="s">
        <v>914</v>
      </c>
      <c r="D906" s="84">
        <v>0</v>
      </c>
      <c r="E906" s="85" t="str">
        <f t="shared" si="100"/>
        <v/>
      </c>
      <c r="F906" s="106" t="str">
        <f t="shared" si="99"/>
        <v/>
      </c>
      <c r="G906" s="86"/>
      <c r="H906" s="107">
        <f t="shared" si="101"/>
        <v>0</v>
      </c>
      <c r="I906" s="107">
        <f t="shared" si="102"/>
        <v>0</v>
      </c>
      <c r="J906" s="87">
        <f>IF($D906&gt;0,IFERROR(Параметры!$D$42*$H906/$H$2408,0),0)</f>
        <v>0</v>
      </c>
      <c r="K906" s="87">
        <f>IFERROR(ROUND($N906*Параметры!$D$36,2),0)</f>
        <v>0</v>
      </c>
      <c r="L906" s="87">
        <f t="shared" si="103"/>
        <v>0</v>
      </c>
      <c r="M906" s="87">
        <f t="shared" si="104"/>
        <v>0</v>
      </c>
      <c r="N906" s="107" t="str">
        <f t="shared" si="105"/>
        <v/>
      </c>
    </row>
    <row r="907" spans="2:14" x14ac:dyDescent="0.25">
      <c r="B907" s="82">
        <f>SUBTOTAL(103,$D$8:D907)</f>
        <v>900</v>
      </c>
      <c r="C907" s="83" t="s">
        <v>915</v>
      </c>
      <c r="D907" s="84">
        <v>0</v>
      </c>
      <c r="E907" s="85" t="str">
        <f t="shared" si="100"/>
        <v/>
      </c>
      <c r="F907" s="106" t="str">
        <f t="shared" ref="F907:F970" si="106">IF(D907&gt;0,2,"")</f>
        <v/>
      </c>
      <c r="G907" s="86"/>
      <c r="H907" s="107">
        <f t="shared" si="101"/>
        <v>0</v>
      </c>
      <c r="I907" s="107">
        <f t="shared" si="102"/>
        <v>0</v>
      </c>
      <c r="J907" s="87">
        <f>IF($D907&gt;0,IFERROR(Параметры!$D$42*$H907/$H$2408,0),0)</f>
        <v>0</v>
      </c>
      <c r="K907" s="87">
        <f>IFERROR(ROUND($N907*Параметры!$D$36,2),0)</f>
        <v>0</v>
      </c>
      <c r="L907" s="87">
        <f t="shared" si="103"/>
        <v>0</v>
      </c>
      <c r="M907" s="87">
        <f t="shared" si="104"/>
        <v>0</v>
      </c>
      <c r="N907" s="107" t="str">
        <f t="shared" si="105"/>
        <v/>
      </c>
    </row>
    <row r="908" spans="2:14" x14ac:dyDescent="0.25">
      <c r="B908" s="82">
        <f>SUBTOTAL(103,$D$8:D908)</f>
        <v>901</v>
      </c>
      <c r="C908" s="83" t="s">
        <v>916</v>
      </c>
      <c r="D908" s="84">
        <f t="array" ref="D908:D967">TRANSPOSE('Зарядная карта'!$C$20:$BJ$20)</f>
        <v>4</v>
      </c>
      <c r="E908" s="85">
        <f t="shared" si="100"/>
        <v>62.814700000000002</v>
      </c>
      <c r="F908" s="106">
        <f t="shared" si="106"/>
        <v>2</v>
      </c>
      <c r="G908" s="86"/>
      <c r="H908" s="107">
        <f t="shared" si="101"/>
        <v>3.44</v>
      </c>
      <c r="I908" s="107">
        <f t="shared" si="102"/>
        <v>0.56000000000000005</v>
      </c>
      <c r="J908" s="87">
        <f>IF($D908&gt;0,IFERROR(Параметры!$D$42*$H908/$H$2408,0),0)</f>
        <v>60.103959390862947</v>
      </c>
      <c r="K908" s="87">
        <f>IFERROR(ROUND($N908*Параметры!$D$36,2),0)</f>
        <v>59.54</v>
      </c>
      <c r="L908" s="87">
        <f t="shared" si="103"/>
        <v>3.2747000000000002</v>
      </c>
      <c r="M908" s="87">
        <f t="shared" si="104"/>
        <v>3.8420790191534921</v>
      </c>
      <c r="N908" s="107">
        <f t="shared" si="105"/>
        <v>2</v>
      </c>
    </row>
    <row r="909" spans="2:14" x14ac:dyDescent="0.25">
      <c r="B909" s="82">
        <f>SUBTOTAL(103,$D$8:D909)</f>
        <v>902</v>
      </c>
      <c r="C909" s="83" t="s">
        <v>917</v>
      </c>
      <c r="D909" s="84">
        <v>8</v>
      </c>
      <c r="E909" s="85">
        <f t="shared" si="100"/>
        <v>188.44409999999999</v>
      </c>
      <c r="F909" s="106">
        <f t="shared" si="106"/>
        <v>2</v>
      </c>
      <c r="G909" s="86"/>
      <c r="H909" s="107">
        <f t="shared" si="101"/>
        <v>6.88</v>
      </c>
      <c r="I909" s="107">
        <f t="shared" si="102"/>
        <v>1.1200000000000001</v>
      </c>
      <c r="J909" s="87">
        <f>IF($D909&gt;0,IFERROR(Параметры!$D$42*$H909/$H$2408,0),0)</f>
        <v>120.20791878172589</v>
      </c>
      <c r="K909" s="87">
        <f>IFERROR(ROUND($N909*Параметры!$D$36,2),0)</f>
        <v>178.62</v>
      </c>
      <c r="L909" s="87">
        <f t="shared" si="103"/>
        <v>9.8240999999999996</v>
      </c>
      <c r="M909" s="87">
        <f t="shared" si="104"/>
        <v>11.526237057460476</v>
      </c>
      <c r="N909" s="107">
        <f t="shared" si="105"/>
        <v>6</v>
      </c>
    </row>
    <row r="910" spans="2:14" x14ac:dyDescent="0.25">
      <c r="B910" s="82">
        <f>SUBTOTAL(103,$D$8:D910)</f>
        <v>903</v>
      </c>
      <c r="C910" s="83" t="s">
        <v>918</v>
      </c>
      <c r="D910" s="84">
        <v>8</v>
      </c>
      <c r="E910" s="85">
        <f t="shared" si="100"/>
        <v>188.44409999999999</v>
      </c>
      <c r="F910" s="106">
        <f t="shared" si="106"/>
        <v>2</v>
      </c>
      <c r="G910" s="86"/>
      <c r="H910" s="107">
        <f t="shared" si="101"/>
        <v>6.88</v>
      </c>
      <c r="I910" s="107">
        <f t="shared" si="102"/>
        <v>1.1200000000000001</v>
      </c>
      <c r="J910" s="87">
        <f>IF($D910&gt;0,IFERROR(Параметры!$D$42*$H910/$H$2408,0),0)</f>
        <v>120.20791878172589</v>
      </c>
      <c r="K910" s="87">
        <f>IFERROR(ROUND($N910*Параметры!$D$36,2),0)</f>
        <v>178.62</v>
      </c>
      <c r="L910" s="87">
        <f t="shared" si="103"/>
        <v>9.8240999999999996</v>
      </c>
      <c r="M910" s="87">
        <f t="shared" si="104"/>
        <v>11.526237057460476</v>
      </c>
      <c r="N910" s="107">
        <f t="shared" si="105"/>
        <v>6</v>
      </c>
    </row>
    <row r="911" spans="2:14" x14ac:dyDescent="0.25">
      <c r="B911" s="82">
        <f>SUBTOTAL(103,$D$8:D911)</f>
        <v>904</v>
      </c>
      <c r="C911" s="83" t="s">
        <v>919</v>
      </c>
      <c r="D911" s="84">
        <v>8</v>
      </c>
      <c r="E911" s="85">
        <f t="shared" si="100"/>
        <v>188.44409999999999</v>
      </c>
      <c r="F911" s="106">
        <f t="shared" si="106"/>
        <v>2</v>
      </c>
      <c r="G911" s="86"/>
      <c r="H911" s="107">
        <f t="shared" si="101"/>
        <v>6.88</v>
      </c>
      <c r="I911" s="107">
        <f t="shared" si="102"/>
        <v>1.1200000000000001</v>
      </c>
      <c r="J911" s="87">
        <f>IF($D911&gt;0,IFERROR(Параметры!$D$42*$H911/$H$2408,0),0)</f>
        <v>120.20791878172589</v>
      </c>
      <c r="K911" s="87">
        <f>IFERROR(ROUND($N911*Параметры!$D$36,2),0)</f>
        <v>178.62</v>
      </c>
      <c r="L911" s="87">
        <f t="shared" si="103"/>
        <v>9.8240999999999996</v>
      </c>
      <c r="M911" s="87">
        <f t="shared" si="104"/>
        <v>11.526237057460476</v>
      </c>
      <c r="N911" s="107">
        <f t="shared" si="105"/>
        <v>6</v>
      </c>
    </row>
    <row r="912" spans="2:14" x14ac:dyDescent="0.25">
      <c r="B912" s="82">
        <f>SUBTOTAL(103,$D$8:D912)</f>
        <v>905</v>
      </c>
      <c r="C912" s="83" t="s">
        <v>920</v>
      </c>
      <c r="D912" s="84">
        <v>8</v>
      </c>
      <c r="E912" s="85">
        <f t="shared" si="100"/>
        <v>188.44409999999999</v>
      </c>
      <c r="F912" s="106">
        <f t="shared" si="106"/>
        <v>2</v>
      </c>
      <c r="G912" s="86"/>
      <c r="H912" s="107">
        <f t="shared" si="101"/>
        <v>6.88</v>
      </c>
      <c r="I912" s="107">
        <f t="shared" si="102"/>
        <v>1.1200000000000001</v>
      </c>
      <c r="J912" s="87">
        <f>IF($D912&gt;0,IFERROR(Параметры!$D$42*$H912/$H$2408,0),0)</f>
        <v>120.20791878172589</v>
      </c>
      <c r="K912" s="87">
        <f>IFERROR(ROUND($N912*Параметры!$D$36,2),0)</f>
        <v>178.62</v>
      </c>
      <c r="L912" s="87">
        <f t="shared" si="103"/>
        <v>9.8240999999999996</v>
      </c>
      <c r="M912" s="87">
        <f t="shared" si="104"/>
        <v>11.526237057460476</v>
      </c>
      <c r="N912" s="107">
        <f t="shared" si="105"/>
        <v>6</v>
      </c>
    </row>
    <row r="913" spans="2:14" x14ac:dyDescent="0.25">
      <c r="B913" s="82">
        <f>SUBTOTAL(103,$D$8:D913)</f>
        <v>906</v>
      </c>
      <c r="C913" s="83" t="s">
        <v>921</v>
      </c>
      <c r="D913" s="84">
        <v>8</v>
      </c>
      <c r="E913" s="85">
        <f t="shared" si="100"/>
        <v>188.44409999999999</v>
      </c>
      <c r="F913" s="106">
        <f t="shared" si="106"/>
        <v>2</v>
      </c>
      <c r="G913" s="86"/>
      <c r="H913" s="107">
        <f t="shared" si="101"/>
        <v>6.88</v>
      </c>
      <c r="I913" s="107">
        <f t="shared" si="102"/>
        <v>1.1200000000000001</v>
      </c>
      <c r="J913" s="87">
        <f>IF($D913&gt;0,IFERROR(Параметры!$D$42*$H913/$H$2408,0),0)</f>
        <v>120.20791878172589</v>
      </c>
      <c r="K913" s="87">
        <f>IFERROR(ROUND($N913*Параметры!$D$36,2),0)</f>
        <v>178.62</v>
      </c>
      <c r="L913" s="87">
        <f t="shared" si="103"/>
        <v>9.8240999999999996</v>
      </c>
      <c r="M913" s="87">
        <f t="shared" si="104"/>
        <v>11.526237057460476</v>
      </c>
      <c r="N913" s="107">
        <f t="shared" si="105"/>
        <v>6</v>
      </c>
    </row>
    <row r="914" spans="2:14" x14ac:dyDescent="0.25">
      <c r="B914" s="82">
        <f>SUBTOTAL(103,$D$8:D914)</f>
        <v>907</v>
      </c>
      <c r="C914" s="83" t="s">
        <v>922</v>
      </c>
      <c r="D914" s="84">
        <v>8</v>
      </c>
      <c r="E914" s="85">
        <f t="shared" si="100"/>
        <v>188.44409999999999</v>
      </c>
      <c r="F914" s="106">
        <f t="shared" si="106"/>
        <v>2</v>
      </c>
      <c r="G914" s="86"/>
      <c r="H914" s="107">
        <f t="shared" si="101"/>
        <v>6.88</v>
      </c>
      <c r="I914" s="107">
        <f t="shared" si="102"/>
        <v>1.1200000000000001</v>
      </c>
      <c r="J914" s="87">
        <f>IF($D914&gt;0,IFERROR(Параметры!$D$42*$H914/$H$2408,0),0)</f>
        <v>120.20791878172589</v>
      </c>
      <c r="K914" s="87">
        <f>IFERROR(ROUND($N914*Параметры!$D$36,2),0)</f>
        <v>178.62</v>
      </c>
      <c r="L914" s="87">
        <f t="shared" si="103"/>
        <v>9.8240999999999996</v>
      </c>
      <c r="M914" s="87">
        <f t="shared" si="104"/>
        <v>11.526237057460476</v>
      </c>
      <c r="N914" s="107">
        <f t="shared" si="105"/>
        <v>6</v>
      </c>
    </row>
    <row r="915" spans="2:14" x14ac:dyDescent="0.25">
      <c r="B915" s="82">
        <f>SUBTOTAL(103,$D$8:D915)</f>
        <v>908</v>
      </c>
      <c r="C915" s="83" t="s">
        <v>923</v>
      </c>
      <c r="D915" s="84">
        <v>8</v>
      </c>
      <c r="E915" s="85">
        <f t="shared" si="100"/>
        <v>188.44409999999999</v>
      </c>
      <c r="F915" s="106">
        <f t="shared" si="106"/>
        <v>2</v>
      </c>
      <c r="G915" s="86"/>
      <c r="H915" s="107">
        <f t="shared" si="101"/>
        <v>6.88</v>
      </c>
      <c r="I915" s="107">
        <f t="shared" si="102"/>
        <v>1.1200000000000001</v>
      </c>
      <c r="J915" s="87">
        <f>IF($D915&gt;0,IFERROR(Параметры!$D$42*$H915/$H$2408,0),0)</f>
        <v>120.20791878172589</v>
      </c>
      <c r="K915" s="87">
        <f>IFERROR(ROUND($N915*Параметры!$D$36,2),0)</f>
        <v>178.62</v>
      </c>
      <c r="L915" s="87">
        <f t="shared" si="103"/>
        <v>9.8240999999999996</v>
      </c>
      <c r="M915" s="87">
        <f t="shared" si="104"/>
        <v>11.526237057460476</v>
      </c>
      <c r="N915" s="107">
        <f t="shared" si="105"/>
        <v>6</v>
      </c>
    </row>
    <row r="916" spans="2:14" x14ac:dyDescent="0.25">
      <c r="B916" s="82">
        <f>SUBTOTAL(103,$D$8:D916)</f>
        <v>909</v>
      </c>
      <c r="C916" s="83" t="s">
        <v>924</v>
      </c>
      <c r="D916" s="84">
        <v>8</v>
      </c>
      <c r="E916" s="85">
        <f t="shared" si="100"/>
        <v>188.44409999999999</v>
      </c>
      <c r="F916" s="106">
        <f t="shared" si="106"/>
        <v>2</v>
      </c>
      <c r="G916" s="86"/>
      <c r="H916" s="107">
        <f t="shared" si="101"/>
        <v>6.88</v>
      </c>
      <c r="I916" s="107">
        <f t="shared" si="102"/>
        <v>1.1200000000000001</v>
      </c>
      <c r="J916" s="87">
        <f>IF($D916&gt;0,IFERROR(Параметры!$D$42*$H916/$H$2408,0),0)</f>
        <v>120.20791878172589</v>
      </c>
      <c r="K916" s="87">
        <f>IFERROR(ROUND($N916*Параметры!$D$36,2),0)</f>
        <v>178.62</v>
      </c>
      <c r="L916" s="87">
        <f t="shared" si="103"/>
        <v>9.8240999999999996</v>
      </c>
      <c r="M916" s="87">
        <f t="shared" si="104"/>
        <v>11.526237057460476</v>
      </c>
      <c r="N916" s="107">
        <f t="shared" si="105"/>
        <v>6</v>
      </c>
    </row>
    <row r="917" spans="2:14" x14ac:dyDescent="0.25">
      <c r="B917" s="82">
        <f>SUBTOTAL(103,$D$8:D917)</f>
        <v>910</v>
      </c>
      <c r="C917" s="83" t="s">
        <v>925</v>
      </c>
      <c r="D917" s="84">
        <v>8</v>
      </c>
      <c r="E917" s="85">
        <f t="shared" si="100"/>
        <v>188.44409999999999</v>
      </c>
      <c r="F917" s="106">
        <f t="shared" si="106"/>
        <v>2</v>
      </c>
      <c r="G917" s="86"/>
      <c r="H917" s="107">
        <f t="shared" si="101"/>
        <v>6.88</v>
      </c>
      <c r="I917" s="107">
        <f t="shared" si="102"/>
        <v>1.1200000000000001</v>
      </c>
      <c r="J917" s="87">
        <f>IF($D917&gt;0,IFERROR(Параметры!$D$42*$H917/$H$2408,0),0)</f>
        <v>120.20791878172589</v>
      </c>
      <c r="K917" s="87">
        <f>IFERROR(ROUND($N917*Параметры!$D$36,2),0)</f>
        <v>178.62</v>
      </c>
      <c r="L917" s="87">
        <f t="shared" si="103"/>
        <v>9.8240999999999996</v>
      </c>
      <c r="M917" s="87">
        <f t="shared" si="104"/>
        <v>11.526237057460476</v>
      </c>
      <c r="N917" s="107">
        <f t="shared" si="105"/>
        <v>6</v>
      </c>
    </row>
    <row r="918" spans="2:14" x14ac:dyDescent="0.25">
      <c r="B918" s="82">
        <f>SUBTOTAL(103,$D$8:D918)</f>
        <v>911</v>
      </c>
      <c r="C918" s="83" t="s">
        <v>926</v>
      </c>
      <c r="D918" s="84">
        <v>8</v>
      </c>
      <c r="E918" s="85">
        <f t="shared" si="100"/>
        <v>188.44409999999999</v>
      </c>
      <c r="F918" s="106">
        <f t="shared" si="106"/>
        <v>2</v>
      </c>
      <c r="G918" s="86"/>
      <c r="H918" s="107">
        <f t="shared" si="101"/>
        <v>6.88</v>
      </c>
      <c r="I918" s="107">
        <f t="shared" si="102"/>
        <v>1.1200000000000001</v>
      </c>
      <c r="J918" s="87">
        <f>IF($D918&gt;0,IFERROR(Параметры!$D$42*$H918/$H$2408,0),0)</f>
        <v>120.20791878172589</v>
      </c>
      <c r="K918" s="87">
        <f>IFERROR(ROUND($N918*Параметры!$D$36,2),0)</f>
        <v>178.62</v>
      </c>
      <c r="L918" s="87">
        <f t="shared" si="103"/>
        <v>9.8240999999999996</v>
      </c>
      <c r="M918" s="87">
        <f t="shared" si="104"/>
        <v>11.526237057460476</v>
      </c>
      <c r="N918" s="107">
        <f t="shared" si="105"/>
        <v>6</v>
      </c>
    </row>
    <row r="919" spans="2:14" x14ac:dyDescent="0.25">
      <c r="B919" s="82">
        <f>SUBTOTAL(103,$D$8:D919)</f>
        <v>912</v>
      </c>
      <c r="C919" s="83" t="s">
        <v>927</v>
      </c>
      <c r="D919" s="84">
        <v>4</v>
      </c>
      <c r="E919" s="85">
        <f t="shared" si="100"/>
        <v>62.814700000000002</v>
      </c>
      <c r="F919" s="106">
        <f t="shared" si="106"/>
        <v>2</v>
      </c>
      <c r="G919" s="86"/>
      <c r="H919" s="107">
        <f t="shared" si="101"/>
        <v>3.44</v>
      </c>
      <c r="I919" s="107">
        <f t="shared" si="102"/>
        <v>0.56000000000000005</v>
      </c>
      <c r="J919" s="87">
        <f>IF($D919&gt;0,IFERROR(Параметры!$D$42*$H919/$H$2408,0),0)</f>
        <v>60.103959390862947</v>
      </c>
      <c r="K919" s="87">
        <f>IFERROR(ROUND($N919*Параметры!$D$36,2),0)</f>
        <v>59.54</v>
      </c>
      <c r="L919" s="87">
        <f t="shared" si="103"/>
        <v>3.2747000000000002</v>
      </c>
      <c r="M919" s="87">
        <f t="shared" si="104"/>
        <v>3.8420790191534921</v>
      </c>
      <c r="N919" s="107">
        <f t="shared" si="105"/>
        <v>2</v>
      </c>
    </row>
    <row r="920" spans="2:14" x14ac:dyDescent="0.25">
      <c r="B920" s="82">
        <f>SUBTOTAL(103,$D$8:D920)</f>
        <v>913</v>
      </c>
      <c r="C920" s="83" t="s">
        <v>928</v>
      </c>
      <c r="D920" s="84">
        <v>0</v>
      </c>
      <c r="E920" s="85" t="str">
        <f t="shared" si="100"/>
        <v/>
      </c>
      <c r="F920" s="106" t="str">
        <f t="shared" si="106"/>
        <v/>
      </c>
      <c r="G920" s="86"/>
      <c r="H920" s="107">
        <f t="shared" si="101"/>
        <v>0</v>
      </c>
      <c r="I920" s="107">
        <f t="shared" si="102"/>
        <v>0</v>
      </c>
      <c r="J920" s="87">
        <f>IF($D920&gt;0,IFERROR(Параметры!$D$42*$H920/$H$2408,0),0)</f>
        <v>0</v>
      </c>
      <c r="K920" s="87">
        <f>IFERROR(ROUND($N920*Параметры!$D$36,2),0)</f>
        <v>0</v>
      </c>
      <c r="L920" s="87">
        <f t="shared" si="103"/>
        <v>0</v>
      </c>
      <c r="M920" s="87">
        <f t="shared" si="104"/>
        <v>0</v>
      </c>
      <c r="N920" s="107" t="str">
        <f t="shared" si="105"/>
        <v/>
      </c>
    </row>
    <row r="921" spans="2:14" x14ac:dyDescent="0.25">
      <c r="B921" s="82">
        <f>SUBTOTAL(103,$D$8:D921)</f>
        <v>914</v>
      </c>
      <c r="C921" s="83" t="s">
        <v>929</v>
      </c>
      <c r="D921" s="84">
        <v>0</v>
      </c>
      <c r="E921" s="85" t="str">
        <f t="shared" si="100"/>
        <v/>
      </c>
      <c r="F921" s="106" t="str">
        <f t="shared" si="106"/>
        <v/>
      </c>
      <c r="G921" s="86"/>
      <c r="H921" s="107">
        <f t="shared" si="101"/>
        <v>0</v>
      </c>
      <c r="I921" s="107">
        <f t="shared" si="102"/>
        <v>0</v>
      </c>
      <c r="J921" s="87">
        <f>IF($D921&gt;0,IFERROR(Параметры!$D$42*$H921/$H$2408,0),0)</f>
        <v>0</v>
      </c>
      <c r="K921" s="87">
        <f>IFERROR(ROUND($N921*Параметры!$D$36,2),0)</f>
        <v>0</v>
      </c>
      <c r="L921" s="87">
        <f t="shared" si="103"/>
        <v>0</v>
      </c>
      <c r="M921" s="87">
        <f t="shared" si="104"/>
        <v>0</v>
      </c>
      <c r="N921" s="107" t="str">
        <f t="shared" si="105"/>
        <v/>
      </c>
    </row>
    <row r="922" spans="2:14" x14ac:dyDescent="0.25">
      <c r="B922" s="82">
        <f>SUBTOTAL(103,$D$8:D922)</f>
        <v>915</v>
      </c>
      <c r="C922" s="83" t="s">
        <v>930</v>
      </c>
      <c r="D922" s="84">
        <v>0</v>
      </c>
      <c r="E922" s="85" t="str">
        <f t="shared" si="100"/>
        <v/>
      </c>
      <c r="F922" s="106" t="str">
        <f t="shared" si="106"/>
        <v/>
      </c>
      <c r="G922" s="86"/>
      <c r="H922" s="107">
        <f t="shared" si="101"/>
        <v>0</v>
      </c>
      <c r="I922" s="107">
        <f t="shared" si="102"/>
        <v>0</v>
      </c>
      <c r="J922" s="87">
        <f>IF($D922&gt;0,IFERROR(Параметры!$D$42*$H922/$H$2408,0),0)</f>
        <v>0</v>
      </c>
      <c r="K922" s="87">
        <f>IFERROR(ROUND($N922*Параметры!$D$36,2),0)</f>
        <v>0</v>
      </c>
      <c r="L922" s="87">
        <f t="shared" si="103"/>
        <v>0</v>
      </c>
      <c r="M922" s="87">
        <f t="shared" si="104"/>
        <v>0</v>
      </c>
      <c r="N922" s="107" t="str">
        <f t="shared" si="105"/>
        <v/>
      </c>
    </row>
    <row r="923" spans="2:14" x14ac:dyDescent="0.25">
      <c r="B923" s="82">
        <f>SUBTOTAL(103,$D$8:D923)</f>
        <v>916</v>
      </c>
      <c r="C923" s="83" t="s">
        <v>931</v>
      </c>
      <c r="D923" s="84">
        <v>0</v>
      </c>
      <c r="E923" s="85" t="str">
        <f t="shared" si="100"/>
        <v/>
      </c>
      <c r="F923" s="106" t="str">
        <f t="shared" si="106"/>
        <v/>
      </c>
      <c r="G923" s="86"/>
      <c r="H923" s="107">
        <f t="shared" si="101"/>
        <v>0</v>
      </c>
      <c r="I923" s="107">
        <f t="shared" si="102"/>
        <v>0</v>
      </c>
      <c r="J923" s="87">
        <f>IF($D923&gt;0,IFERROR(Параметры!$D$42*$H923/$H$2408,0),0)</f>
        <v>0</v>
      </c>
      <c r="K923" s="87">
        <f>IFERROR(ROUND($N923*Параметры!$D$36,2),0)</f>
        <v>0</v>
      </c>
      <c r="L923" s="87">
        <f t="shared" si="103"/>
        <v>0</v>
      </c>
      <c r="M923" s="87">
        <f t="shared" si="104"/>
        <v>0</v>
      </c>
      <c r="N923" s="107" t="str">
        <f t="shared" si="105"/>
        <v/>
      </c>
    </row>
    <row r="924" spans="2:14" x14ac:dyDescent="0.25">
      <c r="B924" s="82">
        <f>SUBTOTAL(103,$D$8:D924)</f>
        <v>917</v>
      </c>
      <c r="C924" s="83" t="s">
        <v>932</v>
      </c>
      <c r="D924" s="84">
        <v>0</v>
      </c>
      <c r="E924" s="85" t="str">
        <f t="shared" si="100"/>
        <v/>
      </c>
      <c r="F924" s="106" t="str">
        <f t="shared" si="106"/>
        <v/>
      </c>
      <c r="G924" s="86"/>
      <c r="H924" s="107">
        <f t="shared" si="101"/>
        <v>0</v>
      </c>
      <c r="I924" s="107">
        <f t="shared" si="102"/>
        <v>0</v>
      </c>
      <c r="J924" s="87">
        <f>IF($D924&gt;0,IFERROR(Параметры!$D$42*$H924/$H$2408,0),0)</f>
        <v>0</v>
      </c>
      <c r="K924" s="87">
        <f>IFERROR(ROUND($N924*Параметры!$D$36,2),0)</f>
        <v>0</v>
      </c>
      <c r="L924" s="87">
        <f t="shared" si="103"/>
        <v>0</v>
      </c>
      <c r="M924" s="87">
        <f t="shared" si="104"/>
        <v>0</v>
      </c>
      <c r="N924" s="107" t="str">
        <f t="shared" si="105"/>
        <v/>
      </c>
    </row>
    <row r="925" spans="2:14" x14ac:dyDescent="0.25">
      <c r="B925" s="82">
        <f>SUBTOTAL(103,$D$8:D925)</f>
        <v>918</v>
      </c>
      <c r="C925" s="83" t="s">
        <v>933</v>
      </c>
      <c r="D925" s="84">
        <v>0</v>
      </c>
      <c r="E925" s="85" t="str">
        <f t="shared" si="100"/>
        <v/>
      </c>
      <c r="F925" s="106" t="str">
        <f t="shared" si="106"/>
        <v/>
      </c>
      <c r="G925" s="86"/>
      <c r="H925" s="107">
        <f t="shared" si="101"/>
        <v>0</v>
      </c>
      <c r="I925" s="107">
        <f t="shared" si="102"/>
        <v>0</v>
      </c>
      <c r="J925" s="87">
        <f>IF($D925&gt;0,IFERROR(Параметры!$D$42*$H925/$H$2408,0),0)</f>
        <v>0</v>
      </c>
      <c r="K925" s="87">
        <f>IFERROR(ROUND($N925*Параметры!$D$36,2),0)</f>
        <v>0</v>
      </c>
      <c r="L925" s="87">
        <f t="shared" si="103"/>
        <v>0</v>
      </c>
      <c r="M925" s="87">
        <f t="shared" si="104"/>
        <v>0</v>
      </c>
      <c r="N925" s="107" t="str">
        <f t="shared" si="105"/>
        <v/>
      </c>
    </row>
    <row r="926" spans="2:14" x14ac:dyDescent="0.25">
      <c r="B926" s="82">
        <f>SUBTOTAL(103,$D$8:D926)</f>
        <v>919</v>
      </c>
      <c r="C926" s="83" t="s">
        <v>934</v>
      </c>
      <c r="D926" s="84">
        <v>0</v>
      </c>
      <c r="E926" s="85" t="str">
        <f t="shared" si="100"/>
        <v/>
      </c>
      <c r="F926" s="106" t="str">
        <f t="shared" si="106"/>
        <v/>
      </c>
      <c r="G926" s="86"/>
      <c r="H926" s="107">
        <f t="shared" si="101"/>
        <v>0</v>
      </c>
      <c r="I926" s="107">
        <f t="shared" si="102"/>
        <v>0</v>
      </c>
      <c r="J926" s="87">
        <f>IF($D926&gt;0,IFERROR(Параметры!$D$42*$H926/$H$2408,0),0)</f>
        <v>0</v>
      </c>
      <c r="K926" s="87">
        <f>IFERROR(ROUND($N926*Параметры!$D$36,2),0)</f>
        <v>0</v>
      </c>
      <c r="L926" s="87">
        <f t="shared" si="103"/>
        <v>0</v>
      </c>
      <c r="M926" s="87">
        <f t="shared" si="104"/>
        <v>0</v>
      </c>
      <c r="N926" s="107" t="str">
        <f t="shared" si="105"/>
        <v/>
      </c>
    </row>
    <row r="927" spans="2:14" x14ac:dyDescent="0.25">
      <c r="B927" s="82">
        <f>SUBTOTAL(103,$D$8:D927)</f>
        <v>920</v>
      </c>
      <c r="C927" s="83" t="s">
        <v>935</v>
      </c>
      <c r="D927" s="84">
        <v>0</v>
      </c>
      <c r="E927" s="85" t="str">
        <f t="shared" si="100"/>
        <v/>
      </c>
      <c r="F927" s="106" t="str">
        <f t="shared" si="106"/>
        <v/>
      </c>
      <c r="G927" s="86"/>
      <c r="H927" s="107">
        <f t="shared" si="101"/>
        <v>0</v>
      </c>
      <c r="I927" s="107">
        <f t="shared" si="102"/>
        <v>0</v>
      </c>
      <c r="J927" s="87">
        <f>IF($D927&gt;0,IFERROR(Параметры!$D$42*$H927/$H$2408,0),0)</f>
        <v>0</v>
      </c>
      <c r="K927" s="87">
        <f>IFERROR(ROUND($N927*Параметры!$D$36,2),0)</f>
        <v>0</v>
      </c>
      <c r="L927" s="87">
        <f t="shared" si="103"/>
        <v>0</v>
      </c>
      <c r="M927" s="87">
        <f t="shared" si="104"/>
        <v>0</v>
      </c>
      <c r="N927" s="107" t="str">
        <f t="shared" si="105"/>
        <v/>
      </c>
    </row>
    <row r="928" spans="2:14" x14ac:dyDescent="0.25">
      <c r="B928" s="82">
        <f>SUBTOTAL(103,$D$8:D928)</f>
        <v>921</v>
      </c>
      <c r="C928" s="83" t="s">
        <v>936</v>
      </c>
      <c r="D928" s="84">
        <v>0</v>
      </c>
      <c r="E928" s="85" t="str">
        <f t="shared" si="100"/>
        <v/>
      </c>
      <c r="F928" s="106" t="str">
        <f t="shared" si="106"/>
        <v/>
      </c>
      <c r="G928" s="86"/>
      <c r="H928" s="107">
        <f t="shared" si="101"/>
        <v>0</v>
      </c>
      <c r="I928" s="107">
        <f t="shared" si="102"/>
        <v>0</v>
      </c>
      <c r="J928" s="87">
        <f>IF($D928&gt;0,IFERROR(Параметры!$D$42*$H928/$H$2408,0),0)</f>
        <v>0</v>
      </c>
      <c r="K928" s="87">
        <f>IFERROR(ROUND($N928*Параметры!$D$36,2),0)</f>
        <v>0</v>
      </c>
      <c r="L928" s="87">
        <f t="shared" si="103"/>
        <v>0</v>
      </c>
      <c r="M928" s="87">
        <f t="shared" si="104"/>
        <v>0</v>
      </c>
      <c r="N928" s="107" t="str">
        <f t="shared" si="105"/>
        <v/>
      </c>
    </row>
    <row r="929" spans="2:14" x14ac:dyDescent="0.25">
      <c r="B929" s="82">
        <f>SUBTOTAL(103,$D$8:D929)</f>
        <v>922</v>
      </c>
      <c r="C929" s="83" t="s">
        <v>937</v>
      </c>
      <c r="D929" s="84">
        <v>0</v>
      </c>
      <c r="E929" s="85" t="str">
        <f t="shared" si="100"/>
        <v/>
      </c>
      <c r="F929" s="106" t="str">
        <f t="shared" si="106"/>
        <v/>
      </c>
      <c r="G929" s="86"/>
      <c r="H929" s="107">
        <f t="shared" si="101"/>
        <v>0</v>
      </c>
      <c r="I929" s="107">
        <f t="shared" si="102"/>
        <v>0</v>
      </c>
      <c r="J929" s="87">
        <f>IF($D929&gt;0,IFERROR(Параметры!$D$42*$H929/$H$2408,0),0)</f>
        <v>0</v>
      </c>
      <c r="K929" s="87">
        <f>IFERROR(ROUND($N929*Параметры!$D$36,2),0)</f>
        <v>0</v>
      </c>
      <c r="L929" s="87">
        <f t="shared" si="103"/>
        <v>0</v>
      </c>
      <c r="M929" s="87">
        <f t="shared" si="104"/>
        <v>0</v>
      </c>
      <c r="N929" s="107" t="str">
        <f t="shared" si="105"/>
        <v/>
      </c>
    </row>
    <row r="930" spans="2:14" x14ac:dyDescent="0.25">
      <c r="B930" s="82">
        <f>SUBTOTAL(103,$D$8:D930)</f>
        <v>923</v>
      </c>
      <c r="C930" s="83" t="s">
        <v>938</v>
      </c>
      <c r="D930" s="84">
        <v>0</v>
      </c>
      <c r="E930" s="85" t="str">
        <f t="shared" si="100"/>
        <v/>
      </c>
      <c r="F930" s="106" t="str">
        <f t="shared" si="106"/>
        <v/>
      </c>
      <c r="G930" s="86"/>
      <c r="H930" s="107">
        <f t="shared" si="101"/>
        <v>0</v>
      </c>
      <c r="I930" s="107">
        <f t="shared" si="102"/>
        <v>0</v>
      </c>
      <c r="J930" s="87">
        <f>IF($D930&gt;0,IFERROR(Параметры!$D$42*$H930/$H$2408,0),0)</f>
        <v>0</v>
      </c>
      <c r="K930" s="87">
        <f>IFERROR(ROUND($N930*Параметры!$D$36,2),0)</f>
        <v>0</v>
      </c>
      <c r="L930" s="87">
        <f t="shared" si="103"/>
        <v>0</v>
      </c>
      <c r="M930" s="87">
        <f t="shared" si="104"/>
        <v>0</v>
      </c>
      <c r="N930" s="107" t="str">
        <f t="shared" si="105"/>
        <v/>
      </c>
    </row>
    <row r="931" spans="2:14" x14ac:dyDescent="0.25">
      <c r="B931" s="82">
        <f>SUBTOTAL(103,$D$8:D931)</f>
        <v>924</v>
      </c>
      <c r="C931" s="83" t="s">
        <v>939</v>
      </c>
      <c r="D931" s="84">
        <v>0</v>
      </c>
      <c r="E931" s="85" t="str">
        <f t="shared" si="100"/>
        <v/>
      </c>
      <c r="F931" s="106" t="str">
        <f t="shared" si="106"/>
        <v/>
      </c>
      <c r="G931" s="86"/>
      <c r="H931" s="107">
        <f t="shared" si="101"/>
        <v>0</v>
      </c>
      <c r="I931" s="107">
        <f t="shared" si="102"/>
        <v>0</v>
      </c>
      <c r="J931" s="87">
        <f>IF($D931&gt;0,IFERROR(Параметры!$D$42*$H931/$H$2408,0),0)</f>
        <v>0</v>
      </c>
      <c r="K931" s="87">
        <f>IFERROR(ROUND($N931*Параметры!$D$36,2),0)</f>
        <v>0</v>
      </c>
      <c r="L931" s="87">
        <f t="shared" si="103"/>
        <v>0</v>
      </c>
      <c r="M931" s="87">
        <f t="shared" si="104"/>
        <v>0</v>
      </c>
      <c r="N931" s="107" t="str">
        <f t="shared" si="105"/>
        <v/>
      </c>
    </row>
    <row r="932" spans="2:14" x14ac:dyDescent="0.25">
      <c r="B932" s="82">
        <f>SUBTOTAL(103,$D$8:D932)</f>
        <v>925</v>
      </c>
      <c r="C932" s="83" t="s">
        <v>940</v>
      </c>
      <c r="D932" s="84">
        <v>0</v>
      </c>
      <c r="E932" s="85" t="str">
        <f t="shared" si="100"/>
        <v/>
      </c>
      <c r="F932" s="106" t="str">
        <f t="shared" si="106"/>
        <v/>
      </c>
      <c r="G932" s="86"/>
      <c r="H932" s="107">
        <f t="shared" si="101"/>
        <v>0</v>
      </c>
      <c r="I932" s="107">
        <f t="shared" si="102"/>
        <v>0</v>
      </c>
      <c r="J932" s="87">
        <f>IF($D932&gt;0,IFERROR(Параметры!$D$42*$H932/$H$2408,0),0)</f>
        <v>0</v>
      </c>
      <c r="K932" s="87">
        <f>IFERROR(ROUND($N932*Параметры!$D$36,2),0)</f>
        <v>0</v>
      </c>
      <c r="L932" s="87">
        <f t="shared" si="103"/>
        <v>0</v>
      </c>
      <c r="M932" s="87">
        <f t="shared" si="104"/>
        <v>0</v>
      </c>
      <c r="N932" s="107" t="str">
        <f t="shared" si="105"/>
        <v/>
      </c>
    </row>
    <row r="933" spans="2:14" x14ac:dyDescent="0.25">
      <c r="B933" s="82">
        <f>SUBTOTAL(103,$D$8:D933)</f>
        <v>926</v>
      </c>
      <c r="C933" s="83" t="s">
        <v>941</v>
      </c>
      <c r="D933" s="84">
        <v>0</v>
      </c>
      <c r="E933" s="85" t="str">
        <f t="shared" si="100"/>
        <v/>
      </c>
      <c r="F933" s="106" t="str">
        <f t="shared" si="106"/>
        <v/>
      </c>
      <c r="G933" s="86"/>
      <c r="H933" s="107">
        <f t="shared" si="101"/>
        <v>0</v>
      </c>
      <c r="I933" s="107">
        <f t="shared" si="102"/>
        <v>0</v>
      </c>
      <c r="J933" s="87">
        <f>IF($D933&gt;0,IFERROR(Параметры!$D$42*$H933/$H$2408,0),0)</f>
        <v>0</v>
      </c>
      <c r="K933" s="87">
        <f>IFERROR(ROUND($N933*Параметры!$D$36,2),0)</f>
        <v>0</v>
      </c>
      <c r="L933" s="87">
        <f t="shared" si="103"/>
        <v>0</v>
      </c>
      <c r="M933" s="87">
        <f t="shared" si="104"/>
        <v>0</v>
      </c>
      <c r="N933" s="107" t="str">
        <f t="shared" si="105"/>
        <v/>
      </c>
    </row>
    <row r="934" spans="2:14" x14ac:dyDescent="0.25">
      <c r="B934" s="82">
        <f>SUBTOTAL(103,$D$8:D934)</f>
        <v>927</v>
      </c>
      <c r="C934" s="83" t="s">
        <v>942</v>
      </c>
      <c r="D934" s="84">
        <v>0</v>
      </c>
      <c r="E934" s="85" t="str">
        <f t="shared" si="100"/>
        <v/>
      </c>
      <c r="F934" s="106" t="str">
        <f t="shared" si="106"/>
        <v/>
      </c>
      <c r="G934" s="86"/>
      <c r="H934" s="107">
        <f t="shared" si="101"/>
        <v>0</v>
      </c>
      <c r="I934" s="107">
        <f t="shared" si="102"/>
        <v>0</v>
      </c>
      <c r="J934" s="87">
        <f>IF($D934&gt;0,IFERROR(Параметры!$D$42*$H934/$H$2408,0),0)</f>
        <v>0</v>
      </c>
      <c r="K934" s="87">
        <f>IFERROR(ROUND($N934*Параметры!$D$36,2),0)</f>
        <v>0</v>
      </c>
      <c r="L934" s="87">
        <f t="shared" si="103"/>
        <v>0</v>
      </c>
      <c r="M934" s="87">
        <f t="shared" si="104"/>
        <v>0</v>
      </c>
      <c r="N934" s="107" t="str">
        <f t="shared" si="105"/>
        <v/>
      </c>
    </row>
    <row r="935" spans="2:14" x14ac:dyDescent="0.25">
      <c r="B935" s="82">
        <f>SUBTOTAL(103,$D$8:D935)</f>
        <v>928</v>
      </c>
      <c r="C935" s="83" t="s">
        <v>943</v>
      </c>
      <c r="D935" s="84">
        <v>0</v>
      </c>
      <c r="E935" s="85" t="str">
        <f t="shared" si="100"/>
        <v/>
      </c>
      <c r="F935" s="106" t="str">
        <f t="shared" si="106"/>
        <v/>
      </c>
      <c r="G935" s="86"/>
      <c r="H935" s="107">
        <f t="shared" si="101"/>
        <v>0</v>
      </c>
      <c r="I935" s="107">
        <f t="shared" si="102"/>
        <v>0</v>
      </c>
      <c r="J935" s="87">
        <f>IF($D935&gt;0,IFERROR(Параметры!$D$42*$H935/$H$2408,0),0)</f>
        <v>0</v>
      </c>
      <c r="K935" s="87">
        <f>IFERROR(ROUND($N935*Параметры!$D$36,2),0)</f>
        <v>0</v>
      </c>
      <c r="L935" s="87">
        <f t="shared" si="103"/>
        <v>0</v>
      </c>
      <c r="M935" s="87">
        <f t="shared" si="104"/>
        <v>0</v>
      </c>
      <c r="N935" s="107" t="str">
        <f t="shared" si="105"/>
        <v/>
      </c>
    </row>
    <row r="936" spans="2:14" x14ac:dyDescent="0.25">
      <c r="B936" s="82">
        <f>SUBTOTAL(103,$D$8:D936)</f>
        <v>929</v>
      </c>
      <c r="C936" s="83" t="s">
        <v>944</v>
      </c>
      <c r="D936" s="84">
        <v>0</v>
      </c>
      <c r="E936" s="85" t="str">
        <f t="shared" si="100"/>
        <v/>
      </c>
      <c r="F936" s="106" t="str">
        <f t="shared" si="106"/>
        <v/>
      </c>
      <c r="G936" s="86"/>
      <c r="H936" s="107">
        <f t="shared" si="101"/>
        <v>0</v>
      </c>
      <c r="I936" s="107">
        <f t="shared" si="102"/>
        <v>0</v>
      </c>
      <c r="J936" s="87">
        <f>IF($D936&gt;0,IFERROR(Параметры!$D$42*$H936/$H$2408,0),0)</f>
        <v>0</v>
      </c>
      <c r="K936" s="87">
        <f>IFERROR(ROUND($N936*Параметры!$D$36,2),0)</f>
        <v>0</v>
      </c>
      <c r="L936" s="87">
        <f t="shared" si="103"/>
        <v>0</v>
      </c>
      <c r="M936" s="87">
        <f t="shared" si="104"/>
        <v>0</v>
      </c>
      <c r="N936" s="107" t="str">
        <f t="shared" si="105"/>
        <v/>
      </c>
    </row>
    <row r="937" spans="2:14" x14ac:dyDescent="0.25">
      <c r="B937" s="82">
        <f>SUBTOTAL(103,$D$8:D937)</f>
        <v>930</v>
      </c>
      <c r="C937" s="83" t="s">
        <v>945</v>
      </c>
      <c r="D937" s="84">
        <v>0</v>
      </c>
      <c r="E937" s="85" t="str">
        <f t="shared" si="100"/>
        <v/>
      </c>
      <c r="F937" s="106" t="str">
        <f t="shared" si="106"/>
        <v/>
      </c>
      <c r="G937" s="86"/>
      <c r="H937" s="107">
        <f t="shared" si="101"/>
        <v>0</v>
      </c>
      <c r="I937" s="107">
        <f t="shared" si="102"/>
        <v>0</v>
      </c>
      <c r="J937" s="87">
        <f>IF($D937&gt;0,IFERROR(Параметры!$D$42*$H937/$H$2408,0),0)</f>
        <v>0</v>
      </c>
      <c r="K937" s="87">
        <f>IFERROR(ROUND($N937*Параметры!$D$36,2),0)</f>
        <v>0</v>
      </c>
      <c r="L937" s="87">
        <f t="shared" si="103"/>
        <v>0</v>
      </c>
      <c r="M937" s="87">
        <f t="shared" si="104"/>
        <v>0</v>
      </c>
      <c r="N937" s="107" t="str">
        <f t="shared" si="105"/>
        <v/>
      </c>
    </row>
    <row r="938" spans="2:14" x14ac:dyDescent="0.25">
      <c r="B938" s="82">
        <f>SUBTOTAL(103,$D$8:D938)</f>
        <v>931</v>
      </c>
      <c r="C938" s="83" t="s">
        <v>946</v>
      </c>
      <c r="D938" s="84">
        <v>0</v>
      </c>
      <c r="E938" s="85" t="str">
        <f t="shared" si="100"/>
        <v/>
      </c>
      <c r="F938" s="106" t="str">
        <f t="shared" si="106"/>
        <v/>
      </c>
      <c r="G938" s="86"/>
      <c r="H938" s="107">
        <f t="shared" si="101"/>
        <v>0</v>
      </c>
      <c r="I938" s="107">
        <f t="shared" si="102"/>
        <v>0</v>
      </c>
      <c r="J938" s="87">
        <f>IF($D938&gt;0,IFERROR(Параметры!$D$42*$H938/$H$2408,0),0)</f>
        <v>0</v>
      </c>
      <c r="K938" s="87">
        <f>IFERROR(ROUND($N938*Параметры!$D$36,2),0)</f>
        <v>0</v>
      </c>
      <c r="L938" s="87">
        <f t="shared" si="103"/>
        <v>0</v>
      </c>
      <c r="M938" s="87">
        <f t="shared" si="104"/>
        <v>0</v>
      </c>
      <c r="N938" s="107" t="str">
        <f t="shared" si="105"/>
        <v/>
      </c>
    </row>
    <row r="939" spans="2:14" x14ac:dyDescent="0.25">
      <c r="B939" s="82">
        <f>SUBTOTAL(103,$D$8:D939)</f>
        <v>932</v>
      </c>
      <c r="C939" s="83" t="s">
        <v>947</v>
      </c>
      <c r="D939" s="84">
        <v>0</v>
      </c>
      <c r="E939" s="85" t="str">
        <f t="shared" si="100"/>
        <v/>
      </c>
      <c r="F939" s="106" t="str">
        <f t="shared" si="106"/>
        <v/>
      </c>
      <c r="G939" s="86"/>
      <c r="H939" s="107">
        <f t="shared" si="101"/>
        <v>0</v>
      </c>
      <c r="I939" s="107">
        <f t="shared" si="102"/>
        <v>0</v>
      </c>
      <c r="J939" s="87">
        <f>IF($D939&gt;0,IFERROR(Параметры!$D$42*$H939/$H$2408,0),0)</f>
        <v>0</v>
      </c>
      <c r="K939" s="87">
        <f>IFERROR(ROUND($N939*Параметры!$D$36,2),0)</f>
        <v>0</v>
      </c>
      <c r="L939" s="87">
        <f t="shared" si="103"/>
        <v>0</v>
      </c>
      <c r="M939" s="87">
        <f t="shared" si="104"/>
        <v>0</v>
      </c>
      <c r="N939" s="107" t="str">
        <f t="shared" si="105"/>
        <v/>
      </c>
    </row>
    <row r="940" spans="2:14" x14ac:dyDescent="0.25">
      <c r="B940" s="82">
        <f>SUBTOTAL(103,$D$8:D940)</f>
        <v>933</v>
      </c>
      <c r="C940" s="83" t="s">
        <v>948</v>
      </c>
      <c r="D940" s="84">
        <v>0</v>
      </c>
      <c r="E940" s="85" t="str">
        <f t="shared" si="100"/>
        <v/>
      </c>
      <c r="F940" s="106" t="str">
        <f t="shared" si="106"/>
        <v/>
      </c>
      <c r="G940" s="86"/>
      <c r="H940" s="107">
        <f t="shared" si="101"/>
        <v>0</v>
      </c>
      <c r="I940" s="107">
        <f t="shared" si="102"/>
        <v>0</v>
      </c>
      <c r="J940" s="87">
        <f>IF($D940&gt;0,IFERROR(Параметры!$D$42*$H940/$H$2408,0),0)</f>
        <v>0</v>
      </c>
      <c r="K940" s="87">
        <f>IFERROR(ROUND($N940*Параметры!$D$36,2),0)</f>
        <v>0</v>
      </c>
      <c r="L940" s="87">
        <f t="shared" si="103"/>
        <v>0</v>
      </c>
      <c r="M940" s="87">
        <f t="shared" si="104"/>
        <v>0</v>
      </c>
      <c r="N940" s="107" t="str">
        <f t="shared" si="105"/>
        <v/>
      </c>
    </row>
    <row r="941" spans="2:14" x14ac:dyDescent="0.25">
      <c r="B941" s="82">
        <f>SUBTOTAL(103,$D$8:D941)</f>
        <v>934</v>
      </c>
      <c r="C941" s="83" t="s">
        <v>949</v>
      </c>
      <c r="D941" s="84">
        <v>0</v>
      </c>
      <c r="E941" s="85" t="str">
        <f t="shared" si="100"/>
        <v/>
      </c>
      <c r="F941" s="106" t="str">
        <f t="shared" si="106"/>
        <v/>
      </c>
      <c r="G941" s="86"/>
      <c r="H941" s="107">
        <f t="shared" si="101"/>
        <v>0</v>
      </c>
      <c r="I941" s="107">
        <f t="shared" si="102"/>
        <v>0</v>
      </c>
      <c r="J941" s="87">
        <f>IF($D941&gt;0,IFERROR(Параметры!$D$42*$H941/$H$2408,0),0)</f>
        <v>0</v>
      </c>
      <c r="K941" s="87">
        <f>IFERROR(ROUND($N941*Параметры!$D$36,2),0)</f>
        <v>0</v>
      </c>
      <c r="L941" s="87">
        <f t="shared" si="103"/>
        <v>0</v>
      </c>
      <c r="M941" s="87">
        <f t="shared" si="104"/>
        <v>0</v>
      </c>
      <c r="N941" s="107" t="str">
        <f t="shared" si="105"/>
        <v/>
      </c>
    </row>
    <row r="942" spans="2:14" x14ac:dyDescent="0.25">
      <c r="B942" s="82">
        <f>SUBTOTAL(103,$D$8:D942)</f>
        <v>935</v>
      </c>
      <c r="C942" s="83" t="s">
        <v>950</v>
      </c>
      <c r="D942" s="84">
        <v>0</v>
      </c>
      <c r="E942" s="85" t="str">
        <f t="shared" si="100"/>
        <v/>
      </c>
      <c r="F942" s="106" t="str">
        <f t="shared" si="106"/>
        <v/>
      </c>
      <c r="G942" s="86"/>
      <c r="H942" s="107">
        <f t="shared" si="101"/>
        <v>0</v>
      </c>
      <c r="I942" s="107">
        <f t="shared" si="102"/>
        <v>0</v>
      </c>
      <c r="J942" s="87">
        <f>IF($D942&gt;0,IFERROR(Параметры!$D$42*$H942/$H$2408,0),0)</f>
        <v>0</v>
      </c>
      <c r="K942" s="87">
        <f>IFERROR(ROUND($N942*Параметры!$D$36,2),0)</f>
        <v>0</v>
      </c>
      <c r="L942" s="87">
        <f t="shared" si="103"/>
        <v>0</v>
      </c>
      <c r="M942" s="87">
        <f t="shared" si="104"/>
        <v>0</v>
      </c>
      <c r="N942" s="107" t="str">
        <f t="shared" si="105"/>
        <v/>
      </c>
    </row>
    <row r="943" spans="2:14" x14ac:dyDescent="0.25">
      <c r="B943" s="82">
        <f>SUBTOTAL(103,$D$8:D943)</f>
        <v>936</v>
      </c>
      <c r="C943" s="83" t="s">
        <v>951</v>
      </c>
      <c r="D943" s="84">
        <v>0</v>
      </c>
      <c r="E943" s="85" t="str">
        <f t="shared" si="100"/>
        <v/>
      </c>
      <c r="F943" s="106" t="str">
        <f t="shared" si="106"/>
        <v/>
      </c>
      <c r="G943" s="86"/>
      <c r="H943" s="107">
        <f t="shared" si="101"/>
        <v>0</v>
      </c>
      <c r="I943" s="107">
        <f t="shared" si="102"/>
        <v>0</v>
      </c>
      <c r="J943" s="87">
        <f>IF($D943&gt;0,IFERROR(Параметры!$D$42*$H943/$H$2408,0),0)</f>
        <v>0</v>
      </c>
      <c r="K943" s="87">
        <f>IFERROR(ROUND($N943*Параметры!$D$36,2),0)</f>
        <v>0</v>
      </c>
      <c r="L943" s="87">
        <f t="shared" si="103"/>
        <v>0</v>
      </c>
      <c r="M943" s="87">
        <f t="shared" si="104"/>
        <v>0</v>
      </c>
      <c r="N943" s="107" t="str">
        <f t="shared" si="105"/>
        <v/>
      </c>
    </row>
    <row r="944" spans="2:14" x14ac:dyDescent="0.25">
      <c r="B944" s="82">
        <f>SUBTOTAL(103,$D$8:D944)</f>
        <v>937</v>
      </c>
      <c r="C944" s="83" t="s">
        <v>952</v>
      </c>
      <c r="D944" s="84">
        <v>0</v>
      </c>
      <c r="E944" s="85" t="str">
        <f t="shared" si="100"/>
        <v/>
      </c>
      <c r="F944" s="106" t="str">
        <f t="shared" si="106"/>
        <v/>
      </c>
      <c r="G944" s="86"/>
      <c r="H944" s="107">
        <f t="shared" si="101"/>
        <v>0</v>
      </c>
      <c r="I944" s="107">
        <f t="shared" si="102"/>
        <v>0</v>
      </c>
      <c r="J944" s="87">
        <f>IF($D944&gt;0,IFERROR(Параметры!$D$42*$H944/$H$2408,0),0)</f>
        <v>0</v>
      </c>
      <c r="K944" s="87">
        <f>IFERROR(ROUND($N944*Параметры!$D$36,2),0)</f>
        <v>0</v>
      </c>
      <c r="L944" s="87">
        <f t="shared" si="103"/>
        <v>0</v>
      </c>
      <c r="M944" s="87">
        <f t="shared" si="104"/>
        <v>0</v>
      </c>
      <c r="N944" s="107" t="str">
        <f t="shared" si="105"/>
        <v/>
      </c>
    </row>
    <row r="945" spans="2:14" x14ac:dyDescent="0.25">
      <c r="B945" s="82">
        <f>SUBTOTAL(103,$D$8:D945)</f>
        <v>938</v>
      </c>
      <c r="C945" s="83" t="s">
        <v>953</v>
      </c>
      <c r="D945" s="84">
        <v>0</v>
      </c>
      <c r="E945" s="85" t="str">
        <f t="shared" si="100"/>
        <v/>
      </c>
      <c r="F945" s="106" t="str">
        <f t="shared" si="106"/>
        <v/>
      </c>
      <c r="G945" s="86"/>
      <c r="H945" s="107">
        <f t="shared" si="101"/>
        <v>0</v>
      </c>
      <c r="I945" s="107">
        <f t="shared" si="102"/>
        <v>0</v>
      </c>
      <c r="J945" s="87">
        <f>IF($D945&gt;0,IFERROR(Параметры!$D$42*$H945/$H$2408,0),0)</f>
        <v>0</v>
      </c>
      <c r="K945" s="87">
        <f>IFERROR(ROUND($N945*Параметры!$D$36,2),0)</f>
        <v>0</v>
      </c>
      <c r="L945" s="87">
        <f t="shared" si="103"/>
        <v>0</v>
      </c>
      <c r="M945" s="87">
        <f t="shared" si="104"/>
        <v>0</v>
      </c>
      <c r="N945" s="107" t="str">
        <f t="shared" si="105"/>
        <v/>
      </c>
    </row>
    <row r="946" spans="2:14" x14ac:dyDescent="0.25">
      <c r="B946" s="82">
        <f>SUBTOTAL(103,$D$8:D946)</f>
        <v>939</v>
      </c>
      <c r="C946" s="83" t="s">
        <v>954</v>
      </c>
      <c r="D946" s="84">
        <v>0</v>
      </c>
      <c r="E946" s="85" t="str">
        <f t="shared" si="100"/>
        <v/>
      </c>
      <c r="F946" s="106" t="str">
        <f t="shared" si="106"/>
        <v/>
      </c>
      <c r="G946" s="86"/>
      <c r="H946" s="107">
        <f t="shared" si="101"/>
        <v>0</v>
      </c>
      <c r="I946" s="107">
        <f t="shared" si="102"/>
        <v>0</v>
      </c>
      <c r="J946" s="87">
        <f>IF($D946&gt;0,IFERROR(Параметры!$D$42*$H946/$H$2408,0),0)</f>
        <v>0</v>
      </c>
      <c r="K946" s="87">
        <f>IFERROR(ROUND($N946*Параметры!$D$36,2),0)</f>
        <v>0</v>
      </c>
      <c r="L946" s="87">
        <f t="shared" si="103"/>
        <v>0</v>
      </c>
      <c r="M946" s="87">
        <f t="shared" si="104"/>
        <v>0</v>
      </c>
      <c r="N946" s="107" t="str">
        <f t="shared" si="105"/>
        <v/>
      </c>
    </row>
    <row r="947" spans="2:14" x14ac:dyDescent="0.25">
      <c r="B947" s="82">
        <f>SUBTOTAL(103,$D$8:D947)</f>
        <v>940</v>
      </c>
      <c r="C947" s="83" t="s">
        <v>955</v>
      </c>
      <c r="D947" s="84">
        <v>0</v>
      </c>
      <c r="E947" s="85" t="str">
        <f t="shared" si="100"/>
        <v/>
      </c>
      <c r="F947" s="106" t="str">
        <f t="shared" si="106"/>
        <v/>
      </c>
      <c r="G947" s="86"/>
      <c r="H947" s="107">
        <f t="shared" si="101"/>
        <v>0</v>
      </c>
      <c r="I947" s="107">
        <f t="shared" si="102"/>
        <v>0</v>
      </c>
      <c r="J947" s="87">
        <f>IF($D947&gt;0,IFERROR(Параметры!$D$42*$H947/$H$2408,0),0)</f>
        <v>0</v>
      </c>
      <c r="K947" s="87">
        <f>IFERROR(ROUND($N947*Параметры!$D$36,2),0)</f>
        <v>0</v>
      </c>
      <c r="L947" s="87">
        <f t="shared" si="103"/>
        <v>0</v>
      </c>
      <c r="M947" s="87">
        <f t="shared" si="104"/>
        <v>0</v>
      </c>
      <c r="N947" s="107" t="str">
        <f t="shared" si="105"/>
        <v/>
      </c>
    </row>
    <row r="948" spans="2:14" x14ac:dyDescent="0.25">
      <c r="B948" s="82">
        <f>SUBTOTAL(103,$D$8:D948)</f>
        <v>941</v>
      </c>
      <c r="C948" s="83" t="s">
        <v>956</v>
      </c>
      <c r="D948" s="84">
        <v>0</v>
      </c>
      <c r="E948" s="85" t="str">
        <f t="shared" si="100"/>
        <v/>
      </c>
      <c r="F948" s="106" t="str">
        <f t="shared" si="106"/>
        <v/>
      </c>
      <c r="G948" s="86"/>
      <c r="H948" s="107">
        <f t="shared" si="101"/>
        <v>0</v>
      </c>
      <c r="I948" s="107">
        <f t="shared" si="102"/>
        <v>0</v>
      </c>
      <c r="J948" s="87">
        <f>IF($D948&gt;0,IFERROR(Параметры!$D$42*$H948/$H$2408,0),0)</f>
        <v>0</v>
      </c>
      <c r="K948" s="87">
        <f>IFERROR(ROUND($N948*Параметры!$D$36,2),0)</f>
        <v>0</v>
      </c>
      <c r="L948" s="87">
        <f t="shared" si="103"/>
        <v>0</v>
      </c>
      <c r="M948" s="87">
        <f t="shared" si="104"/>
        <v>0</v>
      </c>
      <c r="N948" s="107" t="str">
        <f t="shared" si="105"/>
        <v/>
      </c>
    </row>
    <row r="949" spans="2:14" x14ac:dyDescent="0.25">
      <c r="B949" s="82">
        <f>SUBTOTAL(103,$D$8:D949)</f>
        <v>942</v>
      </c>
      <c r="C949" s="83" t="s">
        <v>957</v>
      </c>
      <c r="D949" s="84">
        <v>0</v>
      </c>
      <c r="E949" s="85" t="str">
        <f t="shared" si="100"/>
        <v/>
      </c>
      <c r="F949" s="106" t="str">
        <f t="shared" si="106"/>
        <v/>
      </c>
      <c r="G949" s="86"/>
      <c r="H949" s="107">
        <f t="shared" si="101"/>
        <v>0</v>
      </c>
      <c r="I949" s="107">
        <f t="shared" si="102"/>
        <v>0</v>
      </c>
      <c r="J949" s="87">
        <f>IF($D949&gt;0,IFERROR(Параметры!$D$42*$H949/$H$2408,0),0)</f>
        <v>0</v>
      </c>
      <c r="K949" s="87">
        <f>IFERROR(ROUND($N949*Параметры!$D$36,2),0)</f>
        <v>0</v>
      </c>
      <c r="L949" s="87">
        <f t="shared" si="103"/>
        <v>0</v>
      </c>
      <c r="M949" s="87">
        <f t="shared" si="104"/>
        <v>0</v>
      </c>
      <c r="N949" s="107" t="str">
        <f t="shared" si="105"/>
        <v/>
      </c>
    </row>
    <row r="950" spans="2:14" x14ac:dyDescent="0.25">
      <c r="B950" s="82">
        <f>SUBTOTAL(103,$D$8:D950)</f>
        <v>943</v>
      </c>
      <c r="C950" s="83" t="s">
        <v>958</v>
      </c>
      <c r="D950" s="84">
        <v>0</v>
      </c>
      <c r="E950" s="85" t="str">
        <f t="shared" si="100"/>
        <v/>
      </c>
      <c r="F950" s="106" t="str">
        <f t="shared" si="106"/>
        <v/>
      </c>
      <c r="G950" s="86"/>
      <c r="H950" s="107">
        <f t="shared" si="101"/>
        <v>0</v>
      </c>
      <c r="I950" s="107">
        <f t="shared" si="102"/>
        <v>0</v>
      </c>
      <c r="J950" s="87">
        <f>IF($D950&gt;0,IFERROR(Параметры!$D$42*$H950/$H$2408,0),0)</f>
        <v>0</v>
      </c>
      <c r="K950" s="87">
        <f>IFERROR(ROUND($N950*Параметры!$D$36,2),0)</f>
        <v>0</v>
      </c>
      <c r="L950" s="87">
        <f t="shared" si="103"/>
        <v>0</v>
      </c>
      <c r="M950" s="87">
        <f t="shared" si="104"/>
        <v>0</v>
      </c>
      <c r="N950" s="107" t="str">
        <f t="shared" si="105"/>
        <v/>
      </c>
    </row>
    <row r="951" spans="2:14" x14ac:dyDescent="0.25">
      <c r="B951" s="82">
        <f>SUBTOTAL(103,$D$8:D951)</f>
        <v>944</v>
      </c>
      <c r="C951" s="83" t="s">
        <v>959</v>
      </c>
      <c r="D951" s="84">
        <v>0</v>
      </c>
      <c r="E951" s="85" t="str">
        <f t="shared" si="100"/>
        <v/>
      </c>
      <c r="F951" s="106" t="str">
        <f t="shared" si="106"/>
        <v/>
      </c>
      <c r="G951" s="86"/>
      <c r="H951" s="107">
        <f t="shared" si="101"/>
        <v>0</v>
      </c>
      <c r="I951" s="107">
        <f t="shared" si="102"/>
        <v>0</v>
      </c>
      <c r="J951" s="87">
        <f>IF($D951&gt;0,IFERROR(Параметры!$D$42*$H951/$H$2408,0),0)</f>
        <v>0</v>
      </c>
      <c r="K951" s="87">
        <f>IFERROR(ROUND($N951*Параметры!$D$36,2),0)</f>
        <v>0</v>
      </c>
      <c r="L951" s="87">
        <f t="shared" si="103"/>
        <v>0</v>
      </c>
      <c r="M951" s="87">
        <f t="shared" si="104"/>
        <v>0</v>
      </c>
      <c r="N951" s="107" t="str">
        <f t="shared" si="105"/>
        <v/>
      </c>
    </row>
    <row r="952" spans="2:14" x14ac:dyDescent="0.25">
      <c r="B952" s="82">
        <f>SUBTOTAL(103,$D$8:D952)</f>
        <v>945</v>
      </c>
      <c r="C952" s="83" t="s">
        <v>960</v>
      </c>
      <c r="D952" s="84">
        <v>0</v>
      </c>
      <c r="E952" s="85" t="str">
        <f t="shared" si="100"/>
        <v/>
      </c>
      <c r="F952" s="106" t="str">
        <f t="shared" si="106"/>
        <v/>
      </c>
      <c r="G952" s="86"/>
      <c r="H952" s="107">
        <f t="shared" si="101"/>
        <v>0</v>
      </c>
      <c r="I952" s="107">
        <f t="shared" si="102"/>
        <v>0</v>
      </c>
      <c r="J952" s="87">
        <f>IF($D952&gt;0,IFERROR(Параметры!$D$42*$H952/$H$2408,0),0)</f>
        <v>0</v>
      </c>
      <c r="K952" s="87">
        <f>IFERROR(ROUND($N952*Параметры!$D$36,2),0)</f>
        <v>0</v>
      </c>
      <c r="L952" s="87">
        <f t="shared" si="103"/>
        <v>0</v>
      </c>
      <c r="M952" s="87">
        <f t="shared" si="104"/>
        <v>0</v>
      </c>
      <c r="N952" s="107" t="str">
        <f t="shared" si="105"/>
        <v/>
      </c>
    </row>
    <row r="953" spans="2:14" x14ac:dyDescent="0.25">
      <c r="B953" s="82">
        <f>SUBTOTAL(103,$D$8:D953)</f>
        <v>946</v>
      </c>
      <c r="C953" s="83" t="s">
        <v>961</v>
      </c>
      <c r="D953" s="84">
        <v>0</v>
      </c>
      <c r="E953" s="85" t="str">
        <f t="shared" si="100"/>
        <v/>
      </c>
      <c r="F953" s="106" t="str">
        <f t="shared" si="106"/>
        <v/>
      </c>
      <c r="G953" s="86"/>
      <c r="H953" s="107">
        <f t="shared" si="101"/>
        <v>0</v>
      </c>
      <c r="I953" s="107">
        <f t="shared" si="102"/>
        <v>0</v>
      </c>
      <c r="J953" s="87">
        <f>IF($D953&gt;0,IFERROR(Параметры!$D$42*$H953/$H$2408,0),0)</f>
        <v>0</v>
      </c>
      <c r="K953" s="87">
        <f>IFERROR(ROUND($N953*Параметры!$D$36,2),0)</f>
        <v>0</v>
      </c>
      <c r="L953" s="87">
        <f t="shared" si="103"/>
        <v>0</v>
      </c>
      <c r="M953" s="87">
        <f t="shared" si="104"/>
        <v>0</v>
      </c>
      <c r="N953" s="107" t="str">
        <f t="shared" si="105"/>
        <v/>
      </c>
    </row>
    <row r="954" spans="2:14" x14ac:dyDescent="0.25">
      <c r="B954" s="82">
        <f>SUBTOTAL(103,$D$8:D954)</f>
        <v>947</v>
      </c>
      <c r="C954" s="83" t="s">
        <v>962</v>
      </c>
      <c r="D954" s="84">
        <v>0</v>
      </c>
      <c r="E954" s="85" t="str">
        <f t="shared" si="100"/>
        <v/>
      </c>
      <c r="F954" s="106" t="str">
        <f t="shared" si="106"/>
        <v/>
      </c>
      <c r="G954" s="86"/>
      <c r="H954" s="107">
        <f t="shared" si="101"/>
        <v>0</v>
      </c>
      <c r="I954" s="107">
        <f t="shared" si="102"/>
        <v>0</v>
      </c>
      <c r="J954" s="87">
        <f>IF($D954&gt;0,IFERROR(Параметры!$D$42*$H954/$H$2408,0),0)</f>
        <v>0</v>
      </c>
      <c r="K954" s="87">
        <f>IFERROR(ROUND($N954*Параметры!$D$36,2),0)</f>
        <v>0</v>
      </c>
      <c r="L954" s="87">
        <f t="shared" si="103"/>
        <v>0</v>
      </c>
      <c r="M954" s="87">
        <f t="shared" si="104"/>
        <v>0</v>
      </c>
      <c r="N954" s="107" t="str">
        <f t="shared" si="105"/>
        <v/>
      </c>
    </row>
    <row r="955" spans="2:14" x14ac:dyDescent="0.25">
      <c r="B955" s="82">
        <f>SUBTOTAL(103,$D$8:D955)</f>
        <v>948</v>
      </c>
      <c r="C955" s="83" t="s">
        <v>963</v>
      </c>
      <c r="D955" s="84">
        <v>0</v>
      </c>
      <c r="E955" s="85" t="str">
        <f t="shared" si="100"/>
        <v/>
      </c>
      <c r="F955" s="106" t="str">
        <f t="shared" si="106"/>
        <v/>
      </c>
      <c r="G955" s="86"/>
      <c r="H955" s="107">
        <f t="shared" si="101"/>
        <v>0</v>
      </c>
      <c r="I955" s="107">
        <f t="shared" si="102"/>
        <v>0</v>
      </c>
      <c r="J955" s="87">
        <f>IF($D955&gt;0,IFERROR(Параметры!$D$42*$H955/$H$2408,0),0)</f>
        <v>0</v>
      </c>
      <c r="K955" s="87">
        <f>IFERROR(ROUND($N955*Параметры!$D$36,2),0)</f>
        <v>0</v>
      </c>
      <c r="L955" s="87">
        <f t="shared" si="103"/>
        <v>0</v>
      </c>
      <c r="M955" s="87">
        <f t="shared" si="104"/>
        <v>0</v>
      </c>
      <c r="N955" s="107" t="str">
        <f t="shared" si="105"/>
        <v/>
      </c>
    </row>
    <row r="956" spans="2:14" x14ac:dyDescent="0.25">
      <c r="B956" s="82">
        <f>SUBTOTAL(103,$D$8:D956)</f>
        <v>949</v>
      </c>
      <c r="C956" s="83" t="s">
        <v>964</v>
      </c>
      <c r="D956" s="84">
        <v>0</v>
      </c>
      <c r="E956" s="85" t="str">
        <f t="shared" si="100"/>
        <v/>
      </c>
      <c r="F956" s="106" t="str">
        <f t="shared" si="106"/>
        <v/>
      </c>
      <c r="G956" s="86"/>
      <c r="H956" s="107">
        <f t="shared" si="101"/>
        <v>0</v>
      </c>
      <c r="I956" s="107">
        <f t="shared" si="102"/>
        <v>0</v>
      </c>
      <c r="J956" s="87">
        <f>IF($D956&gt;0,IFERROR(Параметры!$D$42*$H956/$H$2408,0),0)</f>
        <v>0</v>
      </c>
      <c r="K956" s="87">
        <f>IFERROR(ROUND($N956*Параметры!$D$36,2),0)</f>
        <v>0</v>
      </c>
      <c r="L956" s="87">
        <f t="shared" si="103"/>
        <v>0</v>
      </c>
      <c r="M956" s="87">
        <f t="shared" si="104"/>
        <v>0</v>
      </c>
      <c r="N956" s="107" t="str">
        <f t="shared" si="105"/>
        <v/>
      </c>
    </row>
    <row r="957" spans="2:14" x14ac:dyDescent="0.25">
      <c r="B957" s="82">
        <f>SUBTOTAL(103,$D$8:D957)</f>
        <v>950</v>
      </c>
      <c r="C957" s="83" t="s">
        <v>965</v>
      </c>
      <c r="D957" s="84">
        <v>0</v>
      </c>
      <c r="E957" s="85" t="str">
        <f t="shared" si="100"/>
        <v/>
      </c>
      <c r="F957" s="106" t="str">
        <f t="shared" si="106"/>
        <v/>
      </c>
      <c r="G957" s="86"/>
      <c r="H957" s="107">
        <f t="shared" si="101"/>
        <v>0</v>
      </c>
      <c r="I957" s="107">
        <f t="shared" si="102"/>
        <v>0</v>
      </c>
      <c r="J957" s="87">
        <f>IF($D957&gt;0,IFERROR(Параметры!$D$42*$H957/$H$2408,0),0)</f>
        <v>0</v>
      </c>
      <c r="K957" s="87">
        <f>IFERROR(ROUND($N957*Параметры!$D$36,2),0)</f>
        <v>0</v>
      </c>
      <c r="L957" s="87">
        <f t="shared" si="103"/>
        <v>0</v>
      </c>
      <c r="M957" s="87">
        <f t="shared" si="104"/>
        <v>0</v>
      </c>
      <c r="N957" s="107" t="str">
        <f t="shared" si="105"/>
        <v/>
      </c>
    </row>
    <row r="958" spans="2:14" x14ac:dyDescent="0.25">
      <c r="B958" s="82">
        <f>SUBTOTAL(103,$D$8:D958)</f>
        <v>951</v>
      </c>
      <c r="C958" s="83" t="s">
        <v>966</v>
      </c>
      <c r="D958" s="84">
        <v>0</v>
      </c>
      <c r="E958" s="85" t="str">
        <f t="shared" si="100"/>
        <v/>
      </c>
      <c r="F958" s="106" t="str">
        <f t="shared" si="106"/>
        <v/>
      </c>
      <c r="G958" s="86"/>
      <c r="H958" s="107">
        <f t="shared" si="101"/>
        <v>0</v>
      </c>
      <c r="I958" s="107">
        <f t="shared" si="102"/>
        <v>0</v>
      </c>
      <c r="J958" s="87">
        <f>IF($D958&gt;0,IFERROR(Параметры!$D$42*$H958/$H$2408,0),0)</f>
        <v>0</v>
      </c>
      <c r="K958" s="87">
        <f>IFERROR(ROUND($N958*Параметры!$D$36,2),0)</f>
        <v>0</v>
      </c>
      <c r="L958" s="87">
        <f t="shared" si="103"/>
        <v>0</v>
      </c>
      <c r="M958" s="87">
        <f t="shared" si="104"/>
        <v>0</v>
      </c>
      <c r="N958" s="107" t="str">
        <f t="shared" si="105"/>
        <v/>
      </c>
    </row>
    <row r="959" spans="2:14" x14ac:dyDescent="0.25">
      <c r="B959" s="82">
        <f>SUBTOTAL(103,$D$8:D959)</f>
        <v>952</v>
      </c>
      <c r="C959" s="83" t="s">
        <v>967</v>
      </c>
      <c r="D959" s="84">
        <v>0</v>
      </c>
      <c r="E959" s="85" t="str">
        <f t="shared" si="100"/>
        <v/>
      </c>
      <c r="F959" s="106" t="str">
        <f t="shared" si="106"/>
        <v/>
      </c>
      <c r="G959" s="86"/>
      <c r="H959" s="107">
        <f t="shared" si="101"/>
        <v>0</v>
      </c>
      <c r="I959" s="107">
        <f t="shared" si="102"/>
        <v>0</v>
      </c>
      <c r="J959" s="87">
        <f>IF($D959&gt;0,IFERROR(Параметры!$D$42*$H959/$H$2408,0),0)</f>
        <v>0</v>
      </c>
      <c r="K959" s="87">
        <f>IFERROR(ROUND($N959*Параметры!$D$36,2),0)</f>
        <v>0</v>
      </c>
      <c r="L959" s="87">
        <f t="shared" si="103"/>
        <v>0</v>
      </c>
      <c r="M959" s="87">
        <f t="shared" si="104"/>
        <v>0</v>
      </c>
      <c r="N959" s="107" t="str">
        <f t="shared" si="105"/>
        <v/>
      </c>
    </row>
    <row r="960" spans="2:14" x14ac:dyDescent="0.25">
      <c r="B960" s="82">
        <f>SUBTOTAL(103,$D$8:D960)</f>
        <v>953</v>
      </c>
      <c r="C960" s="83" t="s">
        <v>968</v>
      </c>
      <c r="D960" s="84">
        <v>0</v>
      </c>
      <c r="E960" s="85" t="str">
        <f t="shared" si="100"/>
        <v/>
      </c>
      <c r="F960" s="106" t="str">
        <f t="shared" si="106"/>
        <v/>
      </c>
      <c r="G960" s="86"/>
      <c r="H960" s="107">
        <f t="shared" si="101"/>
        <v>0</v>
      </c>
      <c r="I960" s="107">
        <f t="shared" si="102"/>
        <v>0</v>
      </c>
      <c r="J960" s="87">
        <f>IF($D960&gt;0,IFERROR(Параметры!$D$42*$H960/$H$2408,0),0)</f>
        <v>0</v>
      </c>
      <c r="K960" s="87">
        <f>IFERROR(ROUND($N960*Параметры!$D$36,2),0)</f>
        <v>0</v>
      </c>
      <c r="L960" s="87">
        <f t="shared" si="103"/>
        <v>0</v>
      </c>
      <c r="M960" s="87">
        <f t="shared" si="104"/>
        <v>0</v>
      </c>
      <c r="N960" s="107" t="str">
        <f t="shared" si="105"/>
        <v/>
      </c>
    </row>
    <row r="961" spans="2:14" x14ac:dyDescent="0.25">
      <c r="B961" s="82">
        <f>SUBTOTAL(103,$D$8:D961)</f>
        <v>954</v>
      </c>
      <c r="C961" s="83" t="s">
        <v>969</v>
      </c>
      <c r="D961" s="84">
        <v>0</v>
      </c>
      <c r="E961" s="85" t="str">
        <f t="shared" si="100"/>
        <v/>
      </c>
      <c r="F961" s="106" t="str">
        <f t="shared" si="106"/>
        <v/>
      </c>
      <c r="G961" s="86"/>
      <c r="H961" s="107">
        <f t="shared" si="101"/>
        <v>0</v>
      </c>
      <c r="I961" s="107">
        <f t="shared" si="102"/>
        <v>0</v>
      </c>
      <c r="J961" s="87">
        <f>IF($D961&gt;0,IFERROR(Параметры!$D$42*$H961/$H$2408,0),0)</f>
        <v>0</v>
      </c>
      <c r="K961" s="87">
        <f>IFERROR(ROUND($N961*Параметры!$D$36,2),0)</f>
        <v>0</v>
      </c>
      <c r="L961" s="87">
        <f t="shared" si="103"/>
        <v>0</v>
      </c>
      <c r="M961" s="87">
        <f t="shared" si="104"/>
        <v>0</v>
      </c>
      <c r="N961" s="107" t="str">
        <f t="shared" si="105"/>
        <v/>
      </c>
    </row>
    <row r="962" spans="2:14" x14ac:dyDescent="0.25">
      <c r="B962" s="82">
        <f>SUBTOTAL(103,$D$8:D962)</f>
        <v>955</v>
      </c>
      <c r="C962" s="83" t="s">
        <v>970</v>
      </c>
      <c r="D962" s="84">
        <v>0</v>
      </c>
      <c r="E962" s="85" t="str">
        <f t="shared" si="100"/>
        <v/>
      </c>
      <c r="F962" s="106" t="str">
        <f t="shared" si="106"/>
        <v/>
      </c>
      <c r="G962" s="86"/>
      <c r="H962" s="107">
        <f t="shared" si="101"/>
        <v>0</v>
      </c>
      <c r="I962" s="107">
        <f t="shared" si="102"/>
        <v>0</v>
      </c>
      <c r="J962" s="87">
        <f>IF($D962&gt;0,IFERROR(Параметры!$D$42*$H962/$H$2408,0),0)</f>
        <v>0</v>
      </c>
      <c r="K962" s="87">
        <f>IFERROR(ROUND($N962*Параметры!$D$36,2),0)</f>
        <v>0</v>
      </c>
      <c r="L962" s="87">
        <f t="shared" si="103"/>
        <v>0</v>
      </c>
      <c r="M962" s="87">
        <f t="shared" si="104"/>
        <v>0</v>
      </c>
      <c r="N962" s="107" t="str">
        <f t="shared" si="105"/>
        <v/>
      </c>
    </row>
    <row r="963" spans="2:14" x14ac:dyDescent="0.25">
      <c r="B963" s="82">
        <f>SUBTOTAL(103,$D$8:D963)</f>
        <v>956</v>
      </c>
      <c r="C963" s="83" t="s">
        <v>971</v>
      </c>
      <c r="D963" s="84">
        <v>0</v>
      </c>
      <c r="E963" s="85" t="str">
        <f t="shared" si="100"/>
        <v/>
      </c>
      <c r="F963" s="106" t="str">
        <f t="shared" si="106"/>
        <v/>
      </c>
      <c r="G963" s="86"/>
      <c r="H963" s="107">
        <f t="shared" si="101"/>
        <v>0</v>
      </c>
      <c r="I963" s="107">
        <f t="shared" si="102"/>
        <v>0</v>
      </c>
      <c r="J963" s="87">
        <f>IF($D963&gt;0,IFERROR(Параметры!$D$42*$H963/$H$2408,0),0)</f>
        <v>0</v>
      </c>
      <c r="K963" s="87">
        <f>IFERROR(ROUND($N963*Параметры!$D$36,2),0)</f>
        <v>0</v>
      </c>
      <c r="L963" s="87">
        <f t="shared" si="103"/>
        <v>0</v>
      </c>
      <c r="M963" s="87">
        <f t="shared" si="104"/>
        <v>0</v>
      </c>
      <c r="N963" s="107" t="str">
        <f t="shared" si="105"/>
        <v/>
      </c>
    </row>
    <row r="964" spans="2:14" x14ac:dyDescent="0.25">
      <c r="B964" s="82">
        <f>SUBTOTAL(103,$D$8:D964)</f>
        <v>957</v>
      </c>
      <c r="C964" s="83" t="s">
        <v>972</v>
      </c>
      <c r="D964" s="84">
        <v>0</v>
      </c>
      <c r="E964" s="85" t="str">
        <f t="shared" si="100"/>
        <v/>
      </c>
      <c r="F964" s="106" t="str">
        <f t="shared" si="106"/>
        <v/>
      </c>
      <c r="G964" s="86"/>
      <c r="H964" s="107">
        <f t="shared" si="101"/>
        <v>0</v>
      </c>
      <c r="I964" s="107">
        <f t="shared" si="102"/>
        <v>0</v>
      </c>
      <c r="J964" s="87">
        <f>IF($D964&gt;0,IFERROR(Параметры!$D$42*$H964/$H$2408,0),0)</f>
        <v>0</v>
      </c>
      <c r="K964" s="87">
        <f>IFERROR(ROUND($N964*Параметры!$D$36,2),0)</f>
        <v>0</v>
      </c>
      <c r="L964" s="87">
        <f t="shared" si="103"/>
        <v>0</v>
      </c>
      <c r="M964" s="87">
        <f t="shared" si="104"/>
        <v>0</v>
      </c>
      <c r="N964" s="107" t="str">
        <f t="shared" si="105"/>
        <v/>
      </c>
    </row>
    <row r="965" spans="2:14" x14ac:dyDescent="0.25">
      <c r="B965" s="82">
        <f>SUBTOTAL(103,$D$8:D965)</f>
        <v>958</v>
      </c>
      <c r="C965" s="83" t="s">
        <v>973</v>
      </c>
      <c r="D965" s="84">
        <v>0</v>
      </c>
      <c r="E965" s="85" t="str">
        <f t="shared" si="100"/>
        <v/>
      </c>
      <c r="F965" s="106" t="str">
        <f t="shared" si="106"/>
        <v/>
      </c>
      <c r="G965" s="86"/>
      <c r="H965" s="107">
        <f t="shared" si="101"/>
        <v>0</v>
      </c>
      <c r="I965" s="107">
        <f t="shared" si="102"/>
        <v>0</v>
      </c>
      <c r="J965" s="87">
        <f>IF($D965&gt;0,IFERROR(Параметры!$D$42*$H965/$H$2408,0),0)</f>
        <v>0</v>
      </c>
      <c r="K965" s="87">
        <f>IFERROR(ROUND($N965*Параметры!$D$36,2),0)</f>
        <v>0</v>
      </c>
      <c r="L965" s="87">
        <f t="shared" si="103"/>
        <v>0</v>
      </c>
      <c r="M965" s="87">
        <f t="shared" si="104"/>
        <v>0</v>
      </c>
      <c r="N965" s="107" t="str">
        <f t="shared" si="105"/>
        <v/>
      </c>
    </row>
    <row r="966" spans="2:14" x14ac:dyDescent="0.25">
      <c r="B966" s="82">
        <f>SUBTOTAL(103,$D$8:D966)</f>
        <v>959</v>
      </c>
      <c r="C966" s="83" t="s">
        <v>974</v>
      </c>
      <c r="D966" s="84">
        <v>0</v>
      </c>
      <c r="E966" s="85" t="str">
        <f t="shared" si="100"/>
        <v/>
      </c>
      <c r="F966" s="106" t="str">
        <f t="shared" si="106"/>
        <v/>
      </c>
      <c r="G966" s="86"/>
      <c r="H966" s="107">
        <f t="shared" si="101"/>
        <v>0</v>
      </c>
      <c r="I966" s="107">
        <f t="shared" si="102"/>
        <v>0</v>
      </c>
      <c r="J966" s="87">
        <f>IF($D966&gt;0,IFERROR(Параметры!$D$42*$H966/$H$2408,0),0)</f>
        <v>0</v>
      </c>
      <c r="K966" s="87">
        <f>IFERROR(ROUND($N966*Параметры!$D$36,2),0)</f>
        <v>0</v>
      </c>
      <c r="L966" s="87">
        <f t="shared" si="103"/>
        <v>0</v>
      </c>
      <c r="M966" s="87">
        <f t="shared" si="104"/>
        <v>0</v>
      </c>
      <c r="N966" s="107" t="str">
        <f t="shared" si="105"/>
        <v/>
      </c>
    </row>
    <row r="967" spans="2:14" x14ac:dyDescent="0.25">
      <c r="B967" s="82">
        <f>SUBTOTAL(103,$D$8:D967)</f>
        <v>960</v>
      </c>
      <c r="C967" s="83" t="s">
        <v>975</v>
      </c>
      <c r="D967" s="84">
        <v>0</v>
      </c>
      <c r="E967" s="85" t="str">
        <f t="shared" si="100"/>
        <v/>
      </c>
      <c r="F967" s="106" t="str">
        <f t="shared" si="106"/>
        <v/>
      </c>
      <c r="G967" s="86"/>
      <c r="H967" s="107">
        <f t="shared" si="101"/>
        <v>0</v>
      </c>
      <c r="I967" s="107">
        <f t="shared" si="102"/>
        <v>0</v>
      </c>
      <c r="J967" s="87">
        <f>IF($D967&gt;0,IFERROR(Параметры!$D$42*$H967/$H$2408,0),0)</f>
        <v>0</v>
      </c>
      <c r="K967" s="87">
        <f>IFERROR(ROUND($N967*Параметры!$D$36,2),0)</f>
        <v>0</v>
      </c>
      <c r="L967" s="87">
        <f t="shared" si="103"/>
        <v>0</v>
      </c>
      <c r="M967" s="87">
        <f t="shared" si="104"/>
        <v>0</v>
      </c>
      <c r="N967" s="107" t="str">
        <f t="shared" si="105"/>
        <v/>
      </c>
    </row>
    <row r="968" spans="2:14" x14ac:dyDescent="0.25">
      <c r="B968" s="82">
        <f>SUBTOTAL(103,$D$8:D968)</f>
        <v>961</v>
      </c>
      <c r="C968" s="83" t="s">
        <v>976</v>
      </c>
      <c r="D968" s="84">
        <f t="array" ref="D968:D1027">TRANSPOSE('Зарядная карта'!$C$21:$BJ$21)</f>
        <v>4</v>
      </c>
      <c r="E968" s="85">
        <f t="shared" ref="E968:E1031" si="107">IF($D968&lt;1,"",$K968+$L968)</f>
        <v>62.814700000000002</v>
      </c>
      <c r="F968" s="106">
        <f t="shared" si="106"/>
        <v>2</v>
      </c>
      <c r="G968" s="86"/>
      <c r="H968" s="107">
        <f t="shared" ref="H968:H1031" si="108">IF($D968&gt;0,$D968*КИС,0)</f>
        <v>3.44</v>
      </c>
      <c r="I968" s="107">
        <f t="shared" ref="I968:I1031" si="109">IF($D968&gt;0,$D968-$H968,0)</f>
        <v>0.56000000000000005</v>
      </c>
      <c r="J968" s="87">
        <f>IF($D968&gt;0,IFERROR(Параметры!$D$42*$H968/$H$2408,0),0)</f>
        <v>60.103959390862947</v>
      </c>
      <c r="K968" s="87">
        <f>IFERROR(ROUND($N968*Параметры!$D$36,2),0)</f>
        <v>59.54</v>
      </c>
      <c r="L968" s="87">
        <f t="shared" ref="L968:L1031" si="110">IF($K968&gt;0,$K968*0.055,0)</f>
        <v>3.2747000000000002</v>
      </c>
      <c r="M968" s="87">
        <f t="shared" ref="M968:M1031" si="111">IFERROR($L968/Плотность_ДТ,0)</f>
        <v>3.8420790191534921</v>
      </c>
      <c r="N968" s="107">
        <f t="shared" ref="N968:N1031" si="112">IF($D968&gt;0,MAX(0,$D968-IF($F968="",0,$F968)),"")</f>
        <v>2</v>
      </c>
    </row>
    <row r="969" spans="2:14" x14ac:dyDescent="0.25">
      <c r="B969" s="82">
        <f>SUBTOTAL(103,$D$8:D969)</f>
        <v>962</v>
      </c>
      <c r="C969" s="83" t="s">
        <v>977</v>
      </c>
      <c r="D969" s="84">
        <v>8</v>
      </c>
      <c r="E969" s="85">
        <f t="shared" si="107"/>
        <v>188.44409999999999</v>
      </c>
      <c r="F969" s="106">
        <f t="shared" si="106"/>
        <v>2</v>
      </c>
      <c r="G969" s="86"/>
      <c r="H969" s="107">
        <f t="shared" si="108"/>
        <v>6.88</v>
      </c>
      <c r="I969" s="107">
        <f t="shared" si="109"/>
        <v>1.1200000000000001</v>
      </c>
      <c r="J969" s="87">
        <f>IF($D969&gt;0,IFERROR(Параметры!$D$42*$H969/$H$2408,0),0)</f>
        <v>120.20791878172589</v>
      </c>
      <c r="K969" s="87">
        <f>IFERROR(ROUND($N969*Параметры!$D$36,2),0)</f>
        <v>178.62</v>
      </c>
      <c r="L969" s="87">
        <f t="shared" si="110"/>
        <v>9.8240999999999996</v>
      </c>
      <c r="M969" s="87">
        <f t="shared" si="111"/>
        <v>11.526237057460476</v>
      </c>
      <c r="N969" s="107">
        <f t="shared" si="112"/>
        <v>6</v>
      </c>
    </row>
    <row r="970" spans="2:14" x14ac:dyDescent="0.25">
      <c r="B970" s="82">
        <f>SUBTOTAL(103,$D$8:D970)</f>
        <v>963</v>
      </c>
      <c r="C970" s="83" t="s">
        <v>978</v>
      </c>
      <c r="D970" s="84">
        <v>8</v>
      </c>
      <c r="E970" s="85">
        <f t="shared" si="107"/>
        <v>188.44409999999999</v>
      </c>
      <c r="F970" s="106">
        <f t="shared" si="106"/>
        <v>2</v>
      </c>
      <c r="G970" s="86"/>
      <c r="H970" s="107">
        <f t="shared" si="108"/>
        <v>6.88</v>
      </c>
      <c r="I970" s="107">
        <f t="shared" si="109"/>
        <v>1.1200000000000001</v>
      </c>
      <c r="J970" s="87">
        <f>IF($D970&gt;0,IFERROR(Параметры!$D$42*$H970/$H$2408,0),0)</f>
        <v>120.20791878172589</v>
      </c>
      <c r="K970" s="87">
        <f>IFERROR(ROUND($N970*Параметры!$D$36,2),0)</f>
        <v>178.62</v>
      </c>
      <c r="L970" s="87">
        <f t="shared" si="110"/>
        <v>9.8240999999999996</v>
      </c>
      <c r="M970" s="87">
        <f t="shared" si="111"/>
        <v>11.526237057460476</v>
      </c>
      <c r="N970" s="107">
        <f t="shared" si="112"/>
        <v>6</v>
      </c>
    </row>
    <row r="971" spans="2:14" x14ac:dyDescent="0.25">
      <c r="B971" s="82">
        <f>SUBTOTAL(103,$D$8:D971)</f>
        <v>964</v>
      </c>
      <c r="C971" s="83" t="s">
        <v>979</v>
      </c>
      <c r="D971" s="84">
        <v>8</v>
      </c>
      <c r="E971" s="85">
        <f t="shared" si="107"/>
        <v>188.44409999999999</v>
      </c>
      <c r="F971" s="106">
        <f t="shared" ref="F971:F1034" si="113">IF(D971&gt;0,2,"")</f>
        <v>2</v>
      </c>
      <c r="G971" s="86"/>
      <c r="H971" s="107">
        <f t="shared" si="108"/>
        <v>6.88</v>
      </c>
      <c r="I971" s="107">
        <f t="shared" si="109"/>
        <v>1.1200000000000001</v>
      </c>
      <c r="J971" s="87">
        <f>IF($D971&gt;0,IFERROR(Параметры!$D$42*$H971/$H$2408,0),0)</f>
        <v>120.20791878172589</v>
      </c>
      <c r="K971" s="87">
        <f>IFERROR(ROUND($N971*Параметры!$D$36,2),0)</f>
        <v>178.62</v>
      </c>
      <c r="L971" s="87">
        <f t="shared" si="110"/>
        <v>9.8240999999999996</v>
      </c>
      <c r="M971" s="87">
        <f t="shared" si="111"/>
        <v>11.526237057460476</v>
      </c>
      <c r="N971" s="107">
        <f t="shared" si="112"/>
        <v>6</v>
      </c>
    </row>
    <row r="972" spans="2:14" x14ac:dyDescent="0.25">
      <c r="B972" s="82">
        <f>SUBTOTAL(103,$D$8:D972)</f>
        <v>965</v>
      </c>
      <c r="C972" s="83" t="s">
        <v>980</v>
      </c>
      <c r="D972" s="84">
        <v>8</v>
      </c>
      <c r="E972" s="85">
        <f t="shared" si="107"/>
        <v>188.44409999999999</v>
      </c>
      <c r="F972" s="106">
        <f t="shared" si="113"/>
        <v>2</v>
      </c>
      <c r="G972" s="86"/>
      <c r="H972" s="107">
        <f t="shared" si="108"/>
        <v>6.88</v>
      </c>
      <c r="I972" s="107">
        <f t="shared" si="109"/>
        <v>1.1200000000000001</v>
      </c>
      <c r="J972" s="87">
        <f>IF($D972&gt;0,IFERROR(Параметры!$D$42*$H972/$H$2408,0),0)</f>
        <v>120.20791878172589</v>
      </c>
      <c r="K972" s="87">
        <f>IFERROR(ROUND($N972*Параметры!$D$36,2),0)</f>
        <v>178.62</v>
      </c>
      <c r="L972" s="87">
        <f t="shared" si="110"/>
        <v>9.8240999999999996</v>
      </c>
      <c r="M972" s="87">
        <f t="shared" si="111"/>
        <v>11.526237057460476</v>
      </c>
      <c r="N972" s="107">
        <f t="shared" si="112"/>
        <v>6</v>
      </c>
    </row>
    <row r="973" spans="2:14" x14ac:dyDescent="0.25">
      <c r="B973" s="82">
        <f>SUBTOTAL(103,$D$8:D973)</f>
        <v>966</v>
      </c>
      <c r="C973" s="83" t="s">
        <v>981</v>
      </c>
      <c r="D973" s="84">
        <v>8</v>
      </c>
      <c r="E973" s="85">
        <f t="shared" si="107"/>
        <v>188.44409999999999</v>
      </c>
      <c r="F973" s="106">
        <f t="shared" si="113"/>
        <v>2</v>
      </c>
      <c r="G973" s="86"/>
      <c r="H973" s="107">
        <f t="shared" si="108"/>
        <v>6.88</v>
      </c>
      <c r="I973" s="107">
        <f t="shared" si="109"/>
        <v>1.1200000000000001</v>
      </c>
      <c r="J973" s="87">
        <f>IF($D973&gt;0,IFERROR(Параметры!$D$42*$H973/$H$2408,0),0)</f>
        <v>120.20791878172589</v>
      </c>
      <c r="K973" s="87">
        <f>IFERROR(ROUND($N973*Параметры!$D$36,2),0)</f>
        <v>178.62</v>
      </c>
      <c r="L973" s="87">
        <f t="shared" si="110"/>
        <v>9.8240999999999996</v>
      </c>
      <c r="M973" s="87">
        <f t="shared" si="111"/>
        <v>11.526237057460476</v>
      </c>
      <c r="N973" s="107">
        <f t="shared" si="112"/>
        <v>6</v>
      </c>
    </row>
    <row r="974" spans="2:14" x14ac:dyDescent="0.25">
      <c r="B974" s="82">
        <f>SUBTOTAL(103,$D$8:D974)</f>
        <v>967</v>
      </c>
      <c r="C974" s="83" t="s">
        <v>982</v>
      </c>
      <c r="D974" s="84">
        <v>8</v>
      </c>
      <c r="E974" s="85">
        <f t="shared" si="107"/>
        <v>188.44409999999999</v>
      </c>
      <c r="F974" s="106">
        <f t="shared" si="113"/>
        <v>2</v>
      </c>
      <c r="G974" s="86"/>
      <c r="H974" s="107">
        <f t="shared" si="108"/>
        <v>6.88</v>
      </c>
      <c r="I974" s="107">
        <f t="shared" si="109"/>
        <v>1.1200000000000001</v>
      </c>
      <c r="J974" s="87">
        <f>IF($D974&gt;0,IFERROR(Параметры!$D$42*$H974/$H$2408,0),0)</f>
        <v>120.20791878172589</v>
      </c>
      <c r="K974" s="87">
        <f>IFERROR(ROUND($N974*Параметры!$D$36,2),0)</f>
        <v>178.62</v>
      </c>
      <c r="L974" s="87">
        <f t="shared" si="110"/>
        <v>9.8240999999999996</v>
      </c>
      <c r="M974" s="87">
        <f t="shared" si="111"/>
        <v>11.526237057460476</v>
      </c>
      <c r="N974" s="107">
        <f t="shared" si="112"/>
        <v>6</v>
      </c>
    </row>
    <row r="975" spans="2:14" x14ac:dyDescent="0.25">
      <c r="B975" s="82">
        <f>SUBTOTAL(103,$D$8:D975)</f>
        <v>968</v>
      </c>
      <c r="C975" s="83" t="s">
        <v>983</v>
      </c>
      <c r="D975" s="84">
        <v>8</v>
      </c>
      <c r="E975" s="85">
        <f t="shared" si="107"/>
        <v>188.44409999999999</v>
      </c>
      <c r="F975" s="106">
        <f t="shared" si="113"/>
        <v>2</v>
      </c>
      <c r="G975" s="86"/>
      <c r="H975" s="107">
        <f t="shared" si="108"/>
        <v>6.88</v>
      </c>
      <c r="I975" s="107">
        <f t="shared" si="109"/>
        <v>1.1200000000000001</v>
      </c>
      <c r="J975" s="87">
        <f>IF($D975&gt;0,IFERROR(Параметры!$D$42*$H975/$H$2408,0),0)</f>
        <v>120.20791878172589</v>
      </c>
      <c r="K975" s="87">
        <f>IFERROR(ROUND($N975*Параметры!$D$36,2),0)</f>
        <v>178.62</v>
      </c>
      <c r="L975" s="87">
        <f t="shared" si="110"/>
        <v>9.8240999999999996</v>
      </c>
      <c r="M975" s="87">
        <f t="shared" si="111"/>
        <v>11.526237057460476</v>
      </c>
      <c r="N975" s="107">
        <f t="shared" si="112"/>
        <v>6</v>
      </c>
    </row>
    <row r="976" spans="2:14" x14ac:dyDescent="0.25">
      <c r="B976" s="82">
        <f>SUBTOTAL(103,$D$8:D976)</f>
        <v>969</v>
      </c>
      <c r="C976" s="83" t="s">
        <v>984</v>
      </c>
      <c r="D976" s="84">
        <v>8</v>
      </c>
      <c r="E976" s="85">
        <f t="shared" si="107"/>
        <v>188.44409999999999</v>
      </c>
      <c r="F976" s="106">
        <f t="shared" si="113"/>
        <v>2</v>
      </c>
      <c r="G976" s="86"/>
      <c r="H976" s="107">
        <f t="shared" si="108"/>
        <v>6.88</v>
      </c>
      <c r="I976" s="107">
        <f t="shared" si="109"/>
        <v>1.1200000000000001</v>
      </c>
      <c r="J976" s="87">
        <f>IF($D976&gt;0,IFERROR(Параметры!$D$42*$H976/$H$2408,0),0)</f>
        <v>120.20791878172589</v>
      </c>
      <c r="K976" s="87">
        <f>IFERROR(ROUND($N976*Параметры!$D$36,2),0)</f>
        <v>178.62</v>
      </c>
      <c r="L976" s="87">
        <f t="shared" si="110"/>
        <v>9.8240999999999996</v>
      </c>
      <c r="M976" s="87">
        <f t="shared" si="111"/>
        <v>11.526237057460476</v>
      </c>
      <c r="N976" s="107">
        <f t="shared" si="112"/>
        <v>6</v>
      </c>
    </row>
    <row r="977" spans="2:14" x14ac:dyDescent="0.25">
      <c r="B977" s="82">
        <f>SUBTOTAL(103,$D$8:D977)</f>
        <v>970</v>
      </c>
      <c r="C977" s="83" t="s">
        <v>985</v>
      </c>
      <c r="D977" s="84">
        <v>8</v>
      </c>
      <c r="E977" s="85">
        <f t="shared" si="107"/>
        <v>188.44409999999999</v>
      </c>
      <c r="F977" s="106">
        <f t="shared" si="113"/>
        <v>2</v>
      </c>
      <c r="G977" s="86"/>
      <c r="H977" s="107">
        <f t="shared" si="108"/>
        <v>6.88</v>
      </c>
      <c r="I977" s="107">
        <f t="shared" si="109"/>
        <v>1.1200000000000001</v>
      </c>
      <c r="J977" s="87">
        <f>IF($D977&gt;0,IFERROR(Параметры!$D$42*$H977/$H$2408,0),0)</f>
        <v>120.20791878172589</v>
      </c>
      <c r="K977" s="87">
        <f>IFERROR(ROUND($N977*Параметры!$D$36,2),0)</f>
        <v>178.62</v>
      </c>
      <c r="L977" s="87">
        <f t="shared" si="110"/>
        <v>9.8240999999999996</v>
      </c>
      <c r="M977" s="87">
        <f t="shared" si="111"/>
        <v>11.526237057460476</v>
      </c>
      <c r="N977" s="107">
        <f t="shared" si="112"/>
        <v>6</v>
      </c>
    </row>
    <row r="978" spans="2:14" x14ac:dyDescent="0.25">
      <c r="B978" s="82">
        <f>SUBTOTAL(103,$D$8:D978)</f>
        <v>971</v>
      </c>
      <c r="C978" s="83" t="s">
        <v>986</v>
      </c>
      <c r="D978" s="84">
        <v>8</v>
      </c>
      <c r="E978" s="85">
        <f t="shared" si="107"/>
        <v>188.44409999999999</v>
      </c>
      <c r="F978" s="106">
        <f t="shared" si="113"/>
        <v>2</v>
      </c>
      <c r="G978" s="86"/>
      <c r="H978" s="107">
        <f t="shared" si="108"/>
        <v>6.88</v>
      </c>
      <c r="I978" s="107">
        <f t="shared" si="109"/>
        <v>1.1200000000000001</v>
      </c>
      <c r="J978" s="87">
        <f>IF($D978&gt;0,IFERROR(Параметры!$D$42*$H978/$H$2408,0),0)</f>
        <v>120.20791878172589</v>
      </c>
      <c r="K978" s="87">
        <f>IFERROR(ROUND($N978*Параметры!$D$36,2),0)</f>
        <v>178.62</v>
      </c>
      <c r="L978" s="87">
        <f t="shared" si="110"/>
        <v>9.8240999999999996</v>
      </c>
      <c r="M978" s="87">
        <f t="shared" si="111"/>
        <v>11.526237057460476</v>
      </c>
      <c r="N978" s="107">
        <f t="shared" si="112"/>
        <v>6</v>
      </c>
    </row>
    <row r="979" spans="2:14" x14ac:dyDescent="0.25">
      <c r="B979" s="82">
        <f>SUBTOTAL(103,$D$8:D979)</f>
        <v>972</v>
      </c>
      <c r="C979" s="83" t="s">
        <v>987</v>
      </c>
      <c r="D979" s="84">
        <v>4</v>
      </c>
      <c r="E979" s="85">
        <f t="shared" si="107"/>
        <v>62.814700000000002</v>
      </c>
      <c r="F979" s="106">
        <f t="shared" si="113"/>
        <v>2</v>
      </c>
      <c r="G979" s="86"/>
      <c r="H979" s="107">
        <f t="shared" si="108"/>
        <v>3.44</v>
      </c>
      <c r="I979" s="107">
        <f t="shared" si="109"/>
        <v>0.56000000000000005</v>
      </c>
      <c r="J979" s="87">
        <f>IF($D979&gt;0,IFERROR(Параметры!$D$42*$H979/$H$2408,0),0)</f>
        <v>60.103959390862947</v>
      </c>
      <c r="K979" s="87">
        <f>IFERROR(ROUND($N979*Параметры!$D$36,2),0)</f>
        <v>59.54</v>
      </c>
      <c r="L979" s="87">
        <f t="shared" si="110"/>
        <v>3.2747000000000002</v>
      </c>
      <c r="M979" s="87">
        <f t="shared" si="111"/>
        <v>3.8420790191534921</v>
      </c>
      <c r="N979" s="107">
        <f t="shared" si="112"/>
        <v>2</v>
      </c>
    </row>
    <row r="980" spans="2:14" x14ac:dyDescent="0.25">
      <c r="B980" s="82">
        <f>SUBTOTAL(103,$D$8:D980)</f>
        <v>973</v>
      </c>
      <c r="C980" s="83" t="s">
        <v>988</v>
      </c>
      <c r="D980" s="84">
        <v>0</v>
      </c>
      <c r="E980" s="85" t="str">
        <f t="shared" si="107"/>
        <v/>
      </c>
      <c r="F980" s="106" t="str">
        <f t="shared" si="113"/>
        <v/>
      </c>
      <c r="G980" s="86"/>
      <c r="H980" s="107">
        <f t="shared" si="108"/>
        <v>0</v>
      </c>
      <c r="I980" s="107">
        <f t="shared" si="109"/>
        <v>0</v>
      </c>
      <c r="J980" s="87">
        <f>IF($D980&gt;0,IFERROR(Параметры!$D$42*$H980/$H$2408,0),0)</f>
        <v>0</v>
      </c>
      <c r="K980" s="87">
        <f>IFERROR(ROUND($N980*Параметры!$D$36,2),0)</f>
        <v>0</v>
      </c>
      <c r="L980" s="87">
        <f t="shared" si="110"/>
        <v>0</v>
      </c>
      <c r="M980" s="87">
        <f t="shared" si="111"/>
        <v>0</v>
      </c>
      <c r="N980" s="107" t="str">
        <f t="shared" si="112"/>
        <v/>
      </c>
    </row>
    <row r="981" spans="2:14" x14ac:dyDescent="0.25">
      <c r="B981" s="82">
        <f>SUBTOTAL(103,$D$8:D981)</f>
        <v>974</v>
      </c>
      <c r="C981" s="83" t="s">
        <v>989</v>
      </c>
      <c r="D981" s="84">
        <v>0</v>
      </c>
      <c r="E981" s="85" t="str">
        <f t="shared" si="107"/>
        <v/>
      </c>
      <c r="F981" s="106" t="str">
        <f t="shared" si="113"/>
        <v/>
      </c>
      <c r="G981" s="86"/>
      <c r="H981" s="107">
        <f t="shared" si="108"/>
        <v>0</v>
      </c>
      <c r="I981" s="107">
        <f t="shared" si="109"/>
        <v>0</v>
      </c>
      <c r="J981" s="87">
        <f>IF($D981&gt;0,IFERROR(Параметры!$D$42*$H981/$H$2408,0),0)</f>
        <v>0</v>
      </c>
      <c r="K981" s="87">
        <f>IFERROR(ROUND($N981*Параметры!$D$36,2),0)</f>
        <v>0</v>
      </c>
      <c r="L981" s="87">
        <f t="shared" si="110"/>
        <v>0</v>
      </c>
      <c r="M981" s="87">
        <f t="shared" si="111"/>
        <v>0</v>
      </c>
      <c r="N981" s="107" t="str">
        <f t="shared" si="112"/>
        <v/>
      </c>
    </row>
    <row r="982" spans="2:14" x14ac:dyDescent="0.25">
      <c r="B982" s="82">
        <f>SUBTOTAL(103,$D$8:D982)</f>
        <v>975</v>
      </c>
      <c r="C982" s="83" t="s">
        <v>990</v>
      </c>
      <c r="D982" s="84">
        <v>0</v>
      </c>
      <c r="E982" s="85" t="str">
        <f t="shared" si="107"/>
        <v/>
      </c>
      <c r="F982" s="106" t="str">
        <f t="shared" si="113"/>
        <v/>
      </c>
      <c r="G982" s="86"/>
      <c r="H982" s="107">
        <f t="shared" si="108"/>
        <v>0</v>
      </c>
      <c r="I982" s="107">
        <f t="shared" si="109"/>
        <v>0</v>
      </c>
      <c r="J982" s="87">
        <f>IF($D982&gt;0,IFERROR(Параметры!$D$42*$H982/$H$2408,0),0)</f>
        <v>0</v>
      </c>
      <c r="K982" s="87">
        <f>IFERROR(ROUND($N982*Параметры!$D$36,2),0)</f>
        <v>0</v>
      </c>
      <c r="L982" s="87">
        <f t="shared" si="110"/>
        <v>0</v>
      </c>
      <c r="M982" s="87">
        <f t="shared" si="111"/>
        <v>0</v>
      </c>
      <c r="N982" s="107" t="str">
        <f t="shared" si="112"/>
        <v/>
      </c>
    </row>
    <row r="983" spans="2:14" x14ac:dyDescent="0.25">
      <c r="B983" s="82">
        <f>SUBTOTAL(103,$D$8:D983)</f>
        <v>976</v>
      </c>
      <c r="C983" s="83" t="s">
        <v>991</v>
      </c>
      <c r="D983" s="84">
        <v>0</v>
      </c>
      <c r="E983" s="85" t="str">
        <f t="shared" si="107"/>
        <v/>
      </c>
      <c r="F983" s="106" t="str">
        <f t="shared" si="113"/>
        <v/>
      </c>
      <c r="G983" s="86"/>
      <c r="H983" s="107">
        <f t="shared" si="108"/>
        <v>0</v>
      </c>
      <c r="I983" s="107">
        <f t="shared" si="109"/>
        <v>0</v>
      </c>
      <c r="J983" s="87">
        <f>IF($D983&gt;0,IFERROR(Параметры!$D$42*$H983/$H$2408,0),0)</f>
        <v>0</v>
      </c>
      <c r="K983" s="87">
        <f>IFERROR(ROUND($N983*Параметры!$D$36,2),0)</f>
        <v>0</v>
      </c>
      <c r="L983" s="87">
        <f t="shared" si="110"/>
        <v>0</v>
      </c>
      <c r="M983" s="87">
        <f t="shared" si="111"/>
        <v>0</v>
      </c>
      <c r="N983" s="107" t="str">
        <f t="shared" si="112"/>
        <v/>
      </c>
    </row>
    <row r="984" spans="2:14" x14ac:dyDescent="0.25">
      <c r="B984" s="82">
        <f>SUBTOTAL(103,$D$8:D984)</f>
        <v>977</v>
      </c>
      <c r="C984" s="83" t="s">
        <v>992</v>
      </c>
      <c r="D984" s="84">
        <v>0</v>
      </c>
      <c r="E984" s="85" t="str">
        <f t="shared" si="107"/>
        <v/>
      </c>
      <c r="F984" s="106" t="str">
        <f t="shared" si="113"/>
        <v/>
      </c>
      <c r="G984" s="86"/>
      <c r="H984" s="107">
        <f t="shared" si="108"/>
        <v>0</v>
      </c>
      <c r="I984" s="107">
        <f t="shared" si="109"/>
        <v>0</v>
      </c>
      <c r="J984" s="87">
        <f>IF($D984&gt;0,IFERROR(Параметры!$D$42*$H984/$H$2408,0),0)</f>
        <v>0</v>
      </c>
      <c r="K984" s="87">
        <f>IFERROR(ROUND($N984*Параметры!$D$36,2),0)</f>
        <v>0</v>
      </c>
      <c r="L984" s="87">
        <f t="shared" si="110"/>
        <v>0</v>
      </c>
      <c r="M984" s="87">
        <f t="shared" si="111"/>
        <v>0</v>
      </c>
      <c r="N984" s="107" t="str">
        <f t="shared" si="112"/>
        <v/>
      </c>
    </row>
    <row r="985" spans="2:14" x14ac:dyDescent="0.25">
      <c r="B985" s="82">
        <f>SUBTOTAL(103,$D$8:D985)</f>
        <v>978</v>
      </c>
      <c r="C985" s="83" t="s">
        <v>993</v>
      </c>
      <c r="D985" s="84">
        <v>0</v>
      </c>
      <c r="E985" s="85" t="str">
        <f t="shared" si="107"/>
        <v/>
      </c>
      <c r="F985" s="106" t="str">
        <f t="shared" si="113"/>
        <v/>
      </c>
      <c r="G985" s="86"/>
      <c r="H985" s="107">
        <f t="shared" si="108"/>
        <v>0</v>
      </c>
      <c r="I985" s="107">
        <f t="shared" si="109"/>
        <v>0</v>
      </c>
      <c r="J985" s="87">
        <f>IF($D985&gt;0,IFERROR(Параметры!$D$42*$H985/$H$2408,0),0)</f>
        <v>0</v>
      </c>
      <c r="K985" s="87">
        <f>IFERROR(ROUND($N985*Параметры!$D$36,2),0)</f>
        <v>0</v>
      </c>
      <c r="L985" s="87">
        <f t="shared" si="110"/>
        <v>0</v>
      </c>
      <c r="M985" s="87">
        <f t="shared" si="111"/>
        <v>0</v>
      </c>
      <c r="N985" s="107" t="str">
        <f t="shared" si="112"/>
        <v/>
      </c>
    </row>
    <row r="986" spans="2:14" x14ac:dyDescent="0.25">
      <c r="B986" s="82">
        <f>SUBTOTAL(103,$D$8:D986)</f>
        <v>979</v>
      </c>
      <c r="C986" s="83" t="s">
        <v>994</v>
      </c>
      <c r="D986" s="84">
        <v>0</v>
      </c>
      <c r="E986" s="85" t="str">
        <f t="shared" si="107"/>
        <v/>
      </c>
      <c r="F986" s="106" t="str">
        <f t="shared" si="113"/>
        <v/>
      </c>
      <c r="G986" s="86"/>
      <c r="H986" s="107">
        <f t="shared" si="108"/>
        <v>0</v>
      </c>
      <c r="I986" s="107">
        <f t="shared" si="109"/>
        <v>0</v>
      </c>
      <c r="J986" s="87">
        <f>IF($D986&gt;0,IFERROR(Параметры!$D$42*$H986/$H$2408,0),0)</f>
        <v>0</v>
      </c>
      <c r="K986" s="87">
        <f>IFERROR(ROUND($N986*Параметры!$D$36,2),0)</f>
        <v>0</v>
      </c>
      <c r="L986" s="87">
        <f t="shared" si="110"/>
        <v>0</v>
      </c>
      <c r="M986" s="87">
        <f t="shared" si="111"/>
        <v>0</v>
      </c>
      <c r="N986" s="107" t="str">
        <f t="shared" si="112"/>
        <v/>
      </c>
    </row>
    <row r="987" spans="2:14" x14ac:dyDescent="0.25">
      <c r="B987" s="82">
        <f>SUBTOTAL(103,$D$8:D987)</f>
        <v>980</v>
      </c>
      <c r="C987" s="83" t="s">
        <v>995</v>
      </c>
      <c r="D987" s="84">
        <v>0</v>
      </c>
      <c r="E987" s="85" t="str">
        <f t="shared" si="107"/>
        <v/>
      </c>
      <c r="F987" s="106" t="str">
        <f t="shared" si="113"/>
        <v/>
      </c>
      <c r="G987" s="86"/>
      <c r="H987" s="107">
        <f t="shared" si="108"/>
        <v>0</v>
      </c>
      <c r="I987" s="107">
        <f t="shared" si="109"/>
        <v>0</v>
      </c>
      <c r="J987" s="87">
        <f>IF($D987&gt;0,IFERROR(Параметры!$D$42*$H987/$H$2408,0),0)</f>
        <v>0</v>
      </c>
      <c r="K987" s="87">
        <f>IFERROR(ROUND($N987*Параметры!$D$36,2),0)</f>
        <v>0</v>
      </c>
      <c r="L987" s="87">
        <f t="shared" si="110"/>
        <v>0</v>
      </c>
      <c r="M987" s="87">
        <f t="shared" si="111"/>
        <v>0</v>
      </c>
      <c r="N987" s="107" t="str">
        <f t="shared" si="112"/>
        <v/>
      </c>
    </row>
    <row r="988" spans="2:14" x14ac:dyDescent="0.25">
      <c r="B988" s="82">
        <f>SUBTOTAL(103,$D$8:D988)</f>
        <v>981</v>
      </c>
      <c r="C988" s="83" t="s">
        <v>996</v>
      </c>
      <c r="D988" s="84">
        <v>0</v>
      </c>
      <c r="E988" s="85" t="str">
        <f t="shared" si="107"/>
        <v/>
      </c>
      <c r="F988" s="106" t="str">
        <f t="shared" si="113"/>
        <v/>
      </c>
      <c r="G988" s="86"/>
      <c r="H988" s="107">
        <f t="shared" si="108"/>
        <v>0</v>
      </c>
      <c r="I988" s="107">
        <f t="shared" si="109"/>
        <v>0</v>
      </c>
      <c r="J988" s="87">
        <f>IF($D988&gt;0,IFERROR(Параметры!$D$42*$H988/$H$2408,0),0)</f>
        <v>0</v>
      </c>
      <c r="K988" s="87">
        <f>IFERROR(ROUND($N988*Параметры!$D$36,2),0)</f>
        <v>0</v>
      </c>
      <c r="L988" s="87">
        <f t="shared" si="110"/>
        <v>0</v>
      </c>
      <c r="M988" s="87">
        <f t="shared" si="111"/>
        <v>0</v>
      </c>
      <c r="N988" s="107" t="str">
        <f t="shared" si="112"/>
        <v/>
      </c>
    </row>
    <row r="989" spans="2:14" x14ac:dyDescent="0.25">
      <c r="B989" s="82">
        <f>SUBTOTAL(103,$D$8:D989)</f>
        <v>982</v>
      </c>
      <c r="C989" s="83" t="s">
        <v>997</v>
      </c>
      <c r="D989" s="84">
        <v>0</v>
      </c>
      <c r="E989" s="85" t="str">
        <f t="shared" si="107"/>
        <v/>
      </c>
      <c r="F989" s="106" t="str">
        <f t="shared" si="113"/>
        <v/>
      </c>
      <c r="G989" s="86"/>
      <c r="H989" s="107">
        <f t="shared" si="108"/>
        <v>0</v>
      </c>
      <c r="I989" s="107">
        <f t="shared" si="109"/>
        <v>0</v>
      </c>
      <c r="J989" s="87">
        <f>IF($D989&gt;0,IFERROR(Параметры!$D$42*$H989/$H$2408,0),0)</f>
        <v>0</v>
      </c>
      <c r="K989" s="87">
        <f>IFERROR(ROUND($N989*Параметры!$D$36,2),0)</f>
        <v>0</v>
      </c>
      <c r="L989" s="87">
        <f t="shared" si="110"/>
        <v>0</v>
      </c>
      <c r="M989" s="87">
        <f t="shared" si="111"/>
        <v>0</v>
      </c>
      <c r="N989" s="107" t="str">
        <f t="shared" si="112"/>
        <v/>
      </c>
    </row>
    <row r="990" spans="2:14" x14ac:dyDescent="0.25">
      <c r="B990" s="82">
        <f>SUBTOTAL(103,$D$8:D990)</f>
        <v>983</v>
      </c>
      <c r="C990" s="83" t="s">
        <v>998</v>
      </c>
      <c r="D990" s="84">
        <v>0</v>
      </c>
      <c r="E990" s="85" t="str">
        <f t="shared" si="107"/>
        <v/>
      </c>
      <c r="F990" s="106" t="str">
        <f t="shared" si="113"/>
        <v/>
      </c>
      <c r="G990" s="86"/>
      <c r="H990" s="107">
        <f t="shared" si="108"/>
        <v>0</v>
      </c>
      <c r="I990" s="107">
        <f t="shared" si="109"/>
        <v>0</v>
      </c>
      <c r="J990" s="87">
        <f>IF($D990&gt;0,IFERROR(Параметры!$D$42*$H990/$H$2408,0),0)</f>
        <v>0</v>
      </c>
      <c r="K990" s="87">
        <f>IFERROR(ROUND($N990*Параметры!$D$36,2),0)</f>
        <v>0</v>
      </c>
      <c r="L990" s="87">
        <f t="shared" si="110"/>
        <v>0</v>
      </c>
      <c r="M990" s="87">
        <f t="shared" si="111"/>
        <v>0</v>
      </c>
      <c r="N990" s="107" t="str">
        <f t="shared" si="112"/>
        <v/>
      </c>
    </row>
    <row r="991" spans="2:14" x14ac:dyDescent="0.25">
      <c r="B991" s="82">
        <f>SUBTOTAL(103,$D$8:D991)</f>
        <v>984</v>
      </c>
      <c r="C991" s="83" t="s">
        <v>999</v>
      </c>
      <c r="D991" s="84">
        <v>0</v>
      </c>
      <c r="E991" s="85" t="str">
        <f t="shared" si="107"/>
        <v/>
      </c>
      <c r="F991" s="106" t="str">
        <f t="shared" si="113"/>
        <v/>
      </c>
      <c r="G991" s="86"/>
      <c r="H991" s="107">
        <f t="shared" si="108"/>
        <v>0</v>
      </c>
      <c r="I991" s="107">
        <f t="shared" si="109"/>
        <v>0</v>
      </c>
      <c r="J991" s="87">
        <f>IF($D991&gt;0,IFERROR(Параметры!$D$42*$H991/$H$2408,0),0)</f>
        <v>0</v>
      </c>
      <c r="K991" s="87">
        <f>IFERROR(ROUND($N991*Параметры!$D$36,2),0)</f>
        <v>0</v>
      </c>
      <c r="L991" s="87">
        <f t="shared" si="110"/>
        <v>0</v>
      </c>
      <c r="M991" s="87">
        <f t="shared" si="111"/>
        <v>0</v>
      </c>
      <c r="N991" s="107" t="str">
        <f t="shared" si="112"/>
        <v/>
      </c>
    </row>
    <row r="992" spans="2:14" x14ac:dyDescent="0.25">
      <c r="B992" s="82">
        <f>SUBTOTAL(103,$D$8:D992)</f>
        <v>985</v>
      </c>
      <c r="C992" s="83" t="s">
        <v>1000</v>
      </c>
      <c r="D992" s="84">
        <v>0</v>
      </c>
      <c r="E992" s="85" t="str">
        <f t="shared" si="107"/>
        <v/>
      </c>
      <c r="F992" s="106" t="str">
        <f t="shared" si="113"/>
        <v/>
      </c>
      <c r="G992" s="86"/>
      <c r="H992" s="107">
        <f t="shared" si="108"/>
        <v>0</v>
      </c>
      <c r="I992" s="107">
        <f t="shared" si="109"/>
        <v>0</v>
      </c>
      <c r="J992" s="87">
        <f>IF($D992&gt;0,IFERROR(Параметры!$D$42*$H992/$H$2408,0),0)</f>
        <v>0</v>
      </c>
      <c r="K992" s="87">
        <f>IFERROR(ROUND($N992*Параметры!$D$36,2),0)</f>
        <v>0</v>
      </c>
      <c r="L992" s="87">
        <f t="shared" si="110"/>
        <v>0</v>
      </c>
      <c r="M992" s="87">
        <f t="shared" si="111"/>
        <v>0</v>
      </c>
      <c r="N992" s="107" t="str">
        <f t="shared" si="112"/>
        <v/>
      </c>
    </row>
    <row r="993" spans="2:14" x14ac:dyDescent="0.25">
      <c r="B993" s="82">
        <f>SUBTOTAL(103,$D$8:D993)</f>
        <v>986</v>
      </c>
      <c r="C993" s="83" t="s">
        <v>1001</v>
      </c>
      <c r="D993" s="84">
        <v>0</v>
      </c>
      <c r="E993" s="85" t="str">
        <f t="shared" si="107"/>
        <v/>
      </c>
      <c r="F993" s="106" t="str">
        <f t="shared" si="113"/>
        <v/>
      </c>
      <c r="G993" s="86"/>
      <c r="H993" s="107">
        <f t="shared" si="108"/>
        <v>0</v>
      </c>
      <c r="I993" s="107">
        <f t="shared" si="109"/>
        <v>0</v>
      </c>
      <c r="J993" s="87">
        <f>IF($D993&gt;0,IFERROR(Параметры!$D$42*$H993/$H$2408,0),0)</f>
        <v>0</v>
      </c>
      <c r="K993" s="87">
        <f>IFERROR(ROUND($N993*Параметры!$D$36,2),0)</f>
        <v>0</v>
      </c>
      <c r="L993" s="87">
        <f t="shared" si="110"/>
        <v>0</v>
      </c>
      <c r="M993" s="87">
        <f t="shared" si="111"/>
        <v>0</v>
      </c>
      <c r="N993" s="107" t="str">
        <f t="shared" si="112"/>
        <v/>
      </c>
    </row>
    <row r="994" spans="2:14" x14ac:dyDescent="0.25">
      <c r="B994" s="82">
        <f>SUBTOTAL(103,$D$8:D994)</f>
        <v>987</v>
      </c>
      <c r="C994" s="83" t="s">
        <v>1002</v>
      </c>
      <c r="D994" s="84">
        <v>0</v>
      </c>
      <c r="E994" s="85" t="str">
        <f t="shared" si="107"/>
        <v/>
      </c>
      <c r="F994" s="106" t="str">
        <f t="shared" si="113"/>
        <v/>
      </c>
      <c r="G994" s="86"/>
      <c r="H994" s="107">
        <f t="shared" si="108"/>
        <v>0</v>
      </c>
      <c r="I994" s="107">
        <f t="shared" si="109"/>
        <v>0</v>
      </c>
      <c r="J994" s="87">
        <f>IF($D994&gt;0,IFERROR(Параметры!$D$42*$H994/$H$2408,0),0)</f>
        <v>0</v>
      </c>
      <c r="K994" s="87">
        <f>IFERROR(ROUND($N994*Параметры!$D$36,2),0)</f>
        <v>0</v>
      </c>
      <c r="L994" s="87">
        <f t="shared" si="110"/>
        <v>0</v>
      </c>
      <c r="M994" s="87">
        <f t="shared" si="111"/>
        <v>0</v>
      </c>
      <c r="N994" s="107" t="str">
        <f t="shared" si="112"/>
        <v/>
      </c>
    </row>
    <row r="995" spans="2:14" x14ac:dyDescent="0.25">
      <c r="B995" s="82">
        <f>SUBTOTAL(103,$D$8:D995)</f>
        <v>988</v>
      </c>
      <c r="C995" s="83" t="s">
        <v>1003</v>
      </c>
      <c r="D995" s="84">
        <v>0</v>
      </c>
      <c r="E995" s="85" t="str">
        <f t="shared" si="107"/>
        <v/>
      </c>
      <c r="F995" s="106" t="str">
        <f t="shared" si="113"/>
        <v/>
      </c>
      <c r="G995" s="86"/>
      <c r="H995" s="107">
        <f t="shared" si="108"/>
        <v>0</v>
      </c>
      <c r="I995" s="107">
        <f t="shared" si="109"/>
        <v>0</v>
      </c>
      <c r="J995" s="87">
        <f>IF($D995&gt;0,IFERROR(Параметры!$D$42*$H995/$H$2408,0),0)</f>
        <v>0</v>
      </c>
      <c r="K995" s="87">
        <f>IFERROR(ROUND($N995*Параметры!$D$36,2),0)</f>
        <v>0</v>
      </c>
      <c r="L995" s="87">
        <f t="shared" si="110"/>
        <v>0</v>
      </c>
      <c r="M995" s="87">
        <f t="shared" si="111"/>
        <v>0</v>
      </c>
      <c r="N995" s="107" t="str">
        <f t="shared" si="112"/>
        <v/>
      </c>
    </row>
    <row r="996" spans="2:14" x14ac:dyDescent="0.25">
      <c r="B996" s="82">
        <f>SUBTOTAL(103,$D$8:D996)</f>
        <v>989</v>
      </c>
      <c r="C996" s="83" t="s">
        <v>1004</v>
      </c>
      <c r="D996" s="84">
        <v>0</v>
      </c>
      <c r="E996" s="85" t="str">
        <f t="shared" si="107"/>
        <v/>
      </c>
      <c r="F996" s="106" t="str">
        <f t="shared" si="113"/>
        <v/>
      </c>
      <c r="G996" s="86"/>
      <c r="H996" s="107">
        <f t="shared" si="108"/>
        <v>0</v>
      </c>
      <c r="I996" s="107">
        <f t="shared" si="109"/>
        <v>0</v>
      </c>
      <c r="J996" s="87">
        <f>IF($D996&gt;0,IFERROR(Параметры!$D$42*$H996/$H$2408,0),0)</f>
        <v>0</v>
      </c>
      <c r="K996" s="87">
        <f>IFERROR(ROUND($N996*Параметры!$D$36,2),0)</f>
        <v>0</v>
      </c>
      <c r="L996" s="87">
        <f t="shared" si="110"/>
        <v>0</v>
      </c>
      <c r="M996" s="87">
        <f t="shared" si="111"/>
        <v>0</v>
      </c>
      <c r="N996" s="107" t="str">
        <f t="shared" si="112"/>
        <v/>
      </c>
    </row>
    <row r="997" spans="2:14" x14ac:dyDescent="0.25">
      <c r="B997" s="82">
        <f>SUBTOTAL(103,$D$8:D997)</f>
        <v>990</v>
      </c>
      <c r="C997" s="83" t="s">
        <v>1005</v>
      </c>
      <c r="D997" s="84">
        <v>0</v>
      </c>
      <c r="E997" s="85" t="str">
        <f t="shared" si="107"/>
        <v/>
      </c>
      <c r="F997" s="106" t="str">
        <f t="shared" si="113"/>
        <v/>
      </c>
      <c r="G997" s="86"/>
      <c r="H997" s="107">
        <f t="shared" si="108"/>
        <v>0</v>
      </c>
      <c r="I997" s="107">
        <f t="shared" si="109"/>
        <v>0</v>
      </c>
      <c r="J997" s="87">
        <f>IF($D997&gt;0,IFERROR(Параметры!$D$42*$H997/$H$2408,0),0)</f>
        <v>0</v>
      </c>
      <c r="K997" s="87">
        <f>IFERROR(ROUND($N997*Параметры!$D$36,2),0)</f>
        <v>0</v>
      </c>
      <c r="L997" s="87">
        <f t="shared" si="110"/>
        <v>0</v>
      </c>
      <c r="M997" s="87">
        <f t="shared" si="111"/>
        <v>0</v>
      </c>
      <c r="N997" s="107" t="str">
        <f t="shared" si="112"/>
        <v/>
      </c>
    </row>
    <row r="998" spans="2:14" x14ac:dyDescent="0.25">
      <c r="B998" s="82">
        <f>SUBTOTAL(103,$D$8:D998)</f>
        <v>991</v>
      </c>
      <c r="C998" s="83" t="s">
        <v>1006</v>
      </c>
      <c r="D998" s="84">
        <v>0</v>
      </c>
      <c r="E998" s="85" t="str">
        <f t="shared" si="107"/>
        <v/>
      </c>
      <c r="F998" s="106" t="str">
        <f t="shared" si="113"/>
        <v/>
      </c>
      <c r="G998" s="86"/>
      <c r="H998" s="107">
        <f t="shared" si="108"/>
        <v>0</v>
      </c>
      <c r="I998" s="107">
        <f t="shared" si="109"/>
        <v>0</v>
      </c>
      <c r="J998" s="87">
        <f>IF($D998&gt;0,IFERROR(Параметры!$D$42*$H998/$H$2408,0),0)</f>
        <v>0</v>
      </c>
      <c r="K998" s="87">
        <f>IFERROR(ROUND($N998*Параметры!$D$36,2),0)</f>
        <v>0</v>
      </c>
      <c r="L998" s="87">
        <f t="shared" si="110"/>
        <v>0</v>
      </c>
      <c r="M998" s="87">
        <f t="shared" si="111"/>
        <v>0</v>
      </c>
      <c r="N998" s="107" t="str">
        <f t="shared" si="112"/>
        <v/>
      </c>
    </row>
    <row r="999" spans="2:14" x14ac:dyDescent="0.25">
      <c r="B999" s="82">
        <f>SUBTOTAL(103,$D$8:D999)</f>
        <v>992</v>
      </c>
      <c r="C999" s="83" t="s">
        <v>1007</v>
      </c>
      <c r="D999" s="84">
        <v>0</v>
      </c>
      <c r="E999" s="85" t="str">
        <f t="shared" si="107"/>
        <v/>
      </c>
      <c r="F999" s="106" t="str">
        <f t="shared" si="113"/>
        <v/>
      </c>
      <c r="G999" s="86"/>
      <c r="H999" s="107">
        <f t="shared" si="108"/>
        <v>0</v>
      </c>
      <c r="I999" s="107">
        <f t="shared" si="109"/>
        <v>0</v>
      </c>
      <c r="J999" s="87">
        <f>IF($D999&gt;0,IFERROR(Параметры!$D$42*$H999/$H$2408,0),0)</f>
        <v>0</v>
      </c>
      <c r="K999" s="87">
        <f>IFERROR(ROUND($N999*Параметры!$D$36,2),0)</f>
        <v>0</v>
      </c>
      <c r="L999" s="87">
        <f t="shared" si="110"/>
        <v>0</v>
      </c>
      <c r="M999" s="87">
        <f t="shared" si="111"/>
        <v>0</v>
      </c>
      <c r="N999" s="107" t="str">
        <f t="shared" si="112"/>
        <v/>
      </c>
    </row>
    <row r="1000" spans="2:14" x14ac:dyDescent="0.25">
      <c r="B1000" s="82">
        <f>SUBTOTAL(103,$D$8:D1000)</f>
        <v>993</v>
      </c>
      <c r="C1000" s="83" t="s">
        <v>1008</v>
      </c>
      <c r="D1000" s="84">
        <v>0</v>
      </c>
      <c r="E1000" s="85" t="str">
        <f t="shared" si="107"/>
        <v/>
      </c>
      <c r="F1000" s="106" t="str">
        <f t="shared" si="113"/>
        <v/>
      </c>
      <c r="G1000" s="86"/>
      <c r="H1000" s="107">
        <f t="shared" si="108"/>
        <v>0</v>
      </c>
      <c r="I1000" s="107">
        <f t="shared" si="109"/>
        <v>0</v>
      </c>
      <c r="J1000" s="87">
        <f>IF($D1000&gt;0,IFERROR(Параметры!$D$42*$H1000/$H$2408,0),0)</f>
        <v>0</v>
      </c>
      <c r="K1000" s="87">
        <f>IFERROR(ROUND($N1000*Параметры!$D$36,2),0)</f>
        <v>0</v>
      </c>
      <c r="L1000" s="87">
        <f t="shared" si="110"/>
        <v>0</v>
      </c>
      <c r="M1000" s="87">
        <f t="shared" si="111"/>
        <v>0</v>
      </c>
      <c r="N1000" s="107" t="str">
        <f t="shared" si="112"/>
        <v/>
      </c>
    </row>
    <row r="1001" spans="2:14" x14ac:dyDescent="0.25">
      <c r="B1001" s="82">
        <f>SUBTOTAL(103,$D$8:D1001)</f>
        <v>994</v>
      </c>
      <c r="C1001" s="83" t="s">
        <v>1009</v>
      </c>
      <c r="D1001" s="84">
        <v>0</v>
      </c>
      <c r="E1001" s="85" t="str">
        <f t="shared" si="107"/>
        <v/>
      </c>
      <c r="F1001" s="106" t="str">
        <f t="shared" si="113"/>
        <v/>
      </c>
      <c r="G1001" s="86"/>
      <c r="H1001" s="107">
        <f t="shared" si="108"/>
        <v>0</v>
      </c>
      <c r="I1001" s="107">
        <f t="shared" si="109"/>
        <v>0</v>
      </c>
      <c r="J1001" s="87">
        <f>IF($D1001&gt;0,IFERROR(Параметры!$D$42*$H1001/$H$2408,0),0)</f>
        <v>0</v>
      </c>
      <c r="K1001" s="87">
        <f>IFERROR(ROUND($N1001*Параметры!$D$36,2),0)</f>
        <v>0</v>
      </c>
      <c r="L1001" s="87">
        <f t="shared" si="110"/>
        <v>0</v>
      </c>
      <c r="M1001" s="87">
        <f t="shared" si="111"/>
        <v>0</v>
      </c>
      <c r="N1001" s="107" t="str">
        <f t="shared" si="112"/>
        <v/>
      </c>
    </row>
    <row r="1002" spans="2:14" x14ac:dyDescent="0.25">
      <c r="B1002" s="82">
        <f>SUBTOTAL(103,$D$8:D1002)</f>
        <v>995</v>
      </c>
      <c r="C1002" s="83" t="s">
        <v>1010</v>
      </c>
      <c r="D1002" s="84">
        <v>0</v>
      </c>
      <c r="E1002" s="85" t="str">
        <f t="shared" si="107"/>
        <v/>
      </c>
      <c r="F1002" s="106" t="str">
        <f t="shared" si="113"/>
        <v/>
      </c>
      <c r="G1002" s="86"/>
      <c r="H1002" s="107">
        <f t="shared" si="108"/>
        <v>0</v>
      </c>
      <c r="I1002" s="107">
        <f t="shared" si="109"/>
        <v>0</v>
      </c>
      <c r="J1002" s="87">
        <f>IF($D1002&gt;0,IFERROR(Параметры!$D$42*$H1002/$H$2408,0),0)</f>
        <v>0</v>
      </c>
      <c r="K1002" s="87">
        <f>IFERROR(ROUND($N1002*Параметры!$D$36,2),0)</f>
        <v>0</v>
      </c>
      <c r="L1002" s="87">
        <f t="shared" si="110"/>
        <v>0</v>
      </c>
      <c r="M1002" s="87">
        <f t="shared" si="111"/>
        <v>0</v>
      </c>
      <c r="N1002" s="107" t="str">
        <f t="shared" si="112"/>
        <v/>
      </c>
    </row>
    <row r="1003" spans="2:14" x14ac:dyDescent="0.25">
      <c r="B1003" s="82">
        <f>SUBTOTAL(103,$D$8:D1003)</f>
        <v>996</v>
      </c>
      <c r="C1003" s="83" t="s">
        <v>1011</v>
      </c>
      <c r="D1003" s="84">
        <v>0</v>
      </c>
      <c r="E1003" s="85" t="str">
        <f t="shared" si="107"/>
        <v/>
      </c>
      <c r="F1003" s="106" t="str">
        <f t="shared" si="113"/>
        <v/>
      </c>
      <c r="G1003" s="86"/>
      <c r="H1003" s="107">
        <f t="shared" si="108"/>
        <v>0</v>
      </c>
      <c r="I1003" s="107">
        <f t="shared" si="109"/>
        <v>0</v>
      </c>
      <c r="J1003" s="87">
        <f>IF($D1003&gt;0,IFERROR(Параметры!$D$42*$H1003/$H$2408,0),0)</f>
        <v>0</v>
      </c>
      <c r="K1003" s="87">
        <f>IFERROR(ROUND($N1003*Параметры!$D$36,2),0)</f>
        <v>0</v>
      </c>
      <c r="L1003" s="87">
        <f t="shared" si="110"/>
        <v>0</v>
      </c>
      <c r="M1003" s="87">
        <f t="shared" si="111"/>
        <v>0</v>
      </c>
      <c r="N1003" s="107" t="str">
        <f t="shared" si="112"/>
        <v/>
      </c>
    </row>
    <row r="1004" spans="2:14" x14ac:dyDescent="0.25">
      <c r="B1004" s="82">
        <f>SUBTOTAL(103,$D$8:D1004)</f>
        <v>997</v>
      </c>
      <c r="C1004" s="83" t="s">
        <v>1012</v>
      </c>
      <c r="D1004" s="84">
        <v>0</v>
      </c>
      <c r="E1004" s="85" t="str">
        <f t="shared" si="107"/>
        <v/>
      </c>
      <c r="F1004" s="106" t="str">
        <f t="shared" si="113"/>
        <v/>
      </c>
      <c r="G1004" s="86"/>
      <c r="H1004" s="107">
        <f t="shared" si="108"/>
        <v>0</v>
      </c>
      <c r="I1004" s="107">
        <f t="shared" si="109"/>
        <v>0</v>
      </c>
      <c r="J1004" s="87">
        <f>IF($D1004&gt;0,IFERROR(Параметры!$D$42*$H1004/$H$2408,0),0)</f>
        <v>0</v>
      </c>
      <c r="K1004" s="87">
        <f>IFERROR(ROUND($N1004*Параметры!$D$36,2),0)</f>
        <v>0</v>
      </c>
      <c r="L1004" s="87">
        <f t="shared" si="110"/>
        <v>0</v>
      </c>
      <c r="M1004" s="87">
        <f t="shared" si="111"/>
        <v>0</v>
      </c>
      <c r="N1004" s="107" t="str">
        <f t="shared" si="112"/>
        <v/>
      </c>
    </row>
    <row r="1005" spans="2:14" x14ac:dyDescent="0.25">
      <c r="B1005" s="82">
        <f>SUBTOTAL(103,$D$8:D1005)</f>
        <v>998</v>
      </c>
      <c r="C1005" s="83" t="s">
        <v>1013</v>
      </c>
      <c r="D1005" s="84">
        <v>0</v>
      </c>
      <c r="E1005" s="85" t="str">
        <f t="shared" si="107"/>
        <v/>
      </c>
      <c r="F1005" s="106" t="str">
        <f t="shared" si="113"/>
        <v/>
      </c>
      <c r="G1005" s="86"/>
      <c r="H1005" s="107">
        <f t="shared" si="108"/>
        <v>0</v>
      </c>
      <c r="I1005" s="107">
        <f t="shared" si="109"/>
        <v>0</v>
      </c>
      <c r="J1005" s="87">
        <f>IF($D1005&gt;0,IFERROR(Параметры!$D$42*$H1005/$H$2408,0),0)</f>
        <v>0</v>
      </c>
      <c r="K1005" s="87">
        <f>IFERROR(ROUND($N1005*Параметры!$D$36,2),0)</f>
        <v>0</v>
      </c>
      <c r="L1005" s="87">
        <f t="shared" si="110"/>
        <v>0</v>
      </c>
      <c r="M1005" s="87">
        <f t="shared" si="111"/>
        <v>0</v>
      </c>
      <c r="N1005" s="107" t="str">
        <f t="shared" si="112"/>
        <v/>
      </c>
    </row>
    <row r="1006" spans="2:14" x14ac:dyDescent="0.25">
      <c r="B1006" s="82">
        <f>SUBTOTAL(103,$D$8:D1006)</f>
        <v>999</v>
      </c>
      <c r="C1006" s="83" t="s">
        <v>1014</v>
      </c>
      <c r="D1006" s="84">
        <v>0</v>
      </c>
      <c r="E1006" s="85" t="str">
        <f t="shared" si="107"/>
        <v/>
      </c>
      <c r="F1006" s="106" t="str">
        <f t="shared" si="113"/>
        <v/>
      </c>
      <c r="G1006" s="86"/>
      <c r="H1006" s="107">
        <f t="shared" si="108"/>
        <v>0</v>
      </c>
      <c r="I1006" s="107">
        <f t="shared" si="109"/>
        <v>0</v>
      </c>
      <c r="J1006" s="87">
        <f>IF($D1006&gt;0,IFERROR(Параметры!$D$42*$H1006/$H$2408,0),0)</f>
        <v>0</v>
      </c>
      <c r="K1006" s="87">
        <f>IFERROR(ROUND($N1006*Параметры!$D$36,2),0)</f>
        <v>0</v>
      </c>
      <c r="L1006" s="87">
        <f t="shared" si="110"/>
        <v>0</v>
      </c>
      <c r="M1006" s="87">
        <f t="shared" si="111"/>
        <v>0</v>
      </c>
      <c r="N1006" s="107" t="str">
        <f t="shared" si="112"/>
        <v/>
      </c>
    </row>
    <row r="1007" spans="2:14" x14ac:dyDescent="0.25">
      <c r="B1007" s="82">
        <f>SUBTOTAL(103,$D$8:D1007)</f>
        <v>1000</v>
      </c>
      <c r="C1007" s="83" t="s">
        <v>1015</v>
      </c>
      <c r="D1007" s="84">
        <v>0</v>
      </c>
      <c r="E1007" s="85" t="str">
        <f t="shared" si="107"/>
        <v/>
      </c>
      <c r="F1007" s="106" t="str">
        <f t="shared" si="113"/>
        <v/>
      </c>
      <c r="G1007" s="86"/>
      <c r="H1007" s="107">
        <f t="shared" si="108"/>
        <v>0</v>
      </c>
      <c r="I1007" s="107">
        <f t="shared" si="109"/>
        <v>0</v>
      </c>
      <c r="J1007" s="87">
        <f>IF($D1007&gt;0,IFERROR(Параметры!$D$42*$H1007/$H$2408,0),0)</f>
        <v>0</v>
      </c>
      <c r="K1007" s="87">
        <f>IFERROR(ROUND($N1007*Параметры!$D$36,2),0)</f>
        <v>0</v>
      </c>
      <c r="L1007" s="87">
        <f t="shared" si="110"/>
        <v>0</v>
      </c>
      <c r="M1007" s="87">
        <f t="shared" si="111"/>
        <v>0</v>
      </c>
      <c r="N1007" s="107" t="str">
        <f t="shared" si="112"/>
        <v/>
      </c>
    </row>
    <row r="1008" spans="2:14" x14ac:dyDescent="0.25">
      <c r="B1008" s="82">
        <f>SUBTOTAL(103,$D$8:D1008)</f>
        <v>1001</v>
      </c>
      <c r="C1008" s="83" t="s">
        <v>1016</v>
      </c>
      <c r="D1008" s="84">
        <v>0</v>
      </c>
      <c r="E1008" s="85" t="str">
        <f t="shared" si="107"/>
        <v/>
      </c>
      <c r="F1008" s="106" t="str">
        <f t="shared" si="113"/>
        <v/>
      </c>
      <c r="G1008" s="86"/>
      <c r="H1008" s="107">
        <f t="shared" si="108"/>
        <v>0</v>
      </c>
      <c r="I1008" s="107">
        <f t="shared" si="109"/>
        <v>0</v>
      </c>
      <c r="J1008" s="87">
        <f>IF($D1008&gt;0,IFERROR(Параметры!$D$42*$H1008/$H$2408,0),0)</f>
        <v>0</v>
      </c>
      <c r="K1008" s="87">
        <f>IFERROR(ROUND($N1008*Параметры!$D$36,2),0)</f>
        <v>0</v>
      </c>
      <c r="L1008" s="87">
        <f t="shared" si="110"/>
        <v>0</v>
      </c>
      <c r="M1008" s="87">
        <f t="shared" si="111"/>
        <v>0</v>
      </c>
      <c r="N1008" s="107" t="str">
        <f t="shared" si="112"/>
        <v/>
      </c>
    </row>
    <row r="1009" spans="2:14" x14ac:dyDescent="0.25">
      <c r="B1009" s="82">
        <f>SUBTOTAL(103,$D$8:D1009)</f>
        <v>1002</v>
      </c>
      <c r="C1009" s="83" t="s">
        <v>1017</v>
      </c>
      <c r="D1009" s="84">
        <v>0</v>
      </c>
      <c r="E1009" s="85" t="str">
        <f t="shared" si="107"/>
        <v/>
      </c>
      <c r="F1009" s="106" t="str">
        <f t="shared" si="113"/>
        <v/>
      </c>
      <c r="G1009" s="86"/>
      <c r="H1009" s="107">
        <f t="shared" si="108"/>
        <v>0</v>
      </c>
      <c r="I1009" s="107">
        <f t="shared" si="109"/>
        <v>0</v>
      </c>
      <c r="J1009" s="87">
        <f>IF($D1009&gt;0,IFERROR(Параметры!$D$42*$H1009/$H$2408,0),0)</f>
        <v>0</v>
      </c>
      <c r="K1009" s="87">
        <f>IFERROR(ROUND($N1009*Параметры!$D$36,2),0)</f>
        <v>0</v>
      </c>
      <c r="L1009" s="87">
        <f t="shared" si="110"/>
        <v>0</v>
      </c>
      <c r="M1009" s="87">
        <f t="shared" si="111"/>
        <v>0</v>
      </c>
      <c r="N1009" s="107" t="str">
        <f t="shared" si="112"/>
        <v/>
      </c>
    </row>
    <row r="1010" spans="2:14" x14ac:dyDescent="0.25">
      <c r="B1010" s="82">
        <f>SUBTOTAL(103,$D$8:D1010)</f>
        <v>1003</v>
      </c>
      <c r="C1010" s="83" t="s">
        <v>1018</v>
      </c>
      <c r="D1010" s="84">
        <v>0</v>
      </c>
      <c r="E1010" s="85" t="str">
        <f t="shared" si="107"/>
        <v/>
      </c>
      <c r="F1010" s="106" t="str">
        <f t="shared" si="113"/>
        <v/>
      </c>
      <c r="G1010" s="86"/>
      <c r="H1010" s="107">
        <f t="shared" si="108"/>
        <v>0</v>
      </c>
      <c r="I1010" s="107">
        <f t="shared" si="109"/>
        <v>0</v>
      </c>
      <c r="J1010" s="87">
        <f>IF($D1010&gt;0,IFERROR(Параметры!$D$42*$H1010/$H$2408,0),0)</f>
        <v>0</v>
      </c>
      <c r="K1010" s="87">
        <f>IFERROR(ROUND($N1010*Параметры!$D$36,2),0)</f>
        <v>0</v>
      </c>
      <c r="L1010" s="87">
        <f t="shared" si="110"/>
        <v>0</v>
      </c>
      <c r="M1010" s="87">
        <f t="shared" si="111"/>
        <v>0</v>
      </c>
      <c r="N1010" s="107" t="str">
        <f t="shared" si="112"/>
        <v/>
      </c>
    </row>
    <row r="1011" spans="2:14" x14ac:dyDescent="0.25">
      <c r="B1011" s="82">
        <f>SUBTOTAL(103,$D$8:D1011)</f>
        <v>1004</v>
      </c>
      <c r="C1011" s="83" t="s">
        <v>1019</v>
      </c>
      <c r="D1011" s="84">
        <v>0</v>
      </c>
      <c r="E1011" s="85" t="str">
        <f t="shared" si="107"/>
        <v/>
      </c>
      <c r="F1011" s="106" t="str">
        <f t="shared" si="113"/>
        <v/>
      </c>
      <c r="G1011" s="86"/>
      <c r="H1011" s="107">
        <f t="shared" si="108"/>
        <v>0</v>
      </c>
      <c r="I1011" s="107">
        <f t="shared" si="109"/>
        <v>0</v>
      </c>
      <c r="J1011" s="87">
        <f>IF($D1011&gt;0,IFERROR(Параметры!$D$42*$H1011/$H$2408,0),0)</f>
        <v>0</v>
      </c>
      <c r="K1011" s="87">
        <f>IFERROR(ROUND($N1011*Параметры!$D$36,2),0)</f>
        <v>0</v>
      </c>
      <c r="L1011" s="87">
        <f t="shared" si="110"/>
        <v>0</v>
      </c>
      <c r="M1011" s="87">
        <f t="shared" si="111"/>
        <v>0</v>
      </c>
      <c r="N1011" s="107" t="str">
        <f t="shared" si="112"/>
        <v/>
      </c>
    </row>
    <row r="1012" spans="2:14" x14ac:dyDescent="0.25">
      <c r="B1012" s="82">
        <f>SUBTOTAL(103,$D$8:D1012)</f>
        <v>1005</v>
      </c>
      <c r="C1012" s="83" t="s">
        <v>1020</v>
      </c>
      <c r="D1012" s="84">
        <v>0</v>
      </c>
      <c r="E1012" s="85" t="str">
        <f t="shared" si="107"/>
        <v/>
      </c>
      <c r="F1012" s="106" t="str">
        <f t="shared" si="113"/>
        <v/>
      </c>
      <c r="G1012" s="86"/>
      <c r="H1012" s="107">
        <f t="shared" si="108"/>
        <v>0</v>
      </c>
      <c r="I1012" s="107">
        <f t="shared" si="109"/>
        <v>0</v>
      </c>
      <c r="J1012" s="87">
        <f>IF($D1012&gt;0,IFERROR(Параметры!$D$42*$H1012/$H$2408,0),0)</f>
        <v>0</v>
      </c>
      <c r="K1012" s="87">
        <f>IFERROR(ROUND($N1012*Параметры!$D$36,2),0)</f>
        <v>0</v>
      </c>
      <c r="L1012" s="87">
        <f t="shared" si="110"/>
        <v>0</v>
      </c>
      <c r="M1012" s="87">
        <f t="shared" si="111"/>
        <v>0</v>
      </c>
      <c r="N1012" s="107" t="str">
        <f t="shared" si="112"/>
        <v/>
      </c>
    </row>
    <row r="1013" spans="2:14" x14ac:dyDescent="0.25">
      <c r="B1013" s="82">
        <f>SUBTOTAL(103,$D$8:D1013)</f>
        <v>1006</v>
      </c>
      <c r="C1013" s="83" t="s">
        <v>1021</v>
      </c>
      <c r="D1013" s="84">
        <v>0</v>
      </c>
      <c r="E1013" s="85" t="str">
        <f t="shared" si="107"/>
        <v/>
      </c>
      <c r="F1013" s="106" t="str">
        <f t="shared" si="113"/>
        <v/>
      </c>
      <c r="G1013" s="86"/>
      <c r="H1013" s="107">
        <f t="shared" si="108"/>
        <v>0</v>
      </c>
      <c r="I1013" s="107">
        <f t="shared" si="109"/>
        <v>0</v>
      </c>
      <c r="J1013" s="87">
        <f>IF($D1013&gt;0,IFERROR(Параметры!$D$42*$H1013/$H$2408,0),0)</f>
        <v>0</v>
      </c>
      <c r="K1013" s="87">
        <f>IFERROR(ROUND($N1013*Параметры!$D$36,2),0)</f>
        <v>0</v>
      </c>
      <c r="L1013" s="87">
        <f t="shared" si="110"/>
        <v>0</v>
      </c>
      <c r="M1013" s="87">
        <f t="shared" si="111"/>
        <v>0</v>
      </c>
      <c r="N1013" s="107" t="str">
        <f t="shared" si="112"/>
        <v/>
      </c>
    </row>
    <row r="1014" spans="2:14" x14ac:dyDescent="0.25">
      <c r="B1014" s="82">
        <f>SUBTOTAL(103,$D$8:D1014)</f>
        <v>1007</v>
      </c>
      <c r="C1014" s="83" t="s">
        <v>1022</v>
      </c>
      <c r="D1014" s="84">
        <v>0</v>
      </c>
      <c r="E1014" s="85" t="str">
        <f t="shared" si="107"/>
        <v/>
      </c>
      <c r="F1014" s="106" t="str">
        <f t="shared" si="113"/>
        <v/>
      </c>
      <c r="G1014" s="86"/>
      <c r="H1014" s="107">
        <f t="shared" si="108"/>
        <v>0</v>
      </c>
      <c r="I1014" s="107">
        <f t="shared" si="109"/>
        <v>0</v>
      </c>
      <c r="J1014" s="87">
        <f>IF($D1014&gt;0,IFERROR(Параметры!$D$42*$H1014/$H$2408,0),0)</f>
        <v>0</v>
      </c>
      <c r="K1014" s="87">
        <f>IFERROR(ROUND($N1014*Параметры!$D$36,2),0)</f>
        <v>0</v>
      </c>
      <c r="L1014" s="87">
        <f t="shared" si="110"/>
        <v>0</v>
      </c>
      <c r="M1014" s="87">
        <f t="shared" si="111"/>
        <v>0</v>
      </c>
      <c r="N1014" s="107" t="str">
        <f t="shared" si="112"/>
        <v/>
      </c>
    </row>
    <row r="1015" spans="2:14" x14ac:dyDescent="0.25">
      <c r="B1015" s="82">
        <f>SUBTOTAL(103,$D$8:D1015)</f>
        <v>1008</v>
      </c>
      <c r="C1015" s="83" t="s">
        <v>1023</v>
      </c>
      <c r="D1015" s="84">
        <v>0</v>
      </c>
      <c r="E1015" s="85" t="str">
        <f t="shared" si="107"/>
        <v/>
      </c>
      <c r="F1015" s="106" t="str">
        <f t="shared" si="113"/>
        <v/>
      </c>
      <c r="G1015" s="86"/>
      <c r="H1015" s="107">
        <f t="shared" si="108"/>
        <v>0</v>
      </c>
      <c r="I1015" s="107">
        <f t="shared" si="109"/>
        <v>0</v>
      </c>
      <c r="J1015" s="87">
        <f>IF($D1015&gt;0,IFERROR(Параметры!$D$42*$H1015/$H$2408,0),0)</f>
        <v>0</v>
      </c>
      <c r="K1015" s="87">
        <f>IFERROR(ROUND($N1015*Параметры!$D$36,2),0)</f>
        <v>0</v>
      </c>
      <c r="L1015" s="87">
        <f t="shared" si="110"/>
        <v>0</v>
      </c>
      <c r="M1015" s="87">
        <f t="shared" si="111"/>
        <v>0</v>
      </c>
      <c r="N1015" s="107" t="str">
        <f t="shared" si="112"/>
        <v/>
      </c>
    </row>
    <row r="1016" spans="2:14" x14ac:dyDescent="0.25">
      <c r="B1016" s="82">
        <f>SUBTOTAL(103,$D$8:D1016)</f>
        <v>1009</v>
      </c>
      <c r="C1016" s="83" t="s">
        <v>1024</v>
      </c>
      <c r="D1016" s="84">
        <v>0</v>
      </c>
      <c r="E1016" s="85" t="str">
        <f t="shared" si="107"/>
        <v/>
      </c>
      <c r="F1016" s="106" t="str">
        <f t="shared" si="113"/>
        <v/>
      </c>
      <c r="G1016" s="86"/>
      <c r="H1016" s="107">
        <f t="shared" si="108"/>
        <v>0</v>
      </c>
      <c r="I1016" s="107">
        <f t="shared" si="109"/>
        <v>0</v>
      </c>
      <c r="J1016" s="87">
        <f>IF($D1016&gt;0,IFERROR(Параметры!$D$42*$H1016/$H$2408,0),0)</f>
        <v>0</v>
      </c>
      <c r="K1016" s="87">
        <f>IFERROR(ROUND($N1016*Параметры!$D$36,2),0)</f>
        <v>0</v>
      </c>
      <c r="L1016" s="87">
        <f t="shared" si="110"/>
        <v>0</v>
      </c>
      <c r="M1016" s="87">
        <f t="shared" si="111"/>
        <v>0</v>
      </c>
      <c r="N1016" s="107" t="str">
        <f t="shared" si="112"/>
        <v/>
      </c>
    </row>
    <row r="1017" spans="2:14" x14ac:dyDescent="0.25">
      <c r="B1017" s="82">
        <f>SUBTOTAL(103,$D$8:D1017)</f>
        <v>1010</v>
      </c>
      <c r="C1017" s="83" t="s">
        <v>1025</v>
      </c>
      <c r="D1017" s="84">
        <v>0</v>
      </c>
      <c r="E1017" s="85" t="str">
        <f t="shared" si="107"/>
        <v/>
      </c>
      <c r="F1017" s="106" t="str">
        <f t="shared" si="113"/>
        <v/>
      </c>
      <c r="G1017" s="86"/>
      <c r="H1017" s="107">
        <f t="shared" si="108"/>
        <v>0</v>
      </c>
      <c r="I1017" s="107">
        <f t="shared" si="109"/>
        <v>0</v>
      </c>
      <c r="J1017" s="87">
        <f>IF($D1017&gt;0,IFERROR(Параметры!$D$42*$H1017/$H$2408,0),0)</f>
        <v>0</v>
      </c>
      <c r="K1017" s="87">
        <f>IFERROR(ROUND($N1017*Параметры!$D$36,2),0)</f>
        <v>0</v>
      </c>
      <c r="L1017" s="87">
        <f t="shared" si="110"/>
        <v>0</v>
      </c>
      <c r="M1017" s="87">
        <f t="shared" si="111"/>
        <v>0</v>
      </c>
      <c r="N1017" s="107" t="str">
        <f t="shared" si="112"/>
        <v/>
      </c>
    </row>
    <row r="1018" spans="2:14" x14ac:dyDescent="0.25">
      <c r="B1018" s="82">
        <f>SUBTOTAL(103,$D$8:D1018)</f>
        <v>1011</v>
      </c>
      <c r="C1018" s="83" t="s">
        <v>1026</v>
      </c>
      <c r="D1018" s="84">
        <v>0</v>
      </c>
      <c r="E1018" s="85" t="str">
        <f t="shared" si="107"/>
        <v/>
      </c>
      <c r="F1018" s="106" t="str">
        <f t="shared" si="113"/>
        <v/>
      </c>
      <c r="G1018" s="86"/>
      <c r="H1018" s="107">
        <f t="shared" si="108"/>
        <v>0</v>
      </c>
      <c r="I1018" s="107">
        <f t="shared" si="109"/>
        <v>0</v>
      </c>
      <c r="J1018" s="87">
        <f>IF($D1018&gt;0,IFERROR(Параметры!$D$42*$H1018/$H$2408,0),0)</f>
        <v>0</v>
      </c>
      <c r="K1018" s="87">
        <f>IFERROR(ROUND($N1018*Параметры!$D$36,2),0)</f>
        <v>0</v>
      </c>
      <c r="L1018" s="87">
        <f t="shared" si="110"/>
        <v>0</v>
      </c>
      <c r="M1018" s="87">
        <f t="shared" si="111"/>
        <v>0</v>
      </c>
      <c r="N1018" s="107" t="str">
        <f t="shared" si="112"/>
        <v/>
      </c>
    </row>
    <row r="1019" spans="2:14" x14ac:dyDescent="0.25">
      <c r="B1019" s="82">
        <f>SUBTOTAL(103,$D$8:D1019)</f>
        <v>1012</v>
      </c>
      <c r="C1019" s="83" t="s">
        <v>1027</v>
      </c>
      <c r="D1019" s="84">
        <v>0</v>
      </c>
      <c r="E1019" s="85" t="str">
        <f t="shared" si="107"/>
        <v/>
      </c>
      <c r="F1019" s="106" t="str">
        <f t="shared" si="113"/>
        <v/>
      </c>
      <c r="G1019" s="86"/>
      <c r="H1019" s="107">
        <f t="shared" si="108"/>
        <v>0</v>
      </c>
      <c r="I1019" s="107">
        <f t="shared" si="109"/>
        <v>0</v>
      </c>
      <c r="J1019" s="87">
        <f>IF($D1019&gt;0,IFERROR(Параметры!$D$42*$H1019/$H$2408,0),0)</f>
        <v>0</v>
      </c>
      <c r="K1019" s="87">
        <f>IFERROR(ROUND($N1019*Параметры!$D$36,2),0)</f>
        <v>0</v>
      </c>
      <c r="L1019" s="87">
        <f t="shared" si="110"/>
        <v>0</v>
      </c>
      <c r="M1019" s="87">
        <f t="shared" si="111"/>
        <v>0</v>
      </c>
      <c r="N1019" s="107" t="str">
        <f t="shared" si="112"/>
        <v/>
      </c>
    </row>
    <row r="1020" spans="2:14" x14ac:dyDescent="0.25">
      <c r="B1020" s="82">
        <f>SUBTOTAL(103,$D$8:D1020)</f>
        <v>1013</v>
      </c>
      <c r="C1020" s="83" t="s">
        <v>1028</v>
      </c>
      <c r="D1020" s="84">
        <v>0</v>
      </c>
      <c r="E1020" s="85" t="str">
        <f t="shared" si="107"/>
        <v/>
      </c>
      <c r="F1020" s="106" t="str">
        <f t="shared" si="113"/>
        <v/>
      </c>
      <c r="G1020" s="86"/>
      <c r="H1020" s="107">
        <f t="shared" si="108"/>
        <v>0</v>
      </c>
      <c r="I1020" s="107">
        <f t="shared" si="109"/>
        <v>0</v>
      </c>
      <c r="J1020" s="87">
        <f>IF($D1020&gt;0,IFERROR(Параметры!$D$42*$H1020/$H$2408,0),0)</f>
        <v>0</v>
      </c>
      <c r="K1020" s="87">
        <f>IFERROR(ROUND($N1020*Параметры!$D$36,2),0)</f>
        <v>0</v>
      </c>
      <c r="L1020" s="87">
        <f t="shared" si="110"/>
        <v>0</v>
      </c>
      <c r="M1020" s="87">
        <f t="shared" si="111"/>
        <v>0</v>
      </c>
      <c r="N1020" s="107" t="str">
        <f t="shared" si="112"/>
        <v/>
      </c>
    </row>
    <row r="1021" spans="2:14" x14ac:dyDescent="0.25">
      <c r="B1021" s="82">
        <f>SUBTOTAL(103,$D$8:D1021)</f>
        <v>1014</v>
      </c>
      <c r="C1021" s="83" t="s">
        <v>1029</v>
      </c>
      <c r="D1021" s="84">
        <v>0</v>
      </c>
      <c r="E1021" s="85" t="str">
        <f t="shared" si="107"/>
        <v/>
      </c>
      <c r="F1021" s="106" t="str">
        <f t="shared" si="113"/>
        <v/>
      </c>
      <c r="G1021" s="86"/>
      <c r="H1021" s="107">
        <f t="shared" si="108"/>
        <v>0</v>
      </c>
      <c r="I1021" s="107">
        <f t="shared" si="109"/>
        <v>0</v>
      </c>
      <c r="J1021" s="87">
        <f>IF($D1021&gt;0,IFERROR(Параметры!$D$42*$H1021/$H$2408,0),0)</f>
        <v>0</v>
      </c>
      <c r="K1021" s="87">
        <f>IFERROR(ROUND($N1021*Параметры!$D$36,2),0)</f>
        <v>0</v>
      </c>
      <c r="L1021" s="87">
        <f t="shared" si="110"/>
        <v>0</v>
      </c>
      <c r="M1021" s="87">
        <f t="shared" si="111"/>
        <v>0</v>
      </c>
      <c r="N1021" s="107" t="str">
        <f t="shared" si="112"/>
        <v/>
      </c>
    </row>
    <row r="1022" spans="2:14" x14ac:dyDescent="0.25">
      <c r="B1022" s="82">
        <f>SUBTOTAL(103,$D$8:D1022)</f>
        <v>1015</v>
      </c>
      <c r="C1022" s="83" t="s">
        <v>1030</v>
      </c>
      <c r="D1022" s="84">
        <v>0</v>
      </c>
      <c r="E1022" s="85" t="str">
        <f t="shared" si="107"/>
        <v/>
      </c>
      <c r="F1022" s="106" t="str">
        <f t="shared" si="113"/>
        <v/>
      </c>
      <c r="G1022" s="86"/>
      <c r="H1022" s="107">
        <f t="shared" si="108"/>
        <v>0</v>
      </c>
      <c r="I1022" s="107">
        <f t="shared" si="109"/>
        <v>0</v>
      </c>
      <c r="J1022" s="87">
        <f>IF($D1022&gt;0,IFERROR(Параметры!$D$42*$H1022/$H$2408,0),0)</f>
        <v>0</v>
      </c>
      <c r="K1022" s="87">
        <f>IFERROR(ROUND($N1022*Параметры!$D$36,2),0)</f>
        <v>0</v>
      </c>
      <c r="L1022" s="87">
        <f t="shared" si="110"/>
        <v>0</v>
      </c>
      <c r="M1022" s="87">
        <f t="shared" si="111"/>
        <v>0</v>
      </c>
      <c r="N1022" s="107" t="str">
        <f t="shared" si="112"/>
        <v/>
      </c>
    </row>
    <row r="1023" spans="2:14" x14ac:dyDescent="0.25">
      <c r="B1023" s="82">
        <f>SUBTOTAL(103,$D$8:D1023)</f>
        <v>1016</v>
      </c>
      <c r="C1023" s="83" t="s">
        <v>1031</v>
      </c>
      <c r="D1023" s="84">
        <v>0</v>
      </c>
      <c r="E1023" s="85" t="str">
        <f t="shared" si="107"/>
        <v/>
      </c>
      <c r="F1023" s="106" t="str">
        <f t="shared" si="113"/>
        <v/>
      </c>
      <c r="G1023" s="86"/>
      <c r="H1023" s="107">
        <f t="shared" si="108"/>
        <v>0</v>
      </c>
      <c r="I1023" s="107">
        <f t="shared" si="109"/>
        <v>0</v>
      </c>
      <c r="J1023" s="87">
        <f>IF($D1023&gt;0,IFERROR(Параметры!$D$42*$H1023/$H$2408,0),0)</f>
        <v>0</v>
      </c>
      <c r="K1023" s="87">
        <f>IFERROR(ROUND($N1023*Параметры!$D$36,2),0)</f>
        <v>0</v>
      </c>
      <c r="L1023" s="87">
        <f t="shared" si="110"/>
        <v>0</v>
      </c>
      <c r="M1023" s="87">
        <f t="shared" si="111"/>
        <v>0</v>
      </c>
      <c r="N1023" s="107" t="str">
        <f t="shared" si="112"/>
        <v/>
      </c>
    </row>
    <row r="1024" spans="2:14" x14ac:dyDescent="0.25">
      <c r="B1024" s="82">
        <f>SUBTOTAL(103,$D$8:D1024)</f>
        <v>1017</v>
      </c>
      <c r="C1024" s="83" t="s">
        <v>1032</v>
      </c>
      <c r="D1024" s="84">
        <v>0</v>
      </c>
      <c r="E1024" s="85" t="str">
        <f t="shared" si="107"/>
        <v/>
      </c>
      <c r="F1024" s="106" t="str">
        <f t="shared" si="113"/>
        <v/>
      </c>
      <c r="G1024" s="86"/>
      <c r="H1024" s="107">
        <f t="shared" si="108"/>
        <v>0</v>
      </c>
      <c r="I1024" s="107">
        <f t="shared" si="109"/>
        <v>0</v>
      </c>
      <c r="J1024" s="87">
        <f>IF($D1024&gt;0,IFERROR(Параметры!$D$42*$H1024/$H$2408,0),0)</f>
        <v>0</v>
      </c>
      <c r="K1024" s="87">
        <f>IFERROR(ROUND($N1024*Параметры!$D$36,2),0)</f>
        <v>0</v>
      </c>
      <c r="L1024" s="87">
        <f t="shared" si="110"/>
        <v>0</v>
      </c>
      <c r="M1024" s="87">
        <f t="shared" si="111"/>
        <v>0</v>
      </c>
      <c r="N1024" s="107" t="str">
        <f t="shared" si="112"/>
        <v/>
      </c>
    </row>
    <row r="1025" spans="2:14" x14ac:dyDescent="0.25">
      <c r="B1025" s="82">
        <f>SUBTOTAL(103,$D$8:D1025)</f>
        <v>1018</v>
      </c>
      <c r="C1025" s="83" t="s">
        <v>1033</v>
      </c>
      <c r="D1025" s="84">
        <v>0</v>
      </c>
      <c r="E1025" s="85" t="str">
        <f t="shared" si="107"/>
        <v/>
      </c>
      <c r="F1025" s="106" t="str">
        <f t="shared" si="113"/>
        <v/>
      </c>
      <c r="G1025" s="86"/>
      <c r="H1025" s="107">
        <f t="shared" si="108"/>
        <v>0</v>
      </c>
      <c r="I1025" s="107">
        <f t="shared" si="109"/>
        <v>0</v>
      </c>
      <c r="J1025" s="87">
        <f>IF($D1025&gt;0,IFERROR(Параметры!$D$42*$H1025/$H$2408,0),0)</f>
        <v>0</v>
      </c>
      <c r="K1025" s="87">
        <f>IFERROR(ROUND($N1025*Параметры!$D$36,2),0)</f>
        <v>0</v>
      </c>
      <c r="L1025" s="87">
        <f t="shared" si="110"/>
        <v>0</v>
      </c>
      <c r="M1025" s="87">
        <f t="shared" si="111"/>
        <v>0</v>
      </c>
      <c r="N1025" s="107" t="str">
        <f t="shared" si="112"/>
        <v/>
      </c>
    </row>
    <row r="1026" spans="2:14" x14ac:dyDescent="0.25">
      <c r="B1026" s="82">
        <f>SUBTOTAL(103,$D$8:D1026)</f>
        <v>1019</v>
      </c>
      <c r="C1026" s="83" t="s">
        <v>1034</v>
      </c>
      <c r="D1026" s="84">
        <v>0</v>
      </c>
      <c r="E1026" s="85" t="str">
        <f t="shared" si="107"/>
        <v/>
      </c>
      <c r="F1026" s="106" t="str">
        <f t="shared" si="113"/>
        <v/>
      </c>
      <c r="G1026" s="86"/>
      <c r="H1026" s="107">
        <f t="shared" si="108"/>
        <v>0</v>
      </c>
      <c r="I1026" s="107">
        <f t="shared" si="109"/>
        <v>0</v>
      </c>
      <c r="J1026" s="87">
        <f>IF($D1026&gt;0,IFERROR(Параметры!$D$42*$H1026/$H$2408,0),0)</f>
        <v>0</v>
      </c>
      <c r="K1026" s="87">
        <f>IFERROR(ROUND($N1026*Параметры!$D$36,2),0)</f>
        <v>0</v>
      </c>
      <c r="L1026" s="87">
        <f t="shared" si="110"/>
        <v>0</v>
      </c>
      <c r="M1026" s="87">
        <f t="shared" si="111"/>
        <v>0</v>
      </c>
      <c r="N1026" s="107" t="str">
        <f t="shared" si="112"/>
        <v/>
      </c>
    </row>
    <row r="1027" spans="2:14" x14ac:dyDescent="0.25">
      <c r="B1027" s="82">
        <f>SUBTOTAL(103,$D$8:D1027)</f>
        <v>1020</v>
      </c>
      <c r="C1027" s="83" t="s">
        <v>1035</v>
      </c>
      <c r="D1027" s="84">
        <v>0</v>
      </c>
      <c r="E1027" s="85" t="str">
        <f t="shared" si="107"/>
        <v/>
      </c>
      <c r="F1027" s="106" t="str">
        <f t="shared" si="113"/>
        <v/>
      </c>
      <c r="G1027" s="86"/>
      <c r="H1027" s="107">
        <f t="shared" si="108"/>
        <v>0</v>
      </c>
      <c r="I1027" s="107">
        <f t="shared" si="109"/>
        <v>0</v>
      </c>
      <c r="J1027" s="87">
        <f>IF($D1027&gt;0,IFERROR(Параметры!$D$42*$H1027/$H$2408,0),0)</f>
        <v>0</v>
      </c>
      <c r="K1027" s="87">
        <f>IFERROR(ROUND($N1027*Параметры!$D$36,2),0)</f>
        <v>0</v>
      </c>
      <c r="L1027" s="87">
        <f t="shared" si="110"/>
        <v>0</v>
      </c>
      <c r="M1027" s="87">
        <f t="shared" si="111"/>
        <v>0</v>
      </c>
      <c r="N1027" s="107" t="str">
        <f t="shared" si="112"/>
        <v/>
      </c>
    </row>
    <row r="1028" spans="2:14" x14ac:dyDescent="0.25">
      <c r="B1028" s="82">
        <f>SUBTOTAL(103,$D$8:D1028)</f>
        <v>1021</v>
      </c>
      <c r="C1028" s="83" t="s">
        <v>1036</v>
      </c>
      <c r="D1028" s="84">
        <f t="array" ref="D1028:D1087">TRANSPOSE('Зарядная карта'!$C$22:$BJ$22)</f>
        <v>4</v>
      </c>
      <c r="E1028" s="85">
        <f t="shared" si="107"/>
        <v>62.814700000000002</v>
      </c>
      <c r="F1028" s="106">
        <f t="shared" si="113"/>
        <v>2</v>
      </c>
      <c r="G1028" s="86"/>
      <c r="H1028" s="107">
        <f t="shared" si="108"/>
        <v>3.44</v>
      </c>
      <c r="I1028" s="107">
        <f t="shared" si="109"/>
        <v>0.56000000000000005</v>
      </c>
      <c r="J1028" s="87">
        <f>IF($D1028&gt;0,IFERROR(Параметры!$D$42*$H1028/$H$2408,0),0)</f>
        <v>60.103959390862947</v>
      </c>
      <c r="K1028" s="87">
        <f>IFERROR(ROUND($N1028*Параметры!$D$36,2),0)</f>
        <v>59.54</v>
      </c>
      <c r="L1028" s="87">
        <f t="shared" si="110"/>
        <v>3.2747000000000002</v>
      </c>
      <c r="M1028" s="87">
        <f t="shared" si="111"/>
        <v>3.8420790191534921</v>
      </c>
      <c r="N1028" s="107">
        <f t="shared" si="112"/>
        <v>2</v>
      </c>
    </row>
    <row r="1029" spans="2:14" x14ac:dyDescent="0.25">
      <c r="B1029" s="82">
        <f>SUBTOTAL(103,$D$8:D1029)</f>
        <v>1022</v>
      </c>
      <c r="C1029" s="83" t="s">
        <v>1037</v>
      </c>
      <c r="D1029" s="84">
        <v>8</v>
      </c>
      <c r="E1029" s="85">
        <f t="shared" si="107"/>
        <v>188.44409999999999</v>
      </c>
      <c r="F1029" s="106">
        <f t="shared" si="113"/>
        <v>2</v>
      </c>
      <c r="G1029" s="86"/>
      <c r="H1029" s="107">
        <f t="shared" si="108"/>
        <v>6.88</v>
      </c>
      <c r="I1029" s="107">
        <f t="shared" si="109"/>
        <v>1.1200000000000001</v>
      </c>
      <c r="J1029" s="87">
        <f>IF($D1029&gt;0,IFERROR(Параметры!$D$42*$H1029/$H$2408,0),0)</f>
        <v>120.20791878172589</v>
      </c>
      <c r="K1029" s="87">
        <f>IFERROR(ROUND($N1029*Параметры!$D$36,2),0)</f>
        <v>178.62</v>
      </c>
      <c r="L1029" s="87">
        <f t="shared" si="110"/>
        <v>9.8240999999999996</v>
      </c>
      <c r="M1029" s="87">
        <f t="shared" si="111"/>
        <v>11.526237057460476</v>
      </c>
      <c r="N1029" s="107">
        <f t="shared" si="112"/>
        <v>6</v>
      </c>
    </row>
    <row r="1030" spans="2:14" x14ac:dyDescent="0.25">
      <c r="B1030" s="82">
        <f>SUBTOTAL(103,$D$8:D1030)</f>
        <v>1023</v>
      </c>
      <c r="C1030" s="83" t="s">
        <v>1038</v>
      </c>
      <c r="D1030" s="84">
        <v>8</v>
      </c>
      <c r="E1030" s="85">
        <f t="shared" si="107"/>
        <v>188.44409999999999</v>
      </c>
      <c r="F1030" s="106">
        <f t="shared" si="113"/>
        <v>2</v>
      </c>
      <c r="G1030" s="86"/>
      <c r="H1030" s="107">
        <f t="shared" si="108"/>
        <v>6.88</v>
      </c>
      <c r="I1030" s="107">
        <f t="shared" si="109"/>
        <v>1.1200000000000001</v>
      </c>
      <c r="J1030" s="87">
        <f>IF($D1030&gt;0,IFERROR(Параметры!$D$42*$H1030/$H$2408,0),0)</f>
        <v>120.20791878172589</v>
      </c>
      <c r="K1030" s="87">
        <f>IFERROR(ROUND($N1030*Параметры!$D$36,2),0)</f>
        <v>178.62</v>
      </c>
      <c r="L1030" s="87">
        <f t="shared" si="110"/>
        <v>9.8240999999999996</v>
      </c>
      <c r="M1030" s="87">
        <f t="shared" si="111"/>
        <v>11.526237057460476</v>
      </c>
      <c r="N1030" s="107">
        <f t="shared" si="112"/>
        <v>6</v>
      </c>
    </row>
    <row r="1031" spans="2:14" x14ac:dyDescent="0.25">
      <c r="B1031" s="82">
        <f>SUBTOTAL(103,$D$8:D1031)</f>
        <v>1024</v>
      </c>
      <c r="C1031" s="83" t="s">
        <v>1039</v>
      </c>
      <c r="D1031" s="84">
        <v>8</v>
      </c>
      <c r="E1031" s="85">
        <f t="shared" si="107"/>
        <v>188.44409999999999</v>
      </c>
      <c r="F1031" s="106">
        <f t="shared" si="113"/>
        <v>2</v>
      </c>
      <c r="G1031" s="86"/>
      <c r="H1031" s="107">
        <f t="shared" si="108"/>
        <v>6.88</v>
      </c>
      <c r="I1031" s="107">
        <f t="shared" si="109"/>
        <v>1.1200000000000001</v>
      </c>
      <c r="J1031" s="87">
        <f>IF($D1031&gt;0,IFERROR(Параметры!$D$42*$H1031/$H$2408,0),0)</f>
        <v>120.20791878172589</v>
      </c>
      <c r="K1031" s="87">
        <f>IFERROR(ROUND($N1031*Параметры!$D$36,2),0)</f>
        <v>178.62</v>
      </c>
      <c r="L1031" s="87">
        <f t="shared" si="110"/>
        <v>9.8240999999999996</v>
      </c>
      <c r="M1031" s="87">
        <f t="shared" si="111"/>
        <v>11.526237057460476</v>
      </c>
      <c r="N1031" s="107">
        <f t="shared" si="112"/>
        <v>6</v>
      </c>
    </row>
    <row r="1032" spans="2:14" x14ac:dyDescent="0.25">
      <c r="B1032" s="82">
        <f>SUBTOTAL(103,$D$8:D1032)</f>
        <v>1025</v>
      </c>
      <c r="C1032" s="83" t="s">
        <v>1040</v>
      </c>
      <c r="D1032" s="84">
        <v>8</v>
      </c>
      <c r="E1032" s="85">
        <f t="shared" ref="E1032:E1095" si="114">IF($D1032&lt;1,"",$K1032+$L1032)</f>
        <v>188.44409999999999</v>
      </c>
      <c r="F1032" s="106">
        <f t="shared" si="113"/>
        <v>2</v>
      </c>
      <c r="G1032" s="86"/>
      <c r="H1032" s="107">
        <f t="shared" ref="H1032:H1095" si="115">IF($D1032&gt;0,$D1032*КИС,0)</f>
        <v>6.88</v>
      </c>
      <c r="I1032" s="107">
        <f t="shared" ref="I1032:I1095" si="116">IF($D1032&gt;0,$D1032-$H1032,0)</f>
        <v>1.1200000000000001</v>
      </c>
      <c r="J1032" s="87">
        <f>IF($D1032&gt;0,IFERROR(Параметры!$D$42*$H1032/$H$2408,0),0)</f>
        <v>120.20791878172589</v>
      </c>
      <c r="K1032" s="87">
        <f>IFERROR(ROUND($N1032*Параметры!$D$36,2),0)</f>
        <v>178.62</v>
      </c>
      <c r="L1032" s="87">
        <f t="shared" ref="L1032:L1095" si="117">IF($K1032&gt;0,$K1032*0.055,0)</f>
        <v>9.8240999999999996</v>
      </c>
      <c r="M1032" s="87">
        <f t="shared" ref="M1032:M1095" si="118">IFERROR($L1032/Плотность_ДТ,0)</f>
        <v>11.526237057460476</v>
      </c>
      <c r="N1032" s="107">
        <f t="shared" ref="N1032:N1095" si="119">IF($D1032&gt;0,MAX(0,$D1032-IF($F1032="",0,$F1032)),"")</f>
        <v>6</v>
      </c>
    </row>
    <row r="1033" spans="2:14" x14ac:dyDescent="0.25">
      <c r="B1033" s="82">
        <f>SUBTOTAL(103,$D$8:D1033)</f>
        <v>1026</v>
      </c>
      <c r="C1033" s="83" t="s">
        <v>1041</v>
      </c>
      <c r="D1033" s="84">
        <v>8</v>
      </c>
      <c r="E1033" s="85">
        <f t="shared" si="114"/>
        <v>188.44409999999999</v>
      </c>
      <c r="F1033" s="106">
        <f t="shared" si="113"/>
        <v>2</v>
      </c>
      <c r="G1033" s="86"/>
      <c r="H1033" s="107">
        <f t="shared" si="115"/>
        <v>6.88</v>
      </c>
      <c r="I1033" s="107">
        <f t="shared" si="116"/>
        <v>1.1200000000000001</v>
      </c>
      <c r="J1033" s="87">
        <f>IF($D1033&gt;0,IFERROR(Параметры!$D$42*$H1033/$H$2408,0),0)</f>
        <v>120.20791878172589</v>
      </c>
      <c r="K1033" s="87">
        <f>IFERROR(ROUND($N1033*Параметры!$D$36,2),0)</f>
        <v>178.62</v>
      </c>
      <c r="L1033" s="87">
        <f t="shared" si="117"/>
        <v>9.8240999999999996</v>
      </c>
      <c r="M1033" s="87">
        <f t="shared" si="118"/>
        <v>11.526237057460476</v>
      </c>
      <c r="N1033" s="107">
        <f t="shared" si="119"/>
        <v>6</v>
      </c>
    </row>
    <row r="1034" spans="2:14" x14ac:dyDescent="0.25">
      <c r="B1034" s="82">
        <f>SUBTOTAL(103,$D$8:D1034)</f>
        <v>1027</v>
      </c>
      <c r="C1034" s="83" t="s">
        <v>1042</v>
      </c>
      <c r="D1034" s="84">
        <v>8</v>
      </c>
      <c r="E1034" s="85">
        <f t="shared" si="114"/>
        <v>188.44409999999999</v>
      </c>
      <c r="F1034" s="106">
        <f t="shared" si="113"/>
        <v>2</v>
      </c>
      <c r="G1034" s="86"/>
      <c r="H1034" s="107">
        <f t="shared" si="115"/>
        <v>6.88</v>
      </c>
      <c r="I1034" s="107">
        <f t="shared" si="116"/>
        <v>1.1200000000000001</v>
      </c>
      <c r="J1034" s="87">
        <f>IF($D1034&gt;0,IFERROR(Параметры!$D$42*$H1034/$H$2408,0),0)</f>
        <v>120.20791878172589</v>
      </c>
      <c r="K1034" s="87">
        <f>IFERROR(ROUND($N1034*Параметры!$D$36,2),0)</f>
        <v>178.62</v>
      </c>
      <c r="L1034" s="87">
        <f t="shared" si="117"/>
        <v>9.8240999999999996</v>
      </c>
      <c r="M1034" s="87">
        <f t="shared" si="118"/>
        <v>11.526237057460476</v>
      </c>
      <c r="N1034" s="107">
        <f t="shared" si="119"/>
        <v>6</v>
      </c>
    </row>
    <row r="1035" spans="2:14" x14ac:dyDescent="0.25">
      <c r="B1035" s="82">
        <f>SUBTOTAL(103,$D$8:D1035)</f>
        <v>1028</v>
      </c>
      <c r="C1035" s="83" t="s">
        <v>1043</v>
      </c>
      <c r="D1035" s="84">
        <v>8</v>
      </c>
      <c r="E1035" s="85">
        <f t="shared" si="114"/>
        <v>188.44409999999999</v>
      </c>
      <c r="F1035" s="106">
        <f t="shared" ref="F1035:F1098" si="120">IF(D1035&gt;0,2,"")</f>
        <v>2</v>
      </c>
      <c r="G1035" s="86"/>
      <c r="H1035" s="107">
        <f t="shared" si="115"/>
        <v>6.88</v>
      </c>
      <c r="I1035" s="107">
        <f t="shared" si="116"/>
        <v>1.1200000000000001</v>
      </c>
      <c r="J1035" s="87">
        <f>IF($D1035&gt;0,IFERROR(Параметры!$D$42*$H1035/$H$2408,0),0)</f>
        <v>120.20791878172589</v>
      </c>
      <c r="K1035" s="87">
        <f>IFERROR(ROUND($N1035*Параметры!$D$36,2),0)</f>
        <v>178.62</v>
      </c>
      <c r="L1035" s="87">
        <f t="shared" si="117"/>
        <v>9.8240999999999996</v>
      </c>
      <c r="M1035" s="87">
        <f t="shared" si="118"/>
        <v>11.526237057460476</v>
      </c>
      <c r="N1035" s="107">
        <f t="shared" si="119"/>
        <v>6</v>
      </c>
    </row>
    <row r="1036" spans="2:14" x14ac:dyDescent="0.25">
      <c r="B1036" s="82">
        <f>SUBTOTAL(103,$D$8:D1036)</f>
        <v>1029</v>
      </c>
      <c r="C1036" s="83" t="s">
        <v>1044</v>
      </c>
      <c r="D1036" s="84">
        <v>8</v>
      </c>
      <c r="E1036" s="85">
        <f t="shared" si="114"/>
        <v>188.44409999999999</v>
      </c>
      <c r="F1036" s="106">
        <f t="shared" si="120"/>
        <v>2</v>
      </c>
      <c r="G1036" s="86"/>
      <c r="H1036" s="107">
        <f t="shared" si="115"/>
        <v>6.88</v>
      </c>
      <c r="I1036" s="107">
        <f t="shared" si="116"/>
        <v>1.1200000000000001</v>
      </c>
      <c r="J1036" s="87">
        <f>IF($D1036&gt;0,IFERROR(Параметры!$D$42*$H1036/$H$2408,0),0)</f>
        <v>120.20791878172589</v>
      </c>
      <c r="K1036" s="87">
        <f>IFERROR(ROUND($N1036*Параметры!$D$36,2),0)</f>
        <v>178.62</v>
      </c>
      <c r="L1036" s="87">
        <f t="shared" si="117"/>
        <v>9.8240999999999996</v>
      </c>
      <c r="M1036" s="87">
        <f t="shared" si="118"/>
        <v>11.526237057460476</v>
      </c>
      <c r="N1036" s="107">
        <f t="shared" si="119"/>
        <v>6</v>
      </c>
    </row>
    <row r="1037" spans="2:14" x14ac:dyDescent="0.25">
      <c r="B1037" s="82">
        <f>SUBTOTAL(103,$D$8:D1037)</f>
        <v>1030</v>
      </c>
      <c r="C1037" s="83" t="s">
        <v>1045</v>
      </c>
      <c r="D1037" s="84">
        <v>8</v>
      </c>
      <c r="E1037" s="85">
        <f t="shared" si="114"/>
        <v>188.44409999999999</v>
      </c>
      <c r="F1037" s="106">
        <f t="shared" si="120"/>
        <v>2</v>
      </c>
      <c r="G1037" s="86"/>
      <c r="H1037" s="107">
        <f t="shared" si="115"/>
        <v>6.88</v>
      </c>
      <c r="I1037" s="107">
        <f t="shared" si="116"/>
        <v>1.1200000000000001</v>
      </c>
      <c r="J1037" s="87">
        <f>IF($D1037&gt;0,IFERROR(Параметры!$D$42*$H1037/$H$2408,0),0)</f>
        <v>120.20791878172589</v>
      </c>
      <c r="K1037" s="87">
        <f>IFERROR(ROUND($N1037*Параметры!$D$36,2),0)</f>
        <v>178.62</v>
      </c>
      <c r="L1037" s="87">
        <f t="shared" si="117"/>
        <v>9.8240999999999996</v>
      </c>
      <c r="M1037" s="87">
        <f t="shared" si="118"/>
        <v>11.526237057460476</v>
      </c>
      <c r="N1037" s="107">
        <f t="shared" si="119"/>
        <v>6</v>
      </c>
    </row>
    <row r="1038" spans="2:14" x14ac:dyDescent="0.25">
      <c r="B1038" s="82">
        <f>SUBTOTAL(103,$D$8:D1038)</f>
        <v>1031</v>
      </c>
      <c r="C1038" s="83" t="s">
        <v>1046</v>
      </c>
      <c r="D1038" s="84">
        <v>8</v>
      </c>
      <c r="E1038" s="85">
        <f t="shared" si="114"/>
        <v>188.44409999999999</v>
      </c>
      <c r="F1038" s="106">
        <f t="shared" si="120"/>
        <v>2</v>
      </c>
      <c r="G1038" s="86"/>
      <c r="H1038" s="107">
        <f t="shared" si="115"/>
        <v>6.88</v>
      </c>
      <c r="I1038" s="107">
        <f t="shared" si="116"/>
        <v>1.1200000000000001</v>
      </c>
      <c r="J1038" s="87">
        <f>IF($D1038&gt;0,IFERROR(Параметры!$D$42*$H1038/$H$2408,0),0)</f>
        <v>120.20791878172589</v>
      </c>
      <c r="K1038" s="87">
        <f>IFERROR(ROUND($N1038*Параметры!$D$36,2),0)</f>
        <v>178.62</v>
      </c>
      <c r="L1038" s="87">
        <f t="shared" si="117"/>
        <v>9.8240999999999996</v>
      </c>
      <c r="M1038" s="87">
        <f t="shared" si="118"/>
        <v>11.526237057460476</v>
      </c>
      <c r="N1038" s="107">
        <f t="shared" si="119"/>
        <v>6</v>
      </c>
    </row>
    <row r="1039" spans="2:14" x14ac:dyDescent="0.25">
      <c r="B1039" s="82">
        <f>SUBTOTAL(103,$D$8:D1039)</f>
        <v>1032</v>
      </c>
      <c r="C1039" s="83" t="s">
        <v>1047</v>
      </c>
      <c r="D1039" s="84">
        <v>4</v>
      </c>
      <c r="E1039" s="85">
        <f t="shared" si="114"/>
        <v>62.814700000000002</v>
      </c>
      <c r="F1039" s="106">
        <f t="shared" si="120"/>
        <v>2</v>
      </c>
      <c r="G1039" s="86"/>
      <c r="H1039" s="107">
        <f t="shared" si="115"/>
        <v>3.44</v>
      </c>
      <c r="I1039" s="107">
        <f t="shared" si="116"/>
        <v>0.56000000000000005</v>
      </c>
      <c r="J1039" s="87">
        <f>IF($D1039&gt;0,IFERROR(Параметры!$D$42*$H1039/$H$2408,0),0)</f>
        <v>60.103959390862947</v>
      </c>
      <c r="K1039" s="87">
        <f>IFERROR(ROUND($N1039*Параметры!$D$36,2),0)</f>
        <v>59.54</v>
      </c>
      <c r="L1039" s="87">
        <f t="shared" si="117"/>
        <v>3.2747000000000002</v>
      </c>
      <c r="M1039" s="87">
        <f t="shared" si="118"/>
        <v>3.8420790191534921</v>
      </c>
      <c r="N1039" s="107">
        <f t="shared" si="119"/>
        <v>2</v>
      </c>
    </row>
    <row r="1040" spans="2:14" x14ac:dyDescent="0.25">
      <c r="B1040" s="82">
        <f>SUBTOTAL(103,$D$8:D1040)</f>
        <v>1033</v>
      </c>
      <c r="C1040" s="83" t="s">
        <v>1048</v>
      </c>
      <c r="D1040" s="84">
        <v>0</v>
      </c>
      <c r="E1040" s="85" t="str">
        <f t="shared" si="114"/>
        <v/>
      </c>
      <c r="F1040" s="106" t="str">
        <f t="shared" si="120"/>
        <v/>
      </c>
      <c r="G1040" s="86"/>
      <c r="H1040" s="107">
        <f t="shared" si="115"/>
        <v>0</v>
      </c>
      <c r="I1040" s="107">
        <f t="shared" si="116"/>
        <v>0</v>
      </c>
      <c r="J1040" s="87">
        <f>IF($D1040&gt;0,IFERROR(Параметры!$D$42*$H1040/$H$2408,0),0)</f>
        <v>0</v>
      </c>
      <c r="K1040" s="87">
        <f>IFERROR(ROUND($N1040*Параметры!$D$36,2),0)</f>
        <v>0</v>
      </c>
      <c r="L1040" s="87">
        <f t="shared" si="117"/>
        <v>0</v>
      </c>
      <c r="M1040" s="87">
        <f t="shared" si="118"/>
        <v>0</v>
      </c>
      <c r="N1040" s="107" t="str">
        <f t="shared" si="119"/>
        <v/>
      </c>
    </row>
    <row r="1041" spans="2:14" x14ac:dyDescent="0.25">
      <c r="B1041" s="82">
        <f>SUBTOTAL(103,$D$8:D1041)</f>
        <v>1034</v>
      </c>
      <c r="C1041" s="83" t="s">
        <v>1049</v>
      </c>
      <c r="D1041" s="84">
        <v>0</v>
      </c>
      <c r="E1041" s="85" t="str">
        <f t="shared" si="114"/>
        <v/>
      </c>
      <c r="F1041" s="106" t="str">
        <f t="shared" si="120"/>
        <v/>
      </c>
      <c r="G1041" s="86"/>
      <c r="H1041" s="107">
        <f t="shared" si="115"/>
        <v>0</v>
      </c>
      <c r="I1041" s="107">
        <f t="shared" si="116"/>
        <v>0</v>
      </c>
      <c r="J1041" s="87">
        <f>IF($D1041&gt;0,IFERROR(Параметры!$D$42*$H1041/$H$2408,0),0)</f>
        <v>0</v>
      </c>
      <c r="K1041" s="87">
        <f>IFERROR(ROUND($N1041*Параметры!$D$36,2),0)</f>
        <v>0</v>
      </c>
      <c r="L1041" s="87">
        <f t="shared" si="117"/>
        <v>0</v>
      </c>
      <c r="M1041" s="87">
        <f t="shared" si="118"/>
        <v>0</v>
      </c>
      <c r="N1041" s="107" t="str">
        <f t="shared" si="119"/>
        <v/>
      </c>
    </row>
    <row r="1042" spans="2:14" x14ac:dyDescent="0.25">
      <c r="B1042" s="82">
        <f>SUBTOTAL(103,$D$8:D1042)</f>
        <v>1035</v>
      </c>
      <c r="C1042" s="83" t="s">
        <v>1050</v>
      </c>
      <c r="D1042" s="84">
        <v>0</v>
      </c>
      <c r="E1042" s="85" t="str">
        <f t="shared" si="114"/>
        <v/>
      </c>
      <c r="F1042" s="106" t="str">
        <f t="shared" si="120"/>
        <v/>
      </c>
      <c r="G1042" s="86"/>
      <c r="H1042" s="107">
        <f t="shared" si="115"/>
        <v>0</v>
      </c>
      <c r="I1042" s="107">
        <f t="shared" si="116"/>
        <v>0</v>
      </c>
      <c r="J1042" s="87">
        <f>IF($D1042&gt;0,IFERROR(Параметры!$D$42*$H1042/$H$2408,0),0)</f>
        <v>0</v>
      </c>
      <c r="K1042" s="87">
        <f>IFERROR(ROUND($N1042*Параметры!$D$36,2),0)</f>
        <v>0</v>
      </c>
      <c r="L1042" s="87">
        <f t="shared" si="117"/>
        <v>0</v>
      </c>
      <c r="M1042" s="87">
        <f t="shared" si="118"/>
        <v>0</v>
      </c>
      <c r="N1042" s="107" t="str">
        <f t="shared" si="119"/>
        <v/>
      </c>
    </row>
    <row r="1043" spans="2:14" x14ac:dyDescent="0.25">
      <c r="B1043" s="82">
        <f>SUBTOTAL(103,$D$8:D1043)</f>
        <v>1036</v>
      </c>
      <c r="C1043" s="83" t="s">
        <v>1051</v>
      </c>
      <c r="D1043" s="84">
        <v>0</v>
      </c>
      <c r="E1043" s="85" t="str">
        <f t="shared" si="114"/>
        <v/>
      </c>
      <c r="F1043" s="106" t="str">
        <f t="shared" si="120"/>
        <v/>
      </c>
      <c r="G1043" s="86"/>
      <c r="H1043" s="107">
        <f t="shared" si="115"/>
        <v>0</v>
      </c>
      <c r="I1043" s="107">
        <f t="shared" si="116"/>
        <v>0</v>
      </c>
      <c r="J1043" s="87">
        <f>IF($D1043&gt;0,IFERROR(Параметры!$D$42*$H1043/$H$2408,0),0)</f>
        <v>0</v>
      </c>
      <c r="K1043" s="87">
        <f>IFERROR(ROUND($N1043*Параметры!$D$36,2),0)</f>
        <v>0</v>
      </c>
      <c r="L1043" s="87">
        <f t="shared" si="117"/>
        <v>0</v>
      </c>
      <c r="M1043" s="87">
        <f t="shared" si="118"/>
        <v>0</v>
      </c>
      <c r="N1043" s="107" t="str">
        <f t="shared" si="119"/>
        <v/>
      </c>
    </row>
    <row r="1044" spans="2:14" x14ac:dyDescent="0.25">
      <c r="B1044" s="82">
        <f>SUBTOTAL(103,$D$8:D1044)</f>
        <v>1037</v>
      </c>
      <c r="C1044" s="83" t="s">
        <v>1052</v>
      </c>
      <c r="D1044" s="84">
        <v>0</v>
      </c>
      <c r="E1044" s="85" t="str">
        <f t="shared" si="114"/>
        <v/>
      </c>
      <c r="F1044" s="106" t="str">
        <f t="shared" si="120"/>
        <v/>
      </c>
      <c r="G1044" s="86"/>
      <c r="H1044" s="107">
        <f t="shared" si="115"/>
        <v>0</v>
      </c>
      <c r="I1044" s="107">
        <f t="shared" si="116"/>
        <v>0</v>
      </c>
      <c r="J1044" s="87">
        <f>IF($D1044&gt;0,IFERROR(Параметры!$D$42*$H1044/$H$2408,0),0)</f>
        <v>0</v>
      </c>
      <c r="K1044" s="87">
        <f>IFERROR(ROUND($N1044*Параметры!$D$36,2),0)</f>
        <v>0</v>
      </c>
      <c r="L1044" s="87">
        <f t="shared" si="117"/>
        <v>0</v>
      </c>
      <c r="M1044" s="87">
        <f t="shared" si="118"/>
        <v>0</v>
      </c>
      <c r="N1044" s="107" t="str">
        <f t="shared" si="119"/>
        <v/>
      </c>
    </row>
    <row r="1045" spans="2:14" x14ac:dyDescent="0.25">
      <c r="B1045" s="82">
        <f>SUBTOTAL(103,$D$8:D1045)</f>
        <v>1038</v>
      </c>
      <c r="C1045" s="83" t="s">
        <v>1053</v>
      </c>
      <c r="D1045" s="84">
        <v>0</v>
      </c>
      <c r="E1045" s="85" t="str">
        <f t="shared" si="114"/>
        <v/>
      </c>
      <c r="F1045" s="106" t="str">
        <f t="shared" si="120"/>
        <v/>
      </c>
      <c r="G1045" s="86"/>
      <c r="H1045" s="107">
        <f t="shared" si="115"/>
        <v>0</v>
      </c>
      <c r="I1045" s="107">
        <f t="shared" si="116"/>
        <v>0</v>
      </c>
      <c r="J1045" s="87">
        <f>IF($D1045&gt;0,IFERROR(Параметры!$D$42*$H1045/$H$2408,0),0)</f>
        <v>0</v>
      </c>
      <c r="K1045" s="87">
        <f>IFERROR(ROUND($N1045*Параметры!$D$36,2),0)</f>
        <v>0</v>
      </c>
      <c r="L1045" s="87">
        <f t="shared" si="117"/>
        <v>0</v>
      </c>
      <c r="M1045" s="87">
        <f t="shared" si="118"/>
        <v>0</v>
      </c>
      <c r="N1045" s="107" t="str">
        <f t="shared" si="119"/>
        <v/>
      </c>
    </row>
    <row r="1046" spans="2:14" x14ac:dyDescent="0.25">
      <c r="B1046" s="82">
        <f>SUBTOTAL(103,$D$8:D1046)</f>
        <v>1039</v>
      </c>
      <c r="C1046" s="83" t="s">
        <v>1054</v>
      </c>
      <c r="D1046" s="84">
        <v>0</v>
      </c>
      <c r="E1046" s="85" t="str">
        <f t="shared" si="114"/>
        <v/>
      </c>
      <c r="F1046" s="106" t="str">
        <f t="shared" si="120"/>
        <v/>
      </c>
      <c r="G1046" s="86"/>
      <c r="H1046" s="107">
        <f t="shared" si="115"/>
        <v>0</v>
      </c>
      <c r="I1046" s="107">
        <f t="shared" si="116"/>
        <v>0</v>
      </c>
      <c r="J1046" s="87">
        <f>IF($D1046&gt;0,IFERROR(Параметры!$D$42*$H1046/$H$2408,0),0)</f>
        <v>0</v>
      </c>
      <c r="K1046" s="87">
        <f>IFERROR(ROUND($N1046*Параметры!$D$36,2),0)</f>
        <v>0</v>
      </c>
      <c r="L1046" s="87">
        <f t="shared" si="117"/>
        <v>0</v>
      </c>
      <c r="M1046" s="87">
        <f t="shared" si="118"/>
        <v>0</v>
      </c>
      <c r="N1046" s="107" t="str">
        <f t="shared" si="119"/>
        <v/>
      </c>
    </row>
    <row r="1047" spans="2:14" x14ac:dyDescent="0.25">
      <c r="B1047" s="82">
        <f>SUBTOTAL(103,$D$8:D1047)</f>
        <v>1040</v>
      </c>
      <c r="C1047" s="83" t="s">
        <v>1055</v>
      </c>
      <c r="D1047" s="84">
        <v>0</v>
      </c>
      <c r="E1047" s="85" t="str">
        <f t="shared" si="114"/>
        <v/>
      </c>
      <c r="F1047" s="106" t="str">
        <f t="shared" si="120"/>
        <v/>
      </c>
      <c r="G1047" s="86"/>
      <c r="H1047" s="107">
        <f t="shared" si="115"/>
        <v>0</v>
      </c>
      <c r="I1047" s="107">
        <f t="shared" si="116"/>
        <v>0</v>
      </c>
      <c r="J1047" s="87">
        <f>IF($D1047&gt;0,IFERROR(Параметры!$D$42*$H1047/$H$2408,0),0)</f>
        <v>0</v>
      </c>
      <c r="K1047" s="87">
        <f>IFERROR(ROUND($N1047*Параметры!$D$36,2),0)</f>
        <v>0</v>
      </c>
      <c r="L1047" s="87">
        <f t="shared" si="117"/>
        <v>0</v>
      </c>
      <c r="M1047" s="87">
        <f t="shared" si="118"/>
        <v>0</v>
      </c>
      <c r="N1047" s="107" t="str">
        <f t="shared" si="119"/>
        <v/>
      </c>
    </row>
    <row r="1048" spans="2:14" x14ac:dyDescent="0.25">
      <c r="B1048" s="82">
        <f>SUBTOTAL(103,$D$8:D1048)</f>
        <v>1041</v>
      </c>
      <c r="C1048" s="83" t="s">
        <v>1056</v>
      </c>
      <c r="D1048" s="84">
        <v>0</v>
      </c>
      <c r="E1048" s="85" t="str">
        <f t="shared" si="114"/>
        <v/>
      </c>
      <c r="F1048" s="106" t="str">
        <f t="shared" si="120"/>
        <v/>
      </c>
      <c r="G1048" s="86"/>
      <c r="H1048" s="107">
        <f t="shared" si="115"/>
        <v>0</v>
      </c>
      <c r="I1048" s="107">
        <f t="shared" si="116"/>
        <v>0</v>
      </c>
      <c r="J1048" s="87">
        <f>IF($D1048&gt;0,IFERROR(Параметры!$D$42*$H1048/$H$2408,0),0)</f>
        <v>0</v>
      </c>
      <c r="K1048" s="87">
        <f>IFERROR(ROUND($N1048*Параметры!$D$36,2),0)</f>
        <v>0</v>
      </c>
      <c r="L1048" s="87">
        <f t="shared" si="117"/>
        <v>0</v>
      </c>
      <c r="M1048" s="87">
        <f t="shared" si="118"/>
        <v>0</v>
      </c>
      <c r="N1048" s="107" t="str">
        <f t="shared" si="119"/>
        <v/>
      </c>
    </row>
    <row r="1049" spans="2:14" x14ac:dyDescent="0.25">
      <c r="B1049" s="82">
        <f>SUBTOTAL(103,$D$8:D1049)</f>
        <v>1042</v>
      </c>
      <c r="C1049" s="83" t="s">
        <v>1057</v>
      </c>
      <c r="D1049" s="84">
        <v>0</v>
      </c>
      <c r="E1049" s="85" t="str">
        <f t="shared" si="114"/>
        <v/>
      </c>
      <c r="F1049" s="106" t="str">
        <f t="shared" si="120"/>
        <v/>
      </c>
      <c r="G1049" s="86"/>
      <c r="H1049" s="107">
        <f t="shared" si="115"/>
        <v>0</v>
      </c>
      <c r="I1049" s="107">
        <f t="shared" si="116"/>
        <v>0</v>
      </c>
      <c r="J1049" s="87">
        <f>IF($D1049&gt;0,IFERROR(Параметры!$D$42*$H1049/$H$2408,0),0)</f>
        <v>0</v>
      </c>
      <c r="K1049" s="87">
        <f>IFERROR(ROUND($N1049*Параметры!$D$36,2),0)</f>
        <v>0</v>
      </c>
      <c r="L1049" s="87">
        <f t="shared" si="117"/>
        <v>0</v>
      </c>
      <c r="M1049" s="87">
        <f t="shared" si="118"/>
        <v>0</v>
      </c>
      <c r="N1049" s="107" t="str">
        <f t="shared" si="119"/>
        <v/>
      </c>
    </row>
    <row r="1050" spans="2:14" x14ac:dyDescent="0.25">
      <c r="B1050" s="82">
        <f>SUBTOTAL(103,$D$8:D1050)</f>
        <v>1043</v>
      </c>
      <c r="C1050" s="83" t="s">
        <v>1058</v>
      </c>
      <c r="D1050" s="84">
        <v>0</v>
      </c>
      <c r="E1050" s="85" t="str">
        <f t="shared" si="114"/>
        <v/>
      </c>
      <c r="F1050" s="106" t="str">
        <f t="shared" si="120"/>
        <v/>
      </c>
      <c r="G1050" s="86"/>
      <c r="H1050" s="107">
        <f t="shared" si="115"/>
        <v>0</v>
      </c>
      <c r="I1050" s="107">
        <f t="shared" si="116"/>
        <v>0</v>
      </c>
      <c r="J1050" s="87">
        <f>IF($D1050&gt;0,IFERROR(Параметры!$D$42*$H1050/$H$2408,0),0)</f>
        <v>0</v>
      </c>
      <c r="K1050" s="87">
        <f>IFERROR(ROUND($N1050*Параметры!$D$36,2),0)</f>
        <v>0</v>
      </c>
      <c r="L1050" s="87">
        <f t="shared" si="117"/>
        <v>0</v>
      </c>
      <c r="M1050" s="87">
        <f t="shared" si="118"/>
        <v>0</v>
      </c>
      <c r="N1050" s="107" t="str">
        <f t="shared" si="119"/>
        <v/>
      </c>
    </row>
    <row r="1051" spans="2:14" x14ac:dyDescent="0.25">
      <c r="B1051" s="82">
        <f>SUBTOTAL(103,$D$8:D1051)</f>
        <v>1044</v>
      </c>
      <c r="C1051" s="83" t="s">
        <v>1059</v>
      </c>
      <c r="D1051" s="84">
        <v>0</v>
      </c>
      <c r="E1051" s="85" t="str">
        <f t="shared" si="114"/>
        <v/>
      </c>
      <c r="F1051" s="106" t="str">
        <f t="shared" si="120"/>
        <v/>
      </c>
      <c r="G1051" s="86"/>
      <c r="H1051" s="107">
        <f t="shared" si="115"/>
        <v>0</v>
      </c>
      <c r="I1051" s="107">
        <f t="shared" si="116"/>
        <v>0</v>
      </c>
      <c r="J1051" s="87">
        <f>IF($D1051&gt;0,IFERROR(Параметры!$D$42*$H1051/$H$2408,0),0)</f>
        <v>0</v>
      </c>
      <c r="K1051" s="87">
        <f>IFERROR(ROUND($N1051*Параметры!$D$36,2),0)</f>
        <v>0</v>
      </c>
      <c r="L1051" s="87">
        <f t="shared" si="117"/>
        <v>0</v>
      </c>
      <c r="M1051" s="87">
        <f t="shared" si="118"/>
        <v>0</v>
      </c>
      <c r="N1051" s="107" t="str">
        <f t="shared" si="119"/>
        <v/>
      </c>
    </row>
    <row r="1052" spans="2:14" x14ac:dyDescent="0.25">
      <c r="B1052" s="82">
        <f>SUBTOTAL(103,$D$8:D1052)</f>
        <v>1045</v>
      </c>
      <c r="C1052" s="83" t="s">
        <v>1060</v>
      </c>
      <c r="D1052" s="84">
        <v>0</v>
      </c>
      <c r="E1052" s="85" t="str">
        <f t="shared" si="114"/>
        <v/>
      </c>
      <c r="F1052" s="106" t="str">
        <f t="shared" si="120"/>
        <v/>
      </c>
      <c r="G1052" s="86"/>
      <c r="H1052" s="107">
        <f t="shared" si="115"/>
        <v>0</v>
      </c>
      <c r="I1052" s="107">
        <f t="shared" si="116"/>
        <v>0</v>
      </c>
      <c r="J1052" s="87">
        <f>IF($D1052&gt;0,IFERROR(Параметры!$D$42*$H1052/$H$2408,0),0)</f>
        <v>0</v>
      </c>
      <c r="K1052" s="87">
        <f>IFERROR(ROUND($N1052*Параметры!$D$36,2),0)</f>
        <v>0</v>
      </c>
      <c r="L1052" s="87">
        <f t="shared" si="117"/>
        <v>0</v>
      </c>
      <c r="M1052" s="87">
        <f t="shared" si="118"/>
        <v>0</v>
      </c>
      <c r="N1052" s="107" t="str">
        <f t="shared" si="119"/>
        <v/>
      </c>
    </row>
    <row r="1053" spans="2:14" x14ac:dyDescent="0.25">
      <c r="B1053" s="82">
        <f>SUBTOTAL(103,$D$8:D1053)</f>
        <v>1046</v>
      </c>
      <c r="C1053" s="83" t="s">
        <v>1061</v>
      </c>
      <c r="D1053" s="84">
        <v>0</v>
      </c>
      <c r="E1053" s="85" t="str">
        <f t="shared" si="114"/>
        <v/>
      </c>
      <c r="F1053" s="106" t="str">
        <f t="shared" si="120"/>
        <v/>
      </c>
      <c r="G1053" s="86"/>
      <c r="H1053" s="107">
        <f t="shared" si="115"/>
        <v>0</v>
      </c>
      <c r="I1053" s="107">
        <f t="shared" si="116"/>
        <v>0</v>
      </c>
      <c r="J1053" s="87">
        <f>IF($D1053&gt;0,IFERROR(Параметры!$D$42*$H1053/$H$2408,0),0)</f>
        <v>0</v>
      </c>
      <c r="K1053" s="87">
        <f>IFERROR(ROUND($N1053*Параметры!$D$36,2),0)</f>
        <v>0</v>
      </c>
      <c r="L1053" s="87">
        <f t="shared" si="117"/>
        <v>0</v>
      </c>
      <c r="M1053" s="87">
        <f t="shared" si="118"/>
        <v>0</v>
      </c>
      <c r="N1053" s="107" t="str">
        <f t="shared" si="119"/>
        <v/>
      </c>
    </row>
    <row r="1054" spans="2:14" x14ac:dyDescent="0.25">
      <c r="B1054" s="82">
        <f>SUBTOTAL(103,$D$8:D1054)</f>
        <v>1047</v>
      </c>
      <c r="C1054" s="83" t="s">
        <v>1062</v>
      </c>
      <c r="D1054" s="84">
        <v>0</v>
      </c>
      <c r="E1054" s="85" t="str">
        <f t="shared" si="114"/>
        <v/>
      </c>
      <c r="F1054" s="106" t="str">
        <f t="shared" si="120"/>
        <v/>
      </c>
      <c r="G1054" s="86"/>
      <c r="H1054" s="107">
        <f t="shared" si="115"/>
        <v>0</v>
      </c>
      <c r="I1054" s="107">
        <f t="shared" si="116"/>
        <v>0</v>
      </c>
      <c r="J1054" s="87">
        <f>IF($D1054&gt;0,IFERROR(Параметры!$D$42*$H1054/$H$2408,0),0)</f>
        <v>0</v>
      </c>
      <c r="K1054" s="87">
        <f>IFERROR(ROUND($N1054*Параметры!$D$36,2),0)</f>
        <v>0</v>
      </c>
      <c r="L1054" s="87">
        <f t="shared" si="117"/>
        <v>0</v>
      </c>
      <c r="M1054" s="87">
        <f t="shared" si="118"/>
        <v>0</v>
      </c>
      <c r="N1054" s="107" t="str">
        <f t="shared" si="119"/>
        <v/>
      </c>
    </row>
    <row r="1055" spans="2:14" x14ac:dyDescent="0.25">
      <c r="B1055" s="82">
        <f>SUBTOTAL(103,$D$8:D1055)</f>
        <v>1048</v>
      </c>
      <c r="C1055" s="83" t="s">
        <v>1063</v>
      </c>
      <c r="D1055" s="84">
        <v>0</v>
      </c>
      <c r="E1055" s="85" t="str">
        <f t="shared" si="114"/>
        <v/>
      </c>
      <c r="F1055" s="106" t="str">
        <f t="shared" si="120"/>
        <v/>
      </c>
      <c r="G1055" s="86"/>
      <c r="H1055" s="107">
        <f t="shared" si="115"/>
        <v>0</v>
      </c>
      <c r="I1055" s="107">
        <f t="shared" si="116"/>
        <v>0</v>
      </c>
      <c r="J1055" s="87">
        <f>IF($D1055&gt;0,IFERROR(Параметры!$D$42*$H1055/$H$2408,0),0)</f>
        <v>0</v>
      </c>
      <c r="K1055" s="87">
        <f>IFERROR(ROUND($N1055*Параметры!$D$36,2),0)</f>
        <v>0</v>
      </c>
      <c r="L1055" s="87">
        <f t="shared" si="117"/>
        <v>0</v>
      </c>
      <c r="M1055" s="87">
        <f t="shared" si="118"/>
        <v>0</v>
      </c>
      <c r="N1055" s="107" t="str">
        <f t="shared" si="119"/>
        <v/>
      </c>
    </row>
    <row r="1056" spans="2:14" x14ac:dyDescent="0.25">
      <c r="B1056" s="82">
        <f>SUBTOTAL(103,$D$8:D1056)</f>
        <v>1049</v>
      </c>
      <c r="C1056" s="83" t="s">
        <v>1064</v>
      </c>
      <c r="D1056" s="84">
        <v>0</v>
      </c>
      <c r="E1056" s="85" t="str">
        <f t="shared" si="114"/>
        <v/>
      </c>
      <c r="F1056" s="106" t="str">
        <f t="shared" si="120"/>
        <v/>
      </c>
      <c r="G1056" s="86"/>
      <c r="H1056" s="107">
        <f t="shared" si="115"/>
        <v>0</v>
      </c>
      <c r="I1056" s="107">
        <f t="shared" si="116"/>
        <v>0</v>
      </c>
      <c r="J1056" s="87">
        <f>IF($D1056&gt;0,IFERROR(Параметры!$D$42*$H1056/$H$2408,0),0)</f>
        <v>0</v>
      </c>
      <c r="K1056" s="87">
        <f>IFERROR(ROUND($N1056*Параметры!$D$36,2),0)</f>
        <v>0</v>
      </c>
      <c r="L1056" s="87">
        <f t="shared" si="117"/>
        <v>0</v>
      </c>
      <c r="M1056" s="87">
        <f t="shared" si="118"/>
        <v>0</v>
      </c>
      <c r="N1056" s="107" t="str">
        <f t="shared" si="119"/>
        <v/>
      </c>
    </row>
    <row r="1057" spans="2:14" x14ac:dyDescent="0.25">
      <c r="B1057" s="82">
        <f>SUBTOTAL(103,$D$8:D1057)</f>
        <v>1050</v>
      </c>
      <c r="C1057" s="83" t="s">
        <v>1065</v>
      </c>
      <c r="D1057" s="84">
        <v>0</v>
      </c>
      <c r="E1057" s="85" t="str">
        <f t="shared" si="114"/>
        <v/>
      </c>
      <c r="F1057" s="106" t="str">
        <f t="shared" si="120"/>
        <v/>
      </c>
      <c r="G1057" s="86"/>
      <c r="H1057" s="107">
        <f t="shared" si="115"/>
        <v>0</v>
      </c>
      <c r="I1057" s="107">
        <f t="shared" si="116"/>
        <v>0</v>
      </c>
      <c r="J1057" s="87">
        <f>IF($D1057&gt;0,IFERROR(Параметры!$D$42*$H1057/$H$2408,0),0)</f>
        <v>0</v>
      </c>
      <c r="K1057" s="87">
        <f>IFERROR(ROUND($N1057*Параметры!$D$36,2),0)</f>
        <v>0</v>
      </c>
      <c r="L1057" s="87">
        <f t="shared" si="117"/>
        <v>0</v>
      </c>
      <c r="M1057" s="87">
        <f t="shared" si="118"/>
        <v>0</v>
      </c>
      <c r="N1057" s="107" t="str">
        <f t="shared" si="119"/>
        <v/>
      </c>
    </row>
    <row r="1058" spans="2:14" x14ac:dyDescent="0.25">
      <c r="B1058" s="82">
        <f>SUBTOTAL(103,$D$8:D1058)</f>
        <v>1051</v>
      </c>
      <c r="C1058" s="83" t="s">
        <v>1066</v>
      </c>
      <c r="D1058" s="84">
        <v>0</v>
      </c>
      <c r="E1058" s="85" t="str">
        <f t="shared" si="114"/>
        <v/>
      </c>
      <c r="F1058" s="106" t="str">
        <f t="shared" si="120"/>
        <v/>
      </c>
      <c r="G1058" s="86"/>
      <c r="H1058" s="107">
        <f t="shared" si="115"/>
        <v>0</v>
      </c>
      <c r="I1058" s="107">
        <f t="shared" si="116"/>
        <v>0</v>
      </c>
      <c r="J1058" s="87">
        <f>IF($D1058&gt;0,IFERROR(Параметры!$D$42*$H1058/$H$2408,0),0)</f>
        <v>0</v>
      </c>
      <c r="K1058" s="87">
        <f>IFERROR(ROUND($N1058*Параметры!$D$36,2),0)</f>
        <v>0</v>
      </c>
      <c r="L1058" s="87">
        <f t="shared" si="117"/>
        <v>0</v>
      </c>
      <c r="M1058" s="87">
        <f t="shared" si="118"/>
        <v>0</v>
      </c>
      <c r="N1058" s="107" t="str">
        <f t="shared" si="119"/>
        <v/>
      </c>
    </row>
    <row r="1059" spans="2:14" x14ac:dyDescent="0.25">
      <c r="B1059" s="82">
        <f>SUBTOTAL(103,$D$8:D1059)</f>
        <v>1052</v>
      </c>
      <c r="C1059" s="83" t="s">
        <v>1067</v>
      </c>
      <c r="D1059" s="84">
        <v>0</v>
      </c>
      <c r="E1059" s="85" t="str">
        <f t="shared" si="114"/>
        <v/>
      </c>
      <c r="F1059" s="106" t="str">
        <f t="shared" si="120"/>
        <v/>
      </c>
      <c r="G1059" s="86"/>
      <c r="H1059" s="107">
        <f t="shared" si="115"/>
        <v>0</v>
      </c>
      <c r="I1059" s="107">
        <f t="shared" si="116"/>
        <v>0</v>
      </c>
      <c r="J1059" s="87">
        <f>IF($D1059&gt;0,IFERROR(Параметры!$D$42*$H1059/$H$2408,0),0)</f>
        <v>0</v>
      </c>
      <c r="K1059" s="87">
        <f>IFERROR(ROUND($N1059*Параметры!$D$36,2),0)</f>
        <v>0</v>
      </c>
      <c r="L1059" s="87">
        <f t="shared" si="117"/>
        <v>0</v>
      </c>
      <c r="M1059" s="87">
        <f t="shared" si="118"/>
        <v>0</v>
      </c>
      <c r="N1059" s="107" t="str">
        <f t="shared" si="119"/>
        <v/>
      </c>
    </row>
    <row r="1060" spans="2:14" x14ac:dyDescent="0.25">
      <c r="B1060" s="82">
        <f>SUBTOTAL(103,$D$8:D1060)</f>
        <v>1053</v>
      </c>
      <c r="C1060" s="83" t="s">
        <v>1068</v>
      </c>
      <c r="D1060" s="84">
        <v>0</v>
      </c>
      <c r="E1060" s="85" t="str">
        <f t="shared" si="114"/>
        <v/>
      </c>
      <c r="F1060" s="106" t="str">
        <f t="shared" si="120"/>
        <v/>
      </c>
      <c r="G1060" s="86"/>
      <c r="H1060" s="107">
        <f t="shared" si="115"/>
        <v>0</v>
      </c>
      <c r="I1060" s="107">
        <f t="shared" si="116"/>
        <v>0</v>
      </c>
      <c r="J1060" s="87">
        <f>IF($D1060&gt;0,IFERROR(Параметры!$D$42*$H1060/$H$2408,0),0)</f>
        <v>0</v>
      </c>
      <c r="K1060" s="87">
        <f>IFERROR(ROUND($N1060*Параметры!$D$36,2),0)</f>
        <v>0</v>
      </c>
      <c r="L1060" s="87">
        <f t="shared" si="117"/>
        <v>0</v>
      </c>
      <c r="M1060" s="87">
        <f t="shared" si="118"/>
        <v>0</v>
      </c>
      <c r="N1060" s="107" t="str">
        <f t="shared" si="119"/>
        <v/>
      </c>
    </row>
    <row r="1061" spans="2:14" x14ac:dyDescent="0.25">
      <c r="B1061" s="82">
        <f>SUBTOTAL(103,$D$8:D1061)</f>
        <v>1054</v>
      </c>
      <c r="C1061" s="83" t="s">
        <v>1069</v>
      </c>
      <c r="D1061" s="84">
        <v>0</v>
      </c>
      <c r="E1061" s="85" t="str">
        <f t="shared" si="114"/>
        <v/>
      </c>
      <c r="F1061" s="106" t="str">
        <f t="shared" si="120"/>
        <v/>
      </c>
      <c r="G1061" s="86"/>
      <c r="H1061" s="107">
        <f t="shared" si="115"/>
        <v>0</v>
      </c>
      <c r="I1061" s="107">
        <f t="shared" si="116"/>
        <v>0</v>
      </c>
      <c r="J1061" s="87">
        <f>IF($D1061&gt;0,IFERROR(Параметры!$D$42*$H1061/$H$2408,0),0)</f>
        <v>0</v>
      </c>
      <c r="K1061" s="87">
        <f>IFERROR(ROUND($N1061*Параметры!$D$36,2),0)</f>
        <v>0</v>
      </c>
      <c r="L1061" s="87">
        <f t="shared" si="117"/>
        <v>0</v>
      </c>
      <c r="M1061" s="87">
        <f t="shared" si="118"/>
        <v>0</v>
      </c>
      <c r="N1061" s="107" t="str">
        <f t="shared" si="119"/>
        <v/>
      </c>
    </row>
    <row r="1062" spans="2:14" x14ac:dyDescent="0.25">
      <c r="B1062" s="82">
        <f>SUBTOTAL(103,$D$8:D1062)</f>
        <v>1055</v>
      </c>
      <c r="C1062" s="83" t="s">
        <v>1070</v>
      </c>
      <c r="D1062" s="84">
        <v>0</v>
      </c>
      <c r="E1062" s="85" t="str">
        <f t="shared" si="114"/>
        <v/>
      </c>
      <c r="F1062" s="106" t="str">
        <f t="shared" si="120"/>
        <v/>
      </c>
      <c r="G1062" s="86"/>
      <c r="H1062" s="107">
        <f t="shared" si="115"/>
        <v>0</v>
      </c>
      <c r="I1062" s="107">
        <f t="shared" si="116"/>
        <v>0</v>
      </c>
      <c r="J1062" s="87">
        <f>IF($D1062&gt;0,IFERROR(Параметры!$D$42*$H1062/$H$2408,0),0)</f>
        <v>0</v>
      </c>
      <c r="K1062" s="87">
        <f>IFERROR(ROUND($N1062*Параметры!$D$36,2),0)</f>
        <v>0</v>
      </c>
      <c r="L1062" s="87">
        <f t="shared" si="117"/>
        <v>0</v>
      </c>
      <c r="M1062" s="87">
        <f t="shared" si="118"/>
        <v>0</v>
      </c>
      <c r="N1062" s="107" t="str">
        <f t="shared" si="119"/>
        <v/>
      </c>
    </row>
    <row r="1063" spans="2:14" x14ac:dyDescent="0.25">
      <c r="B1063" s="82">
        <f>SUBTOTAL(103,$D$8:D1063)</f>
        <v>1056</v>
      </c>
      <c r="C1063" s="83" t="s">
        <v>1071</v>
      </c>
      <c r="D1063" s="84">
        <v>0</v>
      </c>
      <c r="E1063" s="85" t="str">
        <f t="shared" si="114"/>
        <v/>
      </c>
      <c r="F1063" s="106" t="str">
        <f t="shared" si="120"/>
        <v/>
      </c>
      <c r="G1063" s="86"/>
      <c r="H1063" s="107">
        <f t="shared" si="115"/>
        <v>0</v>
      </c>
      <c r="I1063" s="107">
        <f t="shared" si="116"/>
        <v>0</v>
      </c>
      <c r="J1063" s="87">
        <f>IF($D1063&gt;0,IFERROR(Параметры!$D$42*$H1063/$H$2408,0),0)</f>
        <v>0</v>
      </c>
      <c r="K1063" s="87">
        <f>IFERROR(ROUND($N1063*Параметры!$D$36,2),0)</f>
        <v>0</v>
      </c>
      <c r="L1063" s="87">
        <f t="shared" si="117"/>
        <v>0</v>
      </c>
      <c r="M1063" s="87">
        <f t="shared" si="118"/>
        <v>0</v>
      </c>
      <c r="N1063" s="107" t="str">
        <f t="shared" si="119"/>
        <v/>
      </c>
    </row>
    <row r="1064" spans="2:14" x14ac:dyDescent="0.25">
      <c r="B1064" s="82">
        <f>SUBTOTAL(103,$D$8:D1064)</f>
        <v>1057</v>
      </c>
      <c r="C1064" s="83" t="s">
        <v>1072</v>
      </c>
      <c r="D1064" s="84">
        <v>0</v>
      </c>
      <c r="E1064" s="85" t="str">
        <f t="shared" si="114"/>
        <v/>
      </c>
      <c r="F1064" s="106" t="str">
        <f t="shared" si="120"/>
        <v/>
      </c>
      <c r="G1064" s="86"/>
      <c r="H1064" s="107">
        <f t="shared" si="115"/>
        <v>0</v>
      </c>
      <c r="I1064" s="107">
        <f t="shared" si="116"/>
        <v>0</v>
      </c>
      <c r="J1064" s="87">
        <f>IF($D1064&gt;0,IFERROR(Параметры!$D$42*$H1064/$H$2408,0),0)</f>
        <v>0</v>
      </c>
      <c r="K1064" s="87">
        <f>IFERROR(ROUND($N1064*Параметры!$D$36,2),0)</f>
        <v>0</v>
      </c>
      <c r="L1064" s="87">
        <f t="shared" si="117"/>
        <v>0</v>
      </c>
      <c r="M1064" s="87">
        <f t="shared" si="118"/>
        <v>0</v>
      </c>
      <c r="N1064" s="107" t="str">
        <f t="shared" si="119"/>
        <v/>
      </c>
    </row>
    <row r="1065" spans="2:14" x14ac:dyDescent="0.25">
      <c r="B1065" s="82">
        <f>SUBTOTAL(103,$D$8:D1065)</f>
        <v>1058</v>
      </c>
      <c r="C1065" s="83" t="s">
        <v>1073</v>
      </c>
      <c r="D1065" s="84">
        <v>0</v>
      </c>
      <c r="E1065" s="85" t="str">
        <f t="shared" si="114"/>
        <v/>
      </c>
      <c r="F1065" s="106" t="str">
        <f t="shared" si="120"/>
        <v/>
      </c>
      <c r="G1065" s="86"/>
      <c r="H1065" s="107">
        <f t="shared" si="115"/>
        <v>0</v>
      </c>
      <c r="I1065" s="107">
        <f t="shared" si="116"/>
        <v>0</v>
      </c>
      <c r="J1065" s="87">
        <f>IF($D1065&gt;0,IFERROR(Параметры!$D$42*$H1065/$H$2408,0),0)</f>
        <v>0</v>
      </c>
      <c r="K1065" s="87">
        <f>IFERROR(ROUND($N1065*Параметры!$D$36,2),0)</f>
        <v>0</v>
      </c>
      <c r="L1065" s="87">
        <f t="shared" si="117"/>
        <v>0</v>
      </c>
      <c r="M1065" s="87">
        <f t="shared" si="118"/>
        <v>0</v>
      </c>
      <c r="N1065" s="107" t="str">
        <f t="shared" si="119"/>
        <v/>
      </c>
    </row>
    <row r="1066" spans="2:14" x14ac:dyDescent="0.25">
      <c r="B1066" s="82">
        <f>SUBTOTAL(103,$D$8:D1066)</f>
        <v>1059</v>
      </c>
      <c r="C1066" s="83" t="s">
        <v>1074</v>
      </c>
      <c r="D1066" s="84">
        <v>0</v>
      </c>
      <c r="E1066" s="85" t="str">
        <f t="shared" si="114"/>
        <v/>
      </c>
      <c r="F1066" s="106" t="str">
        <f t="shared" si="120"/>
        <v/>
      </c>
      <c r="G1066" s="86"/>
      <c r="H1066" s="107">
        <f t="shared" si="115"/>
        <v>0</v>
      </c>
      <c r="I1066" s="107">
        <f t="shared" si="116"/>
        <v>0</v>
      </c>
      <c r="J1066" s="87">
        <f>IF($D1066&gt;0,IFERROR(Параметры!$D$42*$H1066/$H$2408,0),0)</f>
        <v>0</v>
      </c>
      <c r="K1066" s="87">
        <f>IFERROR(ROUND($N1066*Параметры!$D$36,2),0)</f>
        <v>0</v>
      </c>
      <c r="L1066" s="87">
        <f t="shared" si="117"/>
        <v>0</v>
      </c>
      <c r="M1066" s="87">
        <f t="shared" si="118"/>
        <v>0</v>
      </c>
      <c r="N1066" s="107" t="str">
        <f t="shared" si="119"/>
        <v/>
      </c>
    </row>
    <row r="1067" spans="2:14" x14ac:dyDescent="0.25">
      <c r="B1067" s="82">
        <f>SUBTOTAL(103,$D$8:D1067)</f>
        <v>1060</v>
      </c>
      <c r="C1067" s="83" t="s">
        <v>1075</v>
      </c>
      <c r="D1067" s="84">
        <v>0</v>
      </c>
      <c r="E1067" s="85" t="str">
        <f t="shared" si="114"/>
        <v/>
      </c>
      <c r="F1067" s="106" t="str">
        <f t="shared" si="120"/>
        <v/>
      </c>
      <c r="G1067" s="86"/>
      <c r="H1067" s="107">
        <f t="shared" si="115"/>
        <v>0</v>
      </c>
      <c r="I1067" s="107">
        <f t="shared" si="116"/>
        <v>0</v>
      </c>
      <c r="J1067" s="87">
        <f>IF($D1067&gt;0,IFERROR(Параметры!$D$42*$H1067/$H$2408,0),0)</f>
        <v>0</v>
      </c>
      <c r="K1067" s="87">
        <f>IFERROR(ROUND($N1067*Параметры!$D$36,2),0)</f>
        <v>0</v>
      </c>
      <c r="L1067" s="87">
        <f t="shared" si="117"/>
        <v>0</v>
      </c>
      <c r="M1067" s="87">
        <f t="shared" si="118"/>
        <v>0</v>
      </c>
      <c r="N1067" s="107" t="str">
        <f t="shared" si="119"/>
        <v/>
      </c>
    </row>
    <row r="1068" spans="2:14" x14ac:dyDescent="0.25">
      <c r="B1068" s="82">
        <f>SUBTOTAL(103,$D$8:D1068)</f>
        <v>1061</v>
      </c>
      <c r="C1068" s="83" t="s">
        <v>1076</v>
      </c>
      <c r="D1068" s="84">
        <v>0</v>
      </c>
      <c r="E1068" s="85" t="str">
        <f t="shared" si="114"/>
        <v/>
      </c>
      <c r="F1068" s="106" t="str">
        <f t="shared" si="120"/>
        <v/>
      </c>
      <c r="G1068" s="86"/>
      <c r="H1068" s="107">
        <f t="shared" si="115"/>
        <v>0</v>
      </c>
      <c r="I1068" s="107">
        <f t="shared" si="116"/>
        <v>0</v>
      </c>
      <c r="J1068" s="87">
        <f>IF($D1068&gt;0,IFERROR(Параметры!$D$42*$H1068/$H$2408,0),0)</f>
        <v>0</v>
      </c>
      <c r="K1068" s="87">
        <f>IFERROR(ROUND($N1068*Параметры!$D$36,2),0)</f>
        <v>0</v>
      </c>
      <c r="L1068" s="87">
        <f t="shared" si="117"/>
        <v>0</v>
      </c>
      <c r="M1068" s="87">
        <f t="shared" si="118"/>
        <v>0</v>
      </c>
      <c r="N1068" s="107" t="str">
        <f t="shared" si="119"/>
        <v/>
      </c>
    </row>
    <row r="1069" spans="2:14" x14ac:dyDescent="0.25">
      <c r="B1069" s="82">
        <f>SUBTOTAL(103,$D$8:D1069)</f>
        <v>1062</v>
      </c>
      <c r="C1069" s="83" t="s">
        <v>1077</v>
      </c>
      <c r="D1069" s="84">
        <v>0</v>
      </c>
      <c r="E1069" s="85" t="str">
        <f t="shared" si="114"/>
        <v/>
      </c>
      <c r="F1069" s="106" t="str">
        <f t="shared" si="120"/>
        <v/>
      </c>
      <c r="G1069" s="86"/>
      <c r="H1069" s="107">
        <f t="shared" si="115"/>
        <v>0</v>
      </c>
      <c r="I1069" s="107">
        <f t="shared" si="116"/>
        <v>0</v>
      </c>
      <c r="J1069" s="87">
        <f>IF($D1069&gt;0,IFERROR(Параметры!$D$42*$H1069/$H$2408,0),0)</f>
        <v>0</v>
      </c>
      <c r="K1069" s="87">
        <f>IFERROR(ROUND($N1069*Параметры!$D$36,2),0)</f>
        <v>0</v>
      </c>
      <c r="L1069" s="87">
        <f t="shared" si="117"/>
        <v>0</v>
      </c>
      <c r="M1069" s="87">
        <f t="shared" si="118"/>
        <v>0</v>
      </c>
      <c r="N1069" s="107" t="str">
        <f t="shared" si="119"/>
        <v/>
      </c>
    </row>
    <row r="1070" spans="2:14" x14ac:dyDescent="0.25">
      <c r="B1070" s="82">
        <f>SUBTOTAL(103,$D$8:D1070)</f>
        <v>1063</v>
      </c>
      <c r="C1070" s="83" t="s">
        <v>1078</v>
      </c>
      <c r="D1070" s="84">
        <v>0</v>
      </c>
      <c r="E1070" s="85" t="str">
        <f t="shared" si="114"/>
        <v/>
      </c>
      <c r="F1070" s="106" t="str">
        <f t="shared" si="120"/>
        <v/>
      </c>
      <c r="G1070" s="86"/>
      <c r="H1070" s="107">
        <f t="shared" si="115"/>
        <v>0</v>
      </c>
      <c r="I1070" s="107">
        <f t="shared" si="116"/>
        <v>0</v>
      </c>
      <c r="J1070" s="87">
        <f>IF($D1070&gt;0,IFERROR(Параметры!$D$42*$H1070/$H$2408,0),0)</f>
        <v>0</v>
      </c>
      <c r="K1070" s="87">
        <f>IFERROR(ROUND($N1070*Параметры!$D$36,2),0)</f>
        <v>0</v>
      </c>
      <c r="L1070" s="87">
        <f t="shared" si="117"/>
        <v>0</v>
      </c>
      <c r="M1070" s="87">
        <f t="shared" si="118"/>
        <v>0</v>
      </c>
      <c r="N1070" s="107" t="str">
        <f t="shared" si="119"/>
        <v/>
      </c>
    </row>
    <row r="1071" spans="2:14" x14ac:dyDescent="0.25">
      <c r="B1071" s="82">
        <f>SUBTOTAL(103,$D$8:D1071)</f>
        <v>1064</v>
      </c>
      <c r="C1071" s="83" t="s">
        <v>1079</v>
      </c>
      <c r="D1071" s="84">
        <v>0</v>
      </c>
      <c r="E1071" s="85" t="str">
        <f t="shared" si="114"/>
        <v/>
      </c>
      <c r="F1071" s="106" t="str">
        <f t="shared" si="120"/>
        <v/>
      </c>
      <c r="G1071" s="86"/>
      <c r="H1071" s="107">
        <f t="shared" si="115"/>
        <v>0</v>
      </c>
      <c r="I1071" s="107">
        <f t="shared" si="116"/>
        <v>0</v>
      </c>
      <c r="J1071" s="87">
        <f>IF($D1071&gt;0,IFERROR(Параметры!$D$42*$H1071/$H$2408,0),0)</f>
        <v>0</v>
      </c>
      <c r="K1071" s="87">
        <f>IFERROR(ROUND($N1071*Параметры!$D$36,2),0)</f>
        <v>0</v>
      </c>
      <c r="L1071" s="87">
        <f t="shared" si="117"/>
        <v>0</v>
      </c>
      <c r="M1071" s="87">
        <f t="shared" si="118"/>
        <v>0</v>
      </c>
      <c r="N1071" s="107" t="str">
        <f t="shared" si="119"/>
        <v/>
      </c>
    </row>
    <row r="1072" spans="2:14" x14ac:dyDescent="0.25">
      <c r="B1072" s="82">
        <f>SUBTOTAL(103,$D$8:D1072)</f>
        <v>1065</v>
      </c>
      <c r="C1072" s="83" t="s">
        <v>1080</v>
      </c>
      <c r="D1072" s="84">
        <v>0</v>
      </c>
      <c r="E1072" s="85" t="str">
        <f t="shared" si="114"/>
        <v/>
      </c>
      <c r="F1072" s="106" t="str">
        <f t="shared" si="120"/>
        <v/>
      </c>
      <c r="G1072" s="86"/>
      <c r="H1072" s="107">
        <f t="shared" si="115"/>
        <v>0</v>
      </c>
      <c r="I1072" s="107">
        <f t="shared" si="116"/>
        <v>0</v>
      </c>
      <c r="J1072" s="87">
        <f>IF($D1072&gt;0,IFERROR(Параметры!$D$42*$H1072/$H$2408,0),0)</f>
        <v>0</v>
      </c>
      <c r="K1072" s="87">
        <f>IFERROR(ROUND($N1072*Параметры!$D$36,2),0)</f>
        <v>0</v>
      </c>
      <c r="L1072" s="87">
        <f t="shared" si="117"/>
        <v>0</v>
      </c>
      <c r="M1072" s="87">
        <f t="shared" si="118"/>
        <v>0</v>
      </c>
      <c r="N1072" s="107" t="str">
        <f t="shared" si="119"/>
        <v/>
      </c>
    </row>
    <row r="1073" spans="2:14" x14ac:dyDescent="0.25">
      <c r="B1073" s="82">
        <f>SUBTOTAL(103,$D$8:D1073)</f>
        <v>1066</v>
      </c>
      <c r="C1073" s="83" t="s">
        <v>1081</v>
      </c>
      <c r="D1073" s="84">
        <v>0</v>
      </c>
      <c r="E1073" s="85" t="str">
        <f t="shared" si="114"/>
        <v/>
      </c>
      <c r="F1073" s="106" t="str">
        <f t="shared" si="120"/>
        <v/>
      </c>
      <c r="G1073" s="86"/>
      <c r="H1073" s="107">
        <f t="shared" si="115"/>
        <v>0</v>
      </c>
      <c r="I1073" s="107">
        <f t="shared" si="116"/>
        <v>0</v>
      </c>
      <c r="J1073" s="87">
        <f>IF($D1073&gt;0,IFERROR(Параметры!$D$42*$H1073/$H$2408,0),0)</f>
        <v>0</v>
      </c>
      <c r="K1073" s="87">
        <f>IFERROR(ROUND($N1073*Параметры!$D$36,2),0)</f>
        <v>0</v>
      </c>
      <c r="L1073" s="87">
        <f t="shared" si="117"/>
        <v>0</v>
      </c>
      <c r="M1073" s="87">
        <f t="shared" si="118"/>
        <v>0</v>
      </c>
      <c r="N1073" s="107" t="str">
        <f t="shared" si="119"/>
        <v/>
      </c>
    </row>
    <row r="1074" spans="2:14" x14ac:dyDescent="0.25">
      <c r="B1074" s="82">
        <f>SUBTOTAL(103,$D$8:D1074)</f>
        <v>1067</v>
      </c>
      <c r="C1074" s="83" t="s">
        <v>1082</v>
      </c>
      <c r="D1074" s="84">
        <v>0</v>
      </c>
      <c r="E1074" s="85" t="str">
        <f t="shared" si="114"/>
        <v/>
      </c>
      <c r="F1074" s="106" t="str">
        <f t="shared" si="120"/>
        <v/>
      </c>
      <c r="G1074" s="86"/>
      <c r="H1074" s="107">
        <f t="shared" si="115"/>
        <v>0</v>
      </c>
      <c r="I1074" s="107">
        <f t="shared" si="116"/>
        <v>0</v>
      </c>
      <c r="J1074" s="87">
        <f>IF($D1074&gt;0,IFERROR(Параметры!$D$42*$H1074/$H$2408,0),0)</f>
        <v>0</v>
      </c>
      <c r="K1074" s="87">
        <f>IFERROR(ROUND($N1074*Параметры!$D$36,2),0)</f>
        <v>0</v>
      </c>
      <c r="L1074" s="87">
        <f t="shared" si="117"/>
        <v>0</v>
      </c>
      <c r="M1074" s="87">
        <f t="shared" si="118"/>
        <v>0</v>
      </c>
      <c r="N1074" s="107" t="str">
        <f t="shared" si="119"/>
        <v/>
      </c>
    </row>
    <row r="1075" spans="2:14" x14ac:dyDescent="0.25">
      <c r="B1075" s="82">
        <f>SUBTOTAL(103,$D$8:D1075)</f>
        <v>1068</v>
      </c>
      <c r="C1075" s="83" t="s">
        <v>1083</v>
      </c>
      <c r="D1075" s="84">
        <v>0</v>
      </c>
      <c r="E1075" s="85" t="str">
        <f t="shared" si="114"/>
        <v/>
      </c>
      <c r="F1075" s="106" t="str">
        <f t="shared" si="120"/>
        <v/>
      </c>
      <c r="G1075" s="86"/>
      <c r="H1075" s="107">
        <f t="shared" si="115"/>
        <v>0</v>
      </c>
      <c r="I1075" s="107">
        <f t="shared" si="116"/>
        <v>0</v>
      </c>
      <c r="J1075" s="87">
        <f>IF($D1075&gt;0,IFERROR(Параметры!$D$42*$H1075/$H$2408,0),0)</f>
        <v>0</v>
      </c>
      <c r="K1075" s="87">
        <f>IFERROR(ROUND($N1075*Параметры!$D$36,2),0)</f>
        <v>0</v>
      </c>
      <c r="L1075" s="87">
        <f t="shared" si="117"/>
        <v>0</v>
      </c>
      <c r="M1075" s="87">
        <f t="shared" si="118"/>
        <v>0</v>
      </c>
      <c r="N1075" s="107" t="str">
        <f t="shared" si="119"/>
        <v/>
      </c>
    </row>
    <row r="1076" spans="2:14" x14ac:dyDescent="0.25">
      <c r="B1076" s="82">
        <f>SUBTOTAL(103,$D$8:D1076)</f>
        <v>1069</v>
      </c>
      <c r="C1076" s="83" t="s">
        <v>1084</v>
      </c>
      <c r="D1076" s="84">
        <v>0</v>
      </c>
      <c r="E1076" s="85" t="str">
        <f t="shared" si="114"/>
        <v/>
      </c>
      <c r="F1076" s="106" t="str">
        <f t="shared" si="120"/>
        <v/>
      </c>
      <c r="G1076" s="86"/>
      <c r="H1076" s="107">
        <f t="shared" si="115"/>
        <v>0</v>
      </c>
      <c r="I1076" s="107">
        <f t="shared" si="116"/>
        <v>0</v>
      </c>
      <c r="J1076" s="87">
        <f>IF($D1076&gt;0,IFERROR(Параметры!$D$42*$H1076/$H$2408,0),0)</f>
        <v>0</v>
      </c>
      <c r="K1076" s="87">
        <f>IFERROR(ROUND($N1076*Параметры!$D$36,2),0)</f>
        <v>0</v>
      </c>
      <c r="L1076" s="87">
        <f t="shared" si="117"/>
        <v>0</v>
      </c>
      <c r="M1076" s="87">
        <f t="shared" si="118"/>
        <v>0</v>
      </c>
      <c r="N1076" s="107" t="str">
        <f t="shared" si="119"/>
        <v/>
      </c>
    </row>
    <row r="1077" spans="2:14" x14ac:dyDescent="0.25">
      <c r="B1077" s="82">
        <f>SUBTOTAL(103,$D$8:D1077)</f>
        <v>1070</v>
      </c>
      <c r="C1077" s="83" t="s">
        <v>1085</v>
      </c>
      <c r="D1077" s="84">
        <v>0</v>
      </c>
      <c r="E1077" s="85" t="str">
        <f t="shared" si="114"/>
        <v/>
      </c>
      <c r="F1077" s="106" t="str">
        <f t="shared" si="120"/>
        <v/>
      </c>
      <c r="G1077" s="86"/>
      <c r="H1077" s="107">
        <f t="shared" si="115"/>
        <v>0</v>
      </c>
      <c r="I1077" s="107">
        <f t="shared" si="116"/>
        <v>0</v>
      </c>
      <c r="J1077" s="87">
        <f>IF($D1077&gt;0,IFERROR(Параметры!$D$42*$H1077/$H$2408,0),0)</f>
        <v>0</v>
      </c>
      <c r="K1077" s="87">
        <f>IFERROR(ROUND($N1077*Параметры!$D$36,2),0)</f>
        <v>0</v>
      </c>
      <c r="L1077" s="87">
        <f t="shared" si="117"/>
        <v>0</v>
      </c>
      <c r="M1077" s="87">
        <f t="shared" si="118"/>
        <v>0</v>
      </c>
      <c r="N1077" s="107" t="str">
        <f t="shared" si="119"/>
        <v/>
      </c>
    </row>
    <row r="1078" spans="2:14" x14ac:dyDescent="0.25">
      <c r="B1078" s="82">
        <f>SUBTOTAL(103,$D$8:D1078)</f>
        <v>1071</v>
      </c>
      <c r="C1078" s="83" t="s">
        <v>1086</v>
      </c>
      <c r="D1078" s="84">
        <v>0</v>
      </c>
      <c r="E1078" s="85" t="str">
        <f t="shared" si="114"/>
        <v/>
      </c>
      <c r="F1078" s="106" t="str">
        <f t="shared" si="120"/>
        <v/>
      </c>
      <c r="G1078" s="86"/>
      <c r="H1078" s="107">
        <f t="shared" si="115"/>
        <v>0</v>
      </c>
      <c r="I1078" s="107">
        <f t="shared" si="116"/>
        <v>0</v>
      </c>
      <c r="J1078" s="87">
        <f>IF($D1078&gt;0,IFERROR(Параметры!$D$42*$H1078/$H$2408,0),0)</f>
        <v>0</v>
      </c>
      <c r="K1078" s="87">
        <f>IFERROR(ROUND($N1078*Параметры!$D$36,2),0)</f>
        <v>0</v>
      </c>
      <c r="L1078" s="87">
        <f t="shared" si="117"/>
        <v>0</v>
      </c>
      <c r="M1078" s="87">
        <f t="shared" si="118"/>
        <v>0</v>
      </c>
      <c r="N1078" s="107" t="str">
        <f t="shared" si="119"/>
        <v/>
      </c>
    </row>
    <row r="1079" spans="2:14" x14ac:dyDescent="0.25">
      <c r="B1079" s="82">
        <f>SUBTOTAL(103,$D$8:D1079)</f>
        <v>1072</v>
      </c>
      <c r="C1079" s="83" t="s">
        <v>1087</v>
      </c>
      <c r="D1079" s="84">
        <v>0</v>
      </c>
      <c r="E1079" s="85" t="str">
        <f t="shared" si="114"/>
        <v/>
      </c>
      <c r="F1079" s="106" t="str">
        <f t="shared" si="120"/>
        <v/>
      </c>
      <c r="G1079" s="86"/>
      <c r="H1079" s="107">
        <f t="shared" si="115"/>
        <v>0</v>
      </c>
      <c r="I1079" s="107">
        <f t="shared" si="116"/>
        <v>0</v>
      </c>
      <c r="J1079" s="87">
        <f>IF($D1079&gt;0,IFERROR(Параметры!$D$42*$H1079/$H$2408,0),0)</f>
        <v>0</v>
      </c>
      <c r="K1079" s="87">
        <f>IFERROR(ROUND($N1079*Параметры!$D$36,2),0)</f>
        <v>0</v>
      </c>
      <c r="L1079" s="87">
        <f t="shared" si="117"/>
        <v>0</v>
      </c>
      <c r="M1079" s="87">
        <f t="shared" si="118"/>
        <v>0</v>
      </c>
      <c r="N1079" s="107" t="str">
        <f t="shared" si="119"/>
        <v/>
      </c>
    </row>
    <row r="1080" spans="2:14" x14ac:dyDescent="0.25">
      <c r="B1080" s="82">
        <f>SUBTOTAL(103,$D$8:D1080)</f>
        <v>1073</v>
      </c>
      <c r="C1080" s="83" t="s">
        <v>1088</v>
      </c>
      <c r="D1080" s="84">
        <v>0</v>
      </c>
      <c r="E1080" s="85" t="str">
        <f t="shared" si="114"/>
        <v/>
      </c>
      <c r="F1080" s="106" t="str">
        <f t="shared" si="120"/>
        <v/>
      </c>
      <c r="G1080" s="86"/>
      <c r="H1080" s="107">
        <f t="shared" si="115"/>
        <v>0</v>
      </c>
      <c r="I1080" s="107">
        <f t="shared" si="116"/>
        <v>0</v>
      </c>
      <c r="J1080" s="87">
        <f>IF($D1080&gt;0,IFERROR(Параметры!$D$42*$H1080/$H$2408,0),0)</f>
        <v>0</v>
      </c>
      <c r="K1080" s="87">
        <f>IFERROR(ROUND($N1080*Параметры!$D$36,2),0)</f>
        <v>0</v>
      </c>
      <c r="L1080" s="87">
        <f t="shared" si="117"/>
        <v>0</v>
      </c>
      <c r="M1080" s="87">
        <f t="shared" si="118"/>
        <v>0</v>
      </c>
      <c r="N1080" s="107" t="str">
        <f t="shared" si="119"/>
        <v/>
      </c>
    </row>
    <row r="1081" spans="2:14" x14ac:dyDescent="0.25">
      <c r="B1081" s="82">
        <f>SUBTOTAL(103,$D$8:D1081)</f>
        <v>1074</v>
      </c>
      <c r="C1081" s="83" t="s">
        <v>1089</v>
      </c>
      <c r="D1081" s="84">
        <v>0</v>
      </c>
      <c r="E1081" s="85" t="str">
        <f t="shared" si="114"/>
        <v/>
      </c>
      <c r="F1081" s="106" t="str">
        <f t="shared" si="120"/>
        <v/>
      </c>
      <c r="G1081" s="86"/>
      <c r="H1081" s="107">
        <f t="shared" si="115"/>
        <v>0</v>
      </c>
      <c r="I1081" s="107">
        <f t="shared" si="116"/>
        <v>0</v>
      </c>
      <c r="J1081" s="87">
        <f>IF($D1081&gt;0,IFERROR(Параметры!$D$42*$H1081/$H$2408,0),0)</f>
        <v>0</v>
      </c>
      <c r="K1081" s="87">
        <f>IFERROR(ROUND($N1081*Параметры!$D$36,2),0)</f>
        <v>0</v>
      </c>
      <c r="L1081" s="87">
        <f t="shared" si="117"/>
        <v>0</v>
      </c>
      <c r="M1081" s="87">
        <f t="shared" si="118"/>
        <v>0</v>
      </c>
      <c r="N1081" s="107" t="str">
        <f t="shared" si="119"/>
        <v/>
      </c>
    </row>
    <row r="1082" spans="2:14" x14ac:dyDescent="0.25">
      <c r="B1082" s="82">
        <f>SUBTOTAL(103,$D$8:D1082)</f>
        <v>1075</v>
      </c>
      <c r="C1082" s="83" t="s">
        <v>1090</v>
      </c>
      <c r="D1082" s="84">
        <v>0</v>
      </c>
      <c r="E1082" s="85" t="str">
        <f t="shared" si="114"/>
        <v/>
      </c>
      <c r="F1082" s="106" t="str">
        <f t="shared" si="120"/>
        <v/>
      </c>
      <c r="G1082" s="86"/>
      <c r="H1082" s="107">
        <f t="shared" si="115"/>
        <v>0</v>
      </c>
      <c r="I1082" s="107">
        <f t="shared" si="116"/>
        <v>0</v>
      </c>
      <c r="J1082" s="87">
        <f>IF($D1082&gt;0,IFERROR(Параметры!$D$42*$H1082/$H$2408,0),0)</f>
        <v>0</v>
      </c>
      <c r="K1082" s="87">
        <f>IFERROR(ROUND($N1082*Параметры!$D$36,2),0)</f>
        <v>0</v>
      </c>
      <c r="L1082" s="87">
        <f t="shared" si="117"/>
        <v>0</v>
      </c>
      <c r="M1082" s="87">
        <f t="shared" si="118"/>
        <v>0</v>
      </c>
      <c r="N1082" s="107" t="str">
        <f t="shared" si="119"/>
        <v/>
      </c>
    </row>
    <row r="1083" spans="2:14" x14ac:dyDescent="0.25">
      <c r="B1083" s="82">
        <f>SUBTOTAL(103,$D$8:D1083)</f>
        <v>1076</v>
      </c>
      <c r="C1083" s="83" t="s">
        <v>1091</v>
      </c>
      <c r="D1083" s="84">
        <v>0</v>
      </c>
      <c r="E1083" s="85" t="str">
        <f t="shared" si="114"/>
        <v/>
      </c>
      <c r="F1083" s="106" t="str">
        <f t="shared" si="120"/>
        <v/>
      </c>
      <c r="G1083" s="86"/>
      <c r="H1083" s="107">
        <f t="shared" si="115"/>
        <v>0</v>
      </c>
      <c r="I1083" s="107">
        <f t="shared" si="116"/>
        <v>0</v>
      </c>
      <c r="J1083" s="87">
        <f>IF($D1083&gt;0,IFERROR(Параметры!$D$42*$H1083/$H$2408,0),0)</f>
        <v>0</v>
      </c>
      <c r="K1083" s="87">
        <f>IFERROR(ROUND($N1083*Параметры!$D$36,2),0)</f>
        <v>0</v>
      </c>
      <c r="L1083" s="87">
        <f t="shared" si="117"/>
        <v>0</v>
      </c>
      <c r="M1083" s="87">
        <f t="shared" si="118"/>
        <v>0</v>
      </c>
      <c r="N1083" s="107" t="str">
        <f t="shared" si="119"/>
        <v/>
      </c>
    </row>
    <row r="1084" spans="2:14" x14ac:dyDescent="0.25">
      <c r="B1084" s="82">
        <f>SUBTOTAL(103,$D$8:D1084)</f>
        <v>1077</v>
      </c>
      <c r="C1084" s="83" t="s">
        <v>1092</v>
      </c>
      <c r="D1084" s="84">
        <v>0</v>
      </c>
      <c r="E1084" s="85" t="str">
        <f t="shared" si="114"/>
        <v/>
      </c>
      <c r="F1084" s="106" t="str">
        <f t="shared" si="120"/>
        <v/>
      </c>
      <c r="G1084" s="86"/>
      <c r="H1084" s="107">
        <f t="shared" si="115"/>
        <v>0</v>
      </c>
      <c r="I1084" s="107">
        <f t="shared" si="116"/>
        <v>0</v>
      </c>
      <c r="J1084" s="87">
        <f>IF($D1084&gt;0,IFERROR(Параметры!$D$42*$H1084/$H$2408,0),0)</f>
        <v>0</v>
      </c>
      <c r="K1084" s="87">
        <f>IFERROR(ROUND($N1084*Параметры!$D$36,2),0)</f>
        <v>0</v>
      </c>
      <c r="L1084" s="87">
        <f t="shared" si="117"/>
        <v>0</v>
      </c>
      <c r="M1084" s="87">
        <f t="shared" si="118"/>
        <v>0</v>
      </c>
      <c r="N1084" s="107" t="str">
        <f t="shared" si="119"/>
        <v/>
      </c>
    </row>
    <row r="1085" spans="2:14" x14ac:dyDescent="0.25">
      <c r="B1085" s="82">
        <f>SUBTOTAL(103,$D$8:D1085)</f>
        <v>1078</v>
      </c>
      <c r="C1085" s="83" t="s">
        <v>1093</v>
      </c>
      <c r="D1085" s="84">
        <v>0</v>
      </c>
      <c r="E1085" s="85" t="str">
        <f t="shared" si="114"/>
        <v/>
      </c>
      <c r="F1085" s="106" t="str">
        <f t="shared" si="120"/>
        <v/>
      </c>
      <c r="G1085" s="86"/>
      <c r="H1085" s="107">
        <f t="shared" si="115"/>
        <v>0</v>
      </c>
      <c r="I1085" s="107">
        <f t="shared" si="116"/>
        <v>0</v>
      </c>
      <c r="J1085" s="87">
        <f>IF($D1085&gt;0,IFERROR(Параметры!$D$42*$H1085/$H$2408,0),0)</f>
        <v>0</v>
      </c>
      <c r="K1085" s="87">
        <f>IFERROR(ROUND($N1085*Параметры!$D$36,2),0)</f>
        <v>0</v>
      </c>
      <c r="L1085" s="87">
        <f t="shared" si="117"/>
        <v>0</v>
      </c>
      <c r="M1085" s="87">
        <f t="shared" si="118"/>
        <v>0</v>
      </c>
      <c r="N1085" s="107" t="str">
        <f t="shared" si="119"/>
        <v/>
      </c>
    </row>
    <row r="1086" spans="2:14" x14ac:dyDescent="0.25">
      <c r="B1086" s="82">
        <f>SUBTOTAL(103,$D$8:D1086)</f>
        <v>1079</v>
      </c>
      <c r="C1086" s="83" t="s">
        <v>1094</v>
      </c>
      <c r="D1086" s="84">
        <v>0</v>
      </c>
      <c r="E1086" s="85" t="str">
        <f t="shared" si="114"/>
        <v/>
      </c>
      <c r="F1086" s="106" t="str">
        <f t="shared" si="120"/>
        <v/>
      </c>
      <c r="G1086" s="86"/>
      <c r="H1086" s="107">
        <f t="shared" si="115"/>
        <v>0</v>
      </c>
      <c r="I1086" s="107">
        <f t="shared" si="116"/>
        <v>0</v>
      </c>
      <c r="J1086" s="87">
        <f>IF($D1086&gt;0,IFERROR(Параметры!$D$42*$H1086/$H$2408,0),0)</f>
        <v>0</v>
      </c>
      <c r="K1086" s="87">
        <f>IFERROR(ROUND($N1086*Параметры!$D$36,2),0)</f>
        <v>0</v>
      </c>
      <c r="L1086" s="87">
        <f t="shared" si="117"/>
        <v>0</v>
      </c>
      <c r="M1086" s="87">
        <f t="shared" si="118"/>
        <v>0</v>
      </c>
      <c r="N1086" s="107" t="str">
        <f t="shared" si="119"/>
        <v/>
      </c>
    </row>
    <row r="1087" spans="2:14" x14ac:dyDescent="0.25">
      <c r="B1087" s="82">
        <f>SUBTOTAL(103,$D$8:D1087)</f>
        <v>1080</v>
      </c>
      <c r="C1087" s="83" t="s">
        <v>1095</v>
      </c>
      <c r="D1087" s="84">
        <v>0</v>
      </c>
      <c r="E1087" s="85" t="str">
        <f t="shared" si="114"/>
        <v/>
      </c>
      <c r="F1087" s="106" t="str">
        <f t="shared" si="120"/>
        <v/>
      </c>
      <c r="G1087" s="86"/>
      <c r="H1087" s="107">
        <f t="shared" si="115"/>
        <v>0</v>
      </c>
      <c r="I1087" s="107">
        <f t="shared" si="116"/>
        <v>0</v>
      </c>
      <c r="J1087" s="87">
        <f>IF($D1087&gt;0,IFERROR(Параметры!$D$42*$H1087/$H$2408,0),0)</f>
        <v>0</v>
      </c>
      <c r="K1087" s="87">
        <f>IFERROR(ROUND($N1087*Параметры!$D$36,2),0)</f>
        <v>0</v>
      </c>
      <c r="L1087" s="87">
        <f t="shared" si="117"/>
        <v>0</v>
      </c>
      <c r="M1087" s="87">
        <f t="shared" si="118"/>
        <v>0</v>
      </c>
      <c r="N1087" s="107" t="str">
        <f t="shared" si="119"/>
        <v/>
      </c>
    </row>
    <row r="1088" spans="2:14" x14ac:dyDescent="0.25">
      <c r="B1088" s="82">
        <f>SUBTOTAL(103,$D$8:D1088)</f>
        <v>1081</v>
      </c>
      <c r="C1088" s="83" t="s">
        <v>1096</v>
      </c>
      <c r="D1088" s="84">
        <f t="array" ref="D1088:D1147">TRANSPOSE('Зарядная карта'!$C$23:$BJ$23)</f>
        <v>4</v>
      </c>
      <c r="E1088" s="85">
        <f t="shared" si="114"/>
        <v>62.814700000000002</v>
      </c>
      <c r="F1088" s="106">
        <f t="shared" si="120"/>
        <v>2</v>
      </c>
      <c r="G1088" s="86"/>
      <c r="H1088" s="107">
        <f t="shared" si="115"/>
        <v>3.44</v>
      </c>
      <c r="I1088" s="107">
        <f t="shared" si="116"/>
        <v>0.56000000000000005</v>
      </c>
      <c r="J1088" s="87">
        <f>IF($D1088&gt;0,IFERROR(Параметры!$D$42*$H1088/$H$2408,0),0)</f>
        <v>60.103959390862947</v>
      </c>
      <c r="K1088" s="87">
        <f>IFERROR(ROUND($N1088*Параметры!$D$36,2),0)</f>
        <v>59.54</v>
      </c>
      <c r="L1088" s="87">
        <f t="shared" si="117"/>
        <v>3.2747000000000002</v>
      </c>
      <c r="M1088" s="87">
        <f t="shared" si="118"/>
        <v>3.8420790191534921</v>
      </c>
      <c r="N1088" s="107">
        <f t="shared" si="119"/>
        <v>2</v>
      </c>
    </row>
    <row r="1089" spans="2:14" x14ac:dyDescent="0.25">
      <c r="B1089" s="82">
        <f>SUBTOTAL(103,$D$8:D1089)</f>
        <v>1082</v>
      </c>
      <c r="C1089" s="83" t="s">
        <v>1097</v>
      </c>
      <c r="D1089" s="84">
        <v>8</v>
      </c>
      <c r="E1089" s="85">
        <f t="shared" si="114"/>
        <v>188.44409999999999</v>
      </c>
      <c r="F1089" s="106">
        <f t="shared" si="120"/>
        <v>2</v>
      </c>
      <c r="G1089" s="86"/>
      <c r="H1089" s="107">
        <f t="shared" si="115"/>
        <v>6.88</v>
      </c>
      <c r="I1089" s="107">
        <f t="shared" si="116"/>
        <v>1.1200000000000001</v>
      </c>
      <c r="J1089" s="87">
        <f>IF($D1089&gt;0,IFERROR(Параметры!$D$42*$H1089/$H$2408,0),0)</f>
        <v>120.20791878172589</v>
      </c>
      <c r="K1089" s="87">
        <f>IFERROR(ROUND($N1089*Параметры!$D$36,2),0)</f>
        <v>178.62</v>
      </c>
      <c r="L1089" s="87">
        <f t="shared" si="117"/>
        <v>9.8240999999999996</v>
      </c>
      <c r="M1089" s="87">
        <f t="shared" si="118"/>
        <v>11.526237057460476</v>
      </c>
      <c r="N1089" s="107">
        <f t="shared" si="119"/>
        <v>6</v>
      </c>
    </row>
    <row r="1090" spans="2:14" x14ac:dyDescent="0.25">
      <c r="B1090" s="82">
        <f>SUBTOTAL(103,$D$8:D1090)</f>
        <v>1083</v>
      </c>
      <c r="C1090" s="83" t="s">
        <v>1098</v>
      </c>
      <c r="D1090" s="84">
        <v>8</v>
      </c>
      <c r="E1090" s="85">
        <f t="shared" si="114"/>
        <v>188.44409999999999</v>
      </c>
      <c r="F1090" s="106">
        <f t="shared" si="120"/>
        <v>2</v>
      </c>
      <c r="G1090" s="86"/>
      <c r="H1090" s="107">
        <f t="shared" si="115"/>
        <v>6.88</v>
      </c>
      <c r="I1090" s="107">
        <f t="shared" si="116"/>
        <v>1.1200000000000001</v>
      </c>
      <c r="J1090" s="87">
        <f>IF($D1090&gt;0,IFERROR(Параметры!$D$42*$H1090/$H$2408,0),0)</f>
        <v>120.20791878172589</v>
      </c>
      <c r="K1090" s="87">
        <f>IFERROR(ROUND($N1090*Параметры!$D$36,2),0)</f>
        <v>178.62</v>
      </c>
      <c r="L1090" s="87">
        <f t="shared" si="117"/>
        <v>9.8240999999999996</v>
      </c>
      <c r="M1090" s="87">
        <f t="shared" si="118"/>
        <v>11.526237057460476</v>
      </c>
      <c r="N1090" s="107">
        <f t="shared" si="119"/>
        <v>6</v>
      </c>
    </row>
    <row r="1091" spans="2:14" x14ac:dyDescent="0.25">
      <c r="B1091" s="82">
        <f>SUBTOTAL(103,$D$8:D1091)</f>
        <v>1084</v>
      </c>
      <c r="C1091" s="83" t="s">
        <v>1099</v>
      </c>
      <c r="D1091" s="84">
        <v>8</v>
      </c>
      <c r="E1091" s="85">
        <f t="shared" si="114"/>
        <v>188.44409999999999</v>
      </c>
      <c r="F1091" s="106">
        <f t="shared" si="120"/>
        <v>2</v>
      </c>
      <c r="G1091" s="86"/>
      <c r="H1091" s="107">
        <f t="shared" si="115"/>
        <v>6.88</v>
      </c>
      <c r="I1091" s="107">
        <f t="shared" si="116"/>
        <v>1.1200000000000001</v>
      </c>
      <c r="J1091" s="87">
        <f>IF($D1091&gt;0,IFERROR(Параметры!$D$42*$H1091/$H$2408,0),0)</f>
        <v>120.20791878172589</v>
      </c>
      <c r="K1091" s="87">
        <f>IFERROR(ROUND($N1091*Параметры!$D$36,2),0)</f>
        <v>178.62</v>
      </c>
      <c r="L1091" s="87">
        <f t="shared" si="117"/>
        <v>9.8240999999999996</v>
      </c>
      <c r="M1091" s="87">
        <f t="shared" si="118"/>
        <v>11.526237057460476</v>
      </c>
      <c r="N1091" s="107">
        <f t="shared" si="119"/>
        <v>6</v>
      </c>
    </row>
    <row r="1092" spans="2:14" x14ac:dyDescent="0.25">
      <c r="B1092" s="82">
        <f>SUBTOTAL(103,$D$8:D1092)</f>
        <v>1085</v>
      </c>
      <c r="C1092" s="83" t="s">
        <v>1100</v>
      </c>
      <c r="D1092" s="84">
        <v>8</v>
      </c>
      <c r="E1092" s="85">
        <f t="shared" si="114"/>
        <v>188.44409999999999</v>
      </c>
      <c r="F1092" s="106">
        <f t="shared" si="120"/>
        <v>2</v>
      </c>
      <c r="G1092" s="86"/>
      <c r="H1092" s="107">
        <f t="shared" si="115"/>
        <v>6.88</v>
      </c>
      <c r="I1092" s="107">
        <f t="shared" si="116"/>
        <v>1.1200000000000001</v>
      </c>
      <c r="J1092" s="87">
        <f>IF($D1092&gt;0,IFERROR(Параметры!$D$42*$H1092/$H$2408,0),0)</f>
        <v>120.20791878172589</v>
      </c>
      <c r="K1092" s="87">
        <f>IFERROR(ROUND($N1092*Параметры!$D$36,2),0)</f>
        <v>178.62</v>
      </c>
      <c r="L1092" s="87">
        <f t="shared" si="117"/>
        <v>9.8240999999999996</v>
      </c>
      <c r="M1092" s="87">
        <f t="shared" si="118"/>
        <v>11.526237057460476</v>
      </c>
      <c r="N1092" s="107">
        <f t="shared" si="119"/>
        <v>6</v>
      </c>
    </row>
    <row r="1093" spans="2:14" x14ac:dyDescent="0.25">
      <c r="B1093" s="82">
        <f>SUBTOTAL(103,$D$8:D1093)</f>
        <v>1086</v>
      </c>
      <c r="C1093" s="83" t="s">
        <v>1101</v>
      </c>
      <c r="D1093" s="84">
        <v>8</v>
      </c>
      <c r="E1093" s="85">
        <f t="shared" si="114"/>
        <v>188.44409999999999</v>
      </c>
      <c r="F1093" s="106">
        <f t="shared" si="120"/>
        <v>2</v>
      </c>
      <c r="G1093" s="86"/>
      <c r="H1093" s="107">
        <f t="shared" si="115"/>
        <v>6.88</v>
      </c>
      <c r="I1093" s="107">
        <f t="shared" si="116"/>
        <v>1.1200000000000001</v>
      </c>
      <c r="J1093" s="87">
        <f>IF($D1093&gt;0,IFERROR(Параметры!$D$42*$H1093/$H$2408,0),0)</f>
        <v>120.20791878172589</v>
      </c>
      <c r="K1093" s="87">
        <f>IFERROR(ROUND($N1093*Параметры!$D$36,2),0)</f>
        <v>178.62</v>
      </c>
      <c r="L1093" s="87">
        <f t="shared" si="117"/>
        <v>9.8240999999999996</v>
      </c>
      <c r="M1093" s="87">
        <f t="shared" si="118"/>
        <v>11.526237057460476</v>
      </c>
      <c r="N1093" s="107">
        <f t="shared" si="119"/>
        <v>6</v>
      </c>
    </row>
    <row r="1094" spans="2:14" x14ac:dyDescent="0.25">
      <c r="B1094" s="82">
        <f>SUBTOTAL(103,$D$8:D1094)</f>
        <v>1087</v>
      </c>
      <c r="C1094" s="83" t="s">
        <v>1102</v>
      </c>
      <c r="D1094" s="84">
        <v>8</v>
      </c>
      <c r="E1094" s="85">
        <f t="shared" si="114"/>
        <v>188.44409999999999</v>
      </c>
      <c r="F1094" s="106">
        <f t="shared" si="120"/>
        <v>2</v>
      </c>
      <c r="G1094" s="86"/>
      <c r="H1094" s="107">
        <f t="shared" si="115"/>
        <v>6.88</v>
      </c>
      <c r="I1094" s="107">
        <f t="shared" si="116"/>
        <v>1.1200000000000001</v>
      </c>
      <c r="J1094" s="87">
        <f>IF($D1094&gt;0,IFERROR(Параметры!$D$42*$H1094/$H$2408,0),0)</f>
        <v>120.20791878172589</v>
      </c>
      <c r="K1094" s="87">
        <f>IFERROR(ROUND($N1094*Параметры!$D$36,2),0)</f>
        <v>178.62</v>
      </c>
      <c r="L1094" s="87">
        <f t="shared" si="117"/>
        <v>9.8240999999999996</v>
      </c>
      <c r="M1094" s="87">
        <f t="shared" si="118"/>
        <v>11.526237057460476</v>
      </c>
      <c r="N1094" s="107">
        <f t="shared" si="119"/>
        <v>6</v>
      </c>
    </row>
    <row r="1095" spans="2:14" x14ac:dyDescent="0.25">
      <c r="B1095" s="82">
        <f>SUBTOTAL(103,$D$8:D1095)</f>
        <v>1088</v>
      </c>
      <c r="C1095" s="83" t="s">
        <v>1103</v>
      </c>
      <c r="D1095" s="84">
        <v>8</v>
      </c>
      <c r="E1095" s="85">
        <f t="shared" si="114"/>
        <v>188.44409999999999</v>
      </c>
      <c r="F1095" s="106">
        <f t="shared" si="120"/>
        <v>2</v>
      </c>
      <c r="G1095" s="86"/>
      <c r="H1095" s="107">
        <f t="shared" si="115"/>
        <v>6.88</v>
      </c>
      <c r="I1095" s="107">
        <f t="shared" si="116"/>
        <v>1.1200000000000001</v>
      </c>
      <c r="J1095" s="87">
        <f>IF($D1095&gt;0,IFERROR(Параметры!$D$42*$H1095/$H$2408,0),0)</f>
        <v>120.20791878172589</v>
      </c>
      <c r="K1095" s="87">
        <f>IFERROR(ROUND($N1095*Параметры!$D$36,2),0)</f>
        <v>178.62</v>
      </c>
      <c r="L1095" s="87">
        <f t="shared" si="117"/>
        <v>9.8240999999999996</v>
      </c>
      <c r="M1095" s="87">
        <f t="shared" si="118"/>
        <v>11.526237057460476</v>
      </c>
      <c r="N1095" s="107">
        <f t="shared" si="119"/>
        <v>6</v>
      </c>
    </row>
    <row r="1096" spans="2:14" x14ac:dyDescent="0.25">
      <c r="B1096" s="82">
        <f>SUBTOTAL(103,$D$8:D1096)</f>
        <v>1089</v>
      </c>
      <c r="C1096" s="83" t="s">
        <v>1104</v>
      </c>
      <c r="D1096" s="84">
        <v>8</v>
      </c>
      <c r="E1096" s="85">
        <f t="shared" ref="E1096:E1159" si="121">IF($D1096&lt;1,"",$K1096+$L1096)</f>
        <v>188.44409999999999</v>
      </c>
      <c r="F1096" s="106">
        <f t="shared" si="120"/>
        <v>2</v>
      </c>
      <c r="G1096" s="86"/>
      <c r="H1096" s="107">
        <f t="shared" ref="H1096:H1159" si="122">IF($D1096&gt;0,$D1096*КИС,0)</f>
        <v>6.88</v>
      </c>
      <c r="I1096" s="107">
        <f t="shared" ref="I1096:I1159" si="123">IF($D1096&gt;0,$D1096-$H1096,0)</f>
        <v>1.1200000000000001</v>
      </c>
      <c r="J1096" s="87">
        <f>IF($D1096&gt;0,IFERROR(Параметры!$D$42*$H1096/$H$2408,0),0)</f>
        <v>120.20791878172589</v>
      </c>
      <c r="K1096" s="87">
        <f>IFERROR(ROUND($N1096*Параметры!$D$36,2),0)</f>
        <v>178.62</v>
      </c>
      <c r="L1096" s="87">
        <f t="shared" ref="L1096:L1159" si="124">IF($K1096&gt;0,$K1096*0.055,0)</f>
        <v>9.8240999999999996</v>
      </c>
      <c r="M1096" s="87">
        <f t="shared" ref="M1096:M1159" si="125">IFERROR($L1096/Плотность_ДТ,0)</f>
        <v>11.526237057460476</v>
      </c>
      <c r="N1096" s="107">
        <f t="shared" ref="N1096:N1159" si="126">IF($D1096&gt;0,MAX(0,$D1096-IF($F1096="",0,$F1096)),"")</f>
        <v>6</v>
      </c>
    </row>
    <row r="1097" spans="2:14" x14ac:dyDescent="0.25">
      <c r="B1097" s="82">
        <f>SUBTOTAL(103,$D$8:D1097)</f>
        <v>1090</v>
      </c>
      <c r="C1097" s="83" t="s">
        <v>1105</v>
      </c>
      <c r="D1097" s="84">
        <v>8</v>
      </c>
      <c r="E1097" s="85">
        <f t="shared" si="121"/>
        <v>188.44409999999999</v>
      </c>
      <c r="F1097" s="106">
        <f t="shared" si="120"/>
        <v>2</v>
      </c>
      <c r="G1097" s="86"/>
      <c r="H1097" s="107">
        <f t="shared" si="122"/>
        <v>6.88</v>
      </c>
      <c r="I1097" s="107">
        <f t="shared" si="123"/>
        <v>1.1200000000000001</v>
      </c>
      <c r="J1097" s="87">
        <f>IF($D1097&gt;0,IFERROR(Параметры!$D$42*$H1097/$H$2408,0),0)</f>
        <v>120.20791878172589</v>
      </c>
      <c r="K1097" s="87">
        <f>IFERROR(ROUND($N1097*Параметры!$D$36,2),0)</f>
        <v>178.62</v>
      </c>
      <c r="L1097" s="87">
        <f t="shared" si="124"/>
        <v>9.8240999999999996</v>
      </c>
      <c r="M1097" s="87">
        <f t="shared" si="125"/>
        <v>11.526237057460476</v>
      </c>
      <c r="N1097" s="107">
        <f t="shared" si="126"/>
        <v>6</v>
      </c>
    </row>
    <row r="1098" spans="2:14" x14ac:dyDescent="0.25">
      <c r="B1098" s="82">
        <f>SUBTOTAL(103,$D$8:D1098)</f>
        <v>1091</v>
      </c>
      <c r="C1098" s="83" t="s">
        <v>1106</v>
      </c>
      <c r="D1098" s="84">
        <v>8</v>
      </c>
      <c r="E1098" s="85">
        <f t="shared" si="121"/>
        <v>188.44409999999999</v>
      </c>
      <c r="F1098" s="106">
        <f t="shared" si="120"/>
        <v>2</v>
      </c>
      <c r="G1098" s="86"/>
      <c r="H1098" s="107">
        <f t="shared" si="122"/>
        <v>6.88</v>
      </c>
      <c r="I1098" s="107">
        <f t="shared" si="123"/>
        <v>1.1200000000000001</v>
      </c>
      <c r="J1098" s="87">
        <f>IF($D1098&gt;0,IFERROR(Параметры!$D$42*$H1098/$H$2408,0),0)</f>
        <v>120.20791878172589</v>
      </c>
      <c r="K1098" s="87">
        <f>IFERROR(ROUND($N1098*Параметры!$D$36,2),0)</f>
        <v>178.62</v>
      </c>
      <c r="L1098" s="87">
        <f t="shared" si="124"/>
        <v>9.8240999999999996</v>
      </c>
      <c r="M1098" s="87">
        <f t="shared" si="125"/>
        <v>11.526237057460476</v>
      </c>
      <c r="N1098" s="107">
        <f t="shared" si="126"/>
        <v>6</v>
      </c>
    </row>
    <row r="1099" spans="2:14" x14ac:dyDescent="0.25">
      <c r="B1099" s="82">
        <f>SUBTOTAL(103,$D$8:D1099)</f>
        <v>1092</v>
      </c>
      <c r="C1099" s="83" t="s">
        <v>1107</v>
      </c>
      <c r="D1099" s="84">
        <v>4</v>
      </c>
      <c r="E1099" s="85">
        <f t="shared" si="121"/>
        <v>62.814700000000002</v>
      </c>
      <c r="F1099" s="106">
        <f t="shared" ref="F1099:F1162" si="127">IF(D1099&gt;0,2,"")</f>
        <v>2</v>
      </c>
      <c r="G1099" s="86"/>
      <c r="H1099" s="107">
        <f t="shared" si="122"/>
        <v>3.44</v>
      </c>
      <c r="I1099" s="107">
        <f t="shared" si="123"/>
        <v>0.56000000000000005</v>
      </c>
      <c r="J1099" s="87">
        <f>IF($D1099&gt;0,IFERROR(Параметры!$D$42*$H1099/$H$2408,0),0)</f>
        <v>60.103959390862947</v>
      </c>
      <c r="K1099" s="87">
        <f>IFERROR(ROUND($N1099*Параметры!$D$36,2),0)</f>
        <v>59.54</v>
      </c>
      <c r="L1099" s="87">
        <f t="shared" si="124"/>
        <v>3.2747000000000002</v>
      </c>
      <c r="M1099" s="87">
        <f t="shared" si="125"/>
        <v>3.8420790191534921</v>
      </c>
      <c r="N1099" s="107">
        <f t="shared" si="126"/>
        <v>2</v>
      </c>
    </row>
    <row r="1100" spans="2:14" x14ac:dyDescent="0.25">
      <c r="B1100" s="82">
        <f>SUBTOTAL(103,$D$8:D1100)</f>
        <v>1093</v>
      </c>
      <c r="C1100" s="83" t="s">
        <v>1108</v>
      </c>
      <c r="D1100" s="84">
        <v>0</v>
      </c>
      <c r="E1100" s="85" t="str">
        <f t="shared" si="121"/>
        <v/>
      </c>
      <c r="F1100" s="106" t="str">
        <f t="shared" si="127"/>
        <v/>
      </c>
      <c r="G1100" s="86"/>
      <c r="H1100" s="107">
        <f t="shared" si="122"/>
        <v>0</v>
      </c>
      <c r="I1100" s="107">
        <f t="shared" si="123"/>
        <v>0</v>
      </c>
      <c r="J1100" s="87">
        <f>IF($D1100&gt;0,IFERROR(Параметры!$D$42*$H1100/$H$2408,0),0)</f>
        <v>0</v>
      </c>
      <c r="K1100" s="87">
        <f>IFERROR(ROUND($N1100*Параметры!$D$36,2),0)</f>
        <v>0</v>
      </c>
      <c r="L1100" s="87">
        <f t="shared" si="124"/>
        <v>0</v>
      </c>
      <c r="M1100" s="87">
        <f t="shared" si="125"/>
        <v>0</v>
      </c>
      <c r="N1100" s="107" t="str">
        <f t="shared" si="126"/>
        <v/>
      </c>
    </row>
    <row r="1101" spans="2:14" x14ac:dyDescent="0.25">
      <c r="B1101" s="82">
        <f>SUBTOTAL(103,$D$8:D1101)</f>
        <v>1094</v>
      </c>
      <c r="C1101" s="83" t="s">
        <v>1109</v>
      </c>
      <c r="D1101" s="84">
        <v>0</v>
      </c>
      <c r="E1101" s="85" t="str">
        <f t="shared" si="121"/>
        <v/>
      </c>
      <c r="F1101" s="106" t="str">
        <f t="shared" si="127"/>
        <v/>
      </c>
      <c r="G1101" s="86"/>
      <c r="H1101" s="107">
        <f t="shared" si="122"/>
        <v>0</v>
      </c>
      <c r="I1101" s="107">
        <f t="shared" si="123"/>
        <v>0</v>
      </c>
      <c r="J1101" s="87">
        <f>IF($D1101&gt;0,IFERROR(Параметры!$D$42*$H1101/$H$2408,0),0)</f>
        <v>0</v>
      </c>
      <c r="K1101" s="87">
        <f>IFERROR(ROUND($N1101*Параметры!$D$36,2),0)</f>
        <v>0</v>
      </c>
      <c r="L1101" s="87">
        <f t="shared" si="124"/>
        <v>0</v>
      </c>
      <c r="M1101" s="87">
        <f t="shared" si="125"/>
        <v>0</v>
      </c>
      <c r="N1101" s="107" t="str">
        <f t="shared" si="126"/>
        <v/>
      </c>
    </row>
    <row r="1102" spans="2:14" x14ac:dyDescent="0.25">
      <c r="B1102" s="82">
        <f>SUBTOTAL(103,$D$8:D1102)</f>
        <v>1095</v>
      </c>
      <c r="C1102" s="83" t="s">
        <v>1110</v>
      </c>
      <c r="D1102" s="84">
        <v>0</v>
      </c>
      <c r="E1102" s="85" t="str">
        <f t="shared" si="121"/>
        <v/>
      </c>
      <c r="F1102" s="106" t="str">
        <f t="shared" si="127"/>
        <v/>
      </c>
      <c r="G1102" s="86"/>
      <c r="H1102" s="107">
        <f t="shared" si="122"/>
        <v>0</v>
      </c>
      <c r="I1102" s="107">
        <f t="shared" si="123"/>
        <v>0</v>
      </c>
      <c r="J1102" s="87">
        <f>IF($D1102&gt;0,IFERROR(Параметры!$D$42*$H1102/$H$2408,0),0)</f>
        <v>0</v>
      </c>
      <c r="K1102" s="87">
        <f>IFERROR(ROUND($N1102*Параметры!$D$36,2),0)</f>
        <v>0</v>
      </c>
      <c r="L1102" s="87">
        <f t="shared" si="124"/>
        <v>0</v>
      </c>
      <c r="M1102" s="87">
        <f t="shared" si="125"/>
        <v>0</v>
      </c>
      <c r="N1102" s="107" t="str">
        <f t="shared" si="126"/>
        <v/>
      </c>
    </row>
    <row r="1103" spans="2:14" x14ac:dyDescent="0.25">
      <c r="B1103" s="82">
        <f>SUBTOTAL(103,$D$8:D1103)</f>
        <v>1096</v>
      </c>
      <c r="C1103" s="83" t="s">
        <v>1111</v>
      </c>
      <c r="D1103" s="84">
        <v>0</v>
      </c>
      <c r="E1103" s="85" t="str">
        <f t="shared" si="121"/>
        <v/>
      </c>
      <c r="F1103" s="106" t="str">
        <f t="shared" si="127"/>
        <v/>
      </c>
      <c r="G1103" s="86"/>
      <c r="H1103" s="107">
        <f t="shared" si="122"/>
        <v>0</v>
      </c>
      <c r="I1103" s="107">
        <f t="shared" si="123"/>
        <v>0</v>
      </c>
      <c r="J1103" s="87">
        <f>IF($D1103&gt;0,IFERROR(Параметры!$D$42*$H1103/$H$2408,0),0)</f>
        <v>0</v>
      </c>
      <c r="K1103" s="87">
        <f>IFERROR(ROUND($N1103*Параметры!$D$36,2),0)</f>
        <v>0</v>
      </c>
      <c r="L1103" s="87">
        <f t="shared" si="124"/>
        <v>0</v>
      </c>
      <c r="M1103" s="87">
        <f t="shared" si="125"/>
        <v>0</v>
      </c>
      <c r="N1103" s="107" t="str">
        <f t="shared" si="126"/>
        <v/>
      </c>
    </row>
    <row r="1104" spans="2:14" x14ac:dyDescent="0.25">
      <c r="B1104" s="82">
        <f>SUBTOTAL(103,$D$8:D1104)</f>
        <v>1097</v>
      </c>
      <c r="C1104" s="83" t="s">
        <v>1112</v>
      </c>
      <c r="D1104" s="84">
        <v>0</v>
      </c>
      <c r="E1104" s="85" t="str">
        <f t="shared" si="121"/>
        <v/>
      </c>
      <c r="F1104" s="106" t="str">
        <f t="shared" si="127"/>
        <v/>
      </c>
      <c r="G1104" s="86"/>
      <c r="H1104" s="107">
        <f t="shared" si="122"/>
        <v>0</v>
      </c>
      <c r="I1104" s="107">
        <f t="shared" si="123"/>
        <v>0</v>
      </c>
      <c r="J1104" s="87">
        <f>IF($D1104&gt;0,IFERROR(Параметры!$D$42*$H1104/$H$2408,0),0)</f>
        <v>0</v>
      </c>
      <c r="K1104" s="87">
        <f>IFERROR(ROUND($N1104*Параметры!$D$36,2),0)</f>
        <v>0</v>
      </c>
      <c r="L1104" s="87">
        <f t="shared" si="124"/>
        <v>0</v>
      </c>
      <c r="M1104" s="87">
        <f t="shared" si="125"/>
        <v>0</v>
      </c>
      <c r="N1104" s="107" t="str">
        <f t="shared" si="126"/>
        <v/>
      </c>
    </row>
    <row r="1105" spans="2:14" x14ac:dyDescent="0.25">
      <c r="B1105" s="82">
        <f>SUBTOTAL(103,$D$8:D1105)</f>
        <v>1098</v>
      </c>
      <c r="C1105" s="83" t="s">
        <v>1113</v>
      </c>
      <c r="D1105" s="84">
        <v>0</v>
      </c>
      <c r="E1105" s="85" t="str">
        <f t="shared" si="121"/>
        <v/>
      </c>
      <c r="F1105" s="106" t="str">
        <f t="shared" si="127"/>
        <v/>
      </c>
      <c r="G1105" s="86"/>
      <c r="H1105" s="107">
        <f t="shared" si="122"/>
        <v>0</v>
      </c>
      <c r="I1105" s="107">
        <f t="shared" si="123"/>
        <v>0</v>
      </c>
      <c r="J1105" s="87">
        <f>IF($D1105&gt;0,IFERROR(Параметры!$D$42*$H1105/$H$2408,0),0)</f>
        <v>0</v>
      </c>
      <c r="K1105" s="87">
        <f>IFERROR(ROUND($N1105*Параметры!$D$36,2),0)</f>
        <v>0</v>
      </c>
      <c r="L1105" s="87">
        <f t="shared" si="124"/>
        <v>0</v>
      </c>
      <c r="M1105" s="87">
        <f t="shared" si="125"/>
        <v>0</v>
      </c>
      <c r="N1105" s="107" t="str">
        <f t="shared" si="126"/>
        <v/>
      </c>
    </row>
    <row r="1106" spans="2:14" x14ac:dyDescent="0.25">
      <c r="B1106" s="82">
        <f>SUBTOTAL(103,$D$8:D1106)</f>
        <v>1099</v>
      </c>
      <c r="C1106" s="83" t="s">
        <v>1113</v>
      </c>
      <c r="D1106" s="84">
        <v>0</v>
      </c>
      <c r="E1106" s="85" t="str">
        <f t="shared" si="121"/>
        <v/>
      </c>
      <c r="F1106" s="106" t="str">
        <f t="shared" si="127"/>
        <v/>
      </c>
      <c r="G1106" s="86"/>
      <c r="H1106" s="107">
        <f t="shared" si="122"/>
        <v>0</v>
      </c>
      <c r="I1106" s="107">
        <f t="shared" si="123"/>
        <v>0</v>
      </c>
      <c r="J1106" s="87">
        <f>IF($D1106&gt;0,IFERROR(Параметры!$D$42*$H1106/$H$2408,0),0)</f>
        <v>0</v>
      </c>
      <c r="K1106" s="87">
        <f>IFERROR(ROUND($N1106*Параметры!$D$36,2),0)</f>
        <v>0</v>
      </c>
      <c r="L1106" s="87">
        <f t="shared" si="124"/>
        <v>0</v>
      </c>
      <c r="M1106" s="87">
        <f t="shared" si="125"/>
        <v>0</v>
      </c>
      <c r="N1106" s="107" t="str">
        <f t="shared" si="126"/>
        <v/>
      </c>
    </row>
    <row r="1107" spans="2:14" x14ac:dyDescent="0.25">
      <c r="B1107" s="82">
        <f>SUBTOTAL(103,$D$8:D1107)</f>
        <v>1100</v>
      </c>
      <c r="C1107" s="83" t="s">
        <v>1114</v>
      </c>
      <c r="D1107" s="84">
        <v>0</v>
      </c>
      <c r="E1107" s="85" t="str">
        <f t="shared" si="121"/>
        <v/>
      </c>
      <c r="F1107" s="106" t="str">
        <f t="shared" si="127"/>
        <v/>
      </c>
      <c r="G1107" s="86"/>
      <c r="H1107" s="107">
        <f t="shared" si="122"/>
        <v>0</v>
      </c>
      <c r="I1107" s="107">
        <f t="shared" si="123"/>
        <v>0</v>
      </c>
      <c r="J1107" s="87">
        <f>IF($D1107&gt;0,IFERROR(Параметры!$D$42*$H1107/$H$2408,0),0)</f>
        <v>0</v>
      </c>
      <c r="K1107" s="87">
        <f>IFERROR(ROUND($N1107*Параметры!$D$36,2),0)</f>
        <v>0</v>
      </c>
      <c r="L1107" s="87">
        <f t="shared" si="124"/>
        <v>0</v>
      </c>
      <c r="M1107" s="87">
        <f t="shared" si="125"/>
        <v>0</v>
      </c>
      <c r="N1107" s="107" t="str">
        <f t="shared" si="126"/>
        <v/>
      </c>
    </row>
    <row r="1108" spans="2:14" x14ac:dyDescent="0.25">
      <c r="B1108" s="82">
        <f>SUBTOTAL(103,$D$8:D1108)</f>
        <v>1101</v>
      </c>
      <c r="C1108" s="83" t="s">
        <v>1115</v>
      </c>
      <c r="D1108" s="84">
        <v>0</v>
      </c>
      <c r="E1108" s="85" t="str">
        <f t="shared" si="121"/>
        <v/>
      </c>
      <c r="F1108" s="106" t="str">
        <f t="shared" si="127"/>
        <v/>
      </c>
      <c r="G1108" s="86"/>
      <c r="H1108" s="107">
        <f t="shared" si="122"/>
        <v>0</v>
      </c>
      <c r="I1108" s="107">
        <f t="shared" si="123"/>
        <v>0</v>
      </c>
      <c r="J1108" s="87">
        <f>IF($D1108&gt;0,IFERROR(Параметры!$D$42*$H1108/$H$2408,0),0)</f>
        <v>0</v>
      </c>
      <c r="K1108" s="87">
        <f>IFERROR(ROUND($N1108*Параметры!$D$36,2),0)</f>
        <v>0</v>
      </c>
      <c r="L1108" s="87">
        <f t="shared" si="124"/>
        <v>0</v>
      </c>
      <c r="M1108" s="87">
        <f t="shared" si="125"/>
        <v>0</v>
      </c>
      <c r="N1108" s="107" t="str">
        <f t="shared" si="126"/>
        <v/>
      </c>
    </row>
    <row r="1109" spans="2:14" x14ac:dyDescent="0.25">
      <c r="B1109" s="82">
        <f>SUBTOTAL(103,$D$8:D1109)</f>
        <v>1102</v>
      </c>
      <c r="C1109" s="83" t="s">
        <v>1116</v>
      </c>
      <c r="D1109" s="84">
        <v>0</v>
      </c>
      <c r="E1109" s="85" t="str">
        <f t="shared" si="121"/>
        <v/>
      </c>
      <c r="F1109" s="106" t="str">
        <f t="shared" si="127"/>
        <v/>
      </c>
      <c r="G1109" s="86"/>
      <c r="H1109" s="107">
        <f t="shared" si="122"/>
        <v>0</v>
      </c>
      <c r="I1109" s="107">
        <f t="shared" si="123"/>
        <v>0</v>
      </c>
      <c r="J1109" s="87">
        <f>IF($D1109&gt;0,IFERROR(Параметры!$D$42*$H1109/$H$2408,0),0)</f>
        <v>0</v>
      </c>
      <c r="K1109" s="87">
        <f>IFERROR(ROUND($N1109*Параметры!$D$36,2),0)</f>
        <v>0</v>
      </c>
      <c r="L1109" s="87">
        <f t="shared" si="124"/>
        <v>0</v>
      </c>
      <c r="M1109" s="87">
        <f t="shared" si="125"/>
        <v>0</v>
      </c>
      <c r="N1109" s="107" t="str">
        <f t="shared" si="126"/>
        <v/>
      </c>
    </row>
    <row r="1110" spans="2:14" x14ac:dyDescent="0.25">
      <c r="B1110" s="82">
        <f>SUBTOTAL(103,$D$8:D1110)</f>
        <v>1103</v>
      </c>
      <c r="C1110" s="83" t="s">
        <v>1117</v>
      </c>
      <c r="D1110" s="84">
        <v>0</v>
      </c>
      <c r="E1110" s="85" t="str">
        <f t="shared" si="121"/>
        <v/>
      </c>
      <c r="F1110" s="106" t="str">
        <f t="shared" si="127"/>
        <v/>
      </c>
      <c r="G1110" s="86"/>
      <c r="H1110" s="107">
        <f t="shared" si="122"/>
        <v>0</v>
      </c>
      <c r="I1110" s="107">
        <f t="shared" si="123"/>
        <v>0</v>
      </c>
      <c r="J1110" s="87">
        <f>IF($D1110&gt;0,IFERROR(Параметры!$D$42*$H1110/$H$2408,0),0)</f>
        <v>0</v>
      </c>
      <c r="K1110" s="87">
        <f>IFERROR(ROUND($N1110*Параметры!$D$36,2),0)</f>
        <v>0</v>
      </c>
      <c r="L1110" s="87">
        <f t="shared" si="124"/>
        <v>0</v>
      </c>
      <c r="M1110" s="87">
        <f t="shared" si="125"/>
        <v>0</v>
      </c>
      <c r="N1110" s="107" t="str">
        <f t="shared" si="126"/>
        <v/>
      </c>
    </row>
    <row r="1111" spans="2:14" x14ac:dyDescent="0.25">
      <c r="B1111" s="82">
        <f>SUBTOTAL(103,$D$8:D1111)</f>
        <v>1104</v>
      </c>
      <c r="C1111" s="83" t="s">
        <v>1118</v>
      </c>
      <c r="D1111" s="84">
        <v>0</v>
      </c>
      <c r="E1111" s="85" t="str">
        <f t="shared" si="121"/>
        <v/>
      </c>
      <c r="F1111" s="106" t="str">
        <f t="shared" si="127"/>
        <v/>
      </c>
      <c r="G1111" s="86"/>
      <c r="H1111" s="107">
        <f t="shared" si="122"/>
        <v>0</v>
      </c>
      <c r="I1111" s="107">
        <f t="shared" si="123"/>
        <v>0</v>
      </c>
      <c r="J1111" s="87">
        <f>IF($D1111&gt;0,IFERROR(Параметры!$D$42*$H1111/$H$2408,0),0)</f>
        <v>0</v>
      </c>
      <c r="K1111" s="87">
        <f>IFERROR(ROUND($N1111*Параметры!$D$36,2),0)</f>
        <v>0</v>
      </c>
      <c r="L1111" s="87">
        <f t="shared" si="124"/>
        <v>0</v>
      </c>
      <c r="M1111" s="87">
        <f t="shared" si="125"/>
        <v>0</v>
      </c>
      <c r="N1111" s="107" t="str">
        <f t="shared" si="126"/>
        <v/>
      </c>
    </row>
    <row r="1112" spans="2:14" x14ac:dyDescent="0.25">
      <c r="B1112" s="82">
        <f>SUBTOTAL(103,$D$8:D1112)</f>
        <v>1105</v>
      </c>
      <c r="C1112" s="83" t="s">
        <v>1119</v>
      </c>
      <c r="D1112" s="84">
        <v>0</v>
      </c>
      <c r="E1112" s="85" t="str">
        <f t="shared" si="121"/>
        <v/>
      </c>
      <c r="F1112" s="106" t="str">
        <f t="shared" si="127"/>
        <v/>
      </c>
      <c r="G1112" s="86"/>
      <c r="H1112" s="107">
        <f t="shared" si="122"/>
        <v>0</v>
      </c>
      <c r="I1112" s="107">
        <f t="shared" si="123"/>
        <v>0</v>
      </c>
      <c r="J1112" s="87">
        <f>IF($D1112&gt;0,IFERROR(Параметры!$D$42*$H1112/$H$2408,0),0)</f>
        <v>0</v>
      </c>
      <c r="K1112" s="87">
        <f>IFERROR(ROUND($N1112*Параметры!$D$36,2),0)</f>
        <v>0</v>
      </c>
      <c r="L1112" s="87">
        <f t="shared" si="124"/>
        <v>0</v>
      </c>
      <c r="M1112" s="87">
        <f t="shared" si="125"/>
        <v>0</v>
      </c>
      <c r="N1112" s="107" t="str">
        <f t="shared" si="126"/>
        <v/>
      </c>
    </row>
    <row r="1113" spans="2:14" x14ac:dyDescent="0.25">
      <c r="B1113" s="82">
        <f>SUBTOTAL(103,$D$8:D1113)</f>
        <v>1106</v>
      </c>
      <c r="C1113" s="83" t="s">
        <v>1120</v>
      </c>
      <c r="D1113" s="84">
        <v>0</v>
      </c>
      <c r="E1113" s="85" t="str">
        <f t="shared" si="121"/>
        <v/>
      </c>
      <c r="F1113" s="106" t="str">
        <f t="shared" si="127"/>
        <v/>
      </c>
      <c r="G1113" s="86"/>
      <c r="H1113" s="107">
        <f t="shared" si="122"/>
        <v>0</v>
      </c>
      <c r="I1113" s="107">
        <f t="shared" si="123"/>
        <v>0</v>
      </c>
      <c r="J1113" s="87">
        <f>IF($D1113&gt;0,IFERROR(Параметры!$D$42*$H1113/$H$2408,0),0)</f>
        <v>0</v>
      </c>
      <c r="K1113" s="87">
        <f>IFERROR(ROUND($N1113*Параметры!$D$36,2),0)</f>
        <v>0</v>
      </c>
      <c r="L1113" s="87">
        <f t="shared" si="124"/>
        <v>0</v>
      </c>
      <c r="M1113" s="87">
        <f t="shared" si="125"/>
        <v>0</v>
      </c>
      <c r="N1113" s="107" t="str">
        <f t="shared" si="126"/>
        <v/>
      </c>
    </row>
    <row r="1114" spans="2:14" x14ac:dyDescent="0.25">
      <c r="B1114" s="82">
        <f>SUBTOTAL(103,$D$8:D1114)</f>
        <v>1107</v>
      </c>
      <c r="C1114" s="83" t="s">
        <v>1121</v>
      </c>
      <c r="D1114" s="84">
        <v>0</v>
      </c>
      <c r="E1114" s="85" t="str">
        <f t="shared" si="121"/>
        <v/>
      </c>
      <c r="F1114" s="106" t="str">
        <f t="shared" si="127"/>
        <v/>
      </c>
      <c r="G1114" s="86"/>
      <c r="H1114" s="107">
        <f t="shared" si="122"/>
        <v>0</v>
      </c>
      <c r="I1114" s="107">
        <f t="shared" si="123"/>
        <v>0</v>
      </c>
      <c r="J1114" s="87">
        <f>IF($D1114&gt;0,IFERROR(Параметры!$D$42*$H1114/$H$2408,0),0)</f>
        <v>0</v>
      </c>
      <c r="K1114" s="87">
        <f>IFERROR(ROUND($N1114*Параметры!$D$36,2),0)</f>
        <v>0</v>
      </c>
      <c r="L1114" s="87">
        <f t="shared" si="124"/>
        <v>0</v>
      </c>
      <c r="M1114" s="87">
        <f t="shared" si="125"/>
        <v>0</v>
      </c>
      <c r="N1114" s="107" t="str">
        <f t="shared" si="126"/>
        <v/>
      </c>
    </row>
    <row r="1115" spans="2:14" x14ac:dyDescent="0.25">
      <c r="B1115" s="82">
        <f>SUBTOTAL(103,$D$8:D1115)</f>
        <v>1108</v>
      </c>
      <c r="C1115" s="83" t="s">
        <v>1122</v>
      </c>
      <c r="D1115" s="84">
        <v>0</v>
      </c>
      <c r="E1115" s="85" t="str">
        <f t="shared" si="121"/>
        <v/>
      </c>
      <c r="F1115" s="106" t="str">
        <f t="shared" si="127"/>
        <v/>
      </c>
      <c r="G1115" s="86"/>
      <c r="H1115" s="107">
        <f t="shared" si="122"/>
        <v>0</v>
      </c>
      <c r="I1115" s="107">
        <f t="shared" si="123"/>
        <v>0</v>
      </c>
      <c r="J1115" s="87">
        <f>IF($D1115&gt;0,IFERROR(Параметры!$D$42*$H1115/$H$2408,0),0)</f>
        <v>0</v>
      </c>
      <c r="K1115" s="87">
        <f>IFERROR(ROUND($N1115*Параметры!$D$36,2),0)</f>
        <v>0</v>
      </c>
      <c r="L1115" s="87">
        <f t="shared" si="124"/>
        <v>0</v>
      </c>
      <c r="M1115" s="87">
        <f t="shared" si="125"/>
        <v>0</v>
      </c>
      <c r="N1115" s="107" t="str">
        <f t="shared" si="126"/>
        <v/>
      </c>
    </row>
    <row r="1116" spans="2:14" x14ac:dyDescent="0.25">
      <c r="B1116" s="82">
        <f>SUBTOTAL(103,$D$8:D1116)</f>
        <v>1109</v>
      </c>
      <c r="C1116" s="83" t="s">
        <v>1123</v>
      </c>
      <c r="D1116" s="84">
        <v>0</v>
      </c>
      <c r="E1116" s="85" t="str">
        <f t="shared" si="121"/>
        <v/>
      </c>
      <c r="F1116" s="106" t="str">
        <f t="shared" si="127"/>
        <v/>
      </c>
      <c r="G1116" s="86"/>
      <c r="H1116" s="107">
        <f t="shared" si="122"/>
        <v>0</v>
      </c>
      <c r="I1116" s="107">
        <f t="shared" si="123"/>
        <v>0</v>
      </c>
      <c r="J1116" s="87">
        <f>IF($D1116&gt;0,IFERROR(Параметры!$D$42*$H1116/$H$2408,0),0)</f>
        <v>0</v>
      </c>
      <c r="K1116" s="87">
        <f>IFERROR(ROUND($N1116*Параметры!$D$36,2),0)</f>
        <v>0</v>
      </c>
      <c r="L1116" s="87">
        <f t="shared" si="124"/>
        <v>0</v>
      </c>
      <c r="M1116" s="87">
        <f t="shared" si="125"/>
        <v>0</v>
      </c>
      <c r="N1116" s="107" t="str">
        <f t="shared" si="126"/>
        <v/>
      </c>
    </row>
    <row r="1117" spans="2:14" x14ac:dyDescent="0.25">
      <c r="B1117" s="82">
        <f>SUBTOTAL(103,$D$8:D1117)</f>
        <v>1110</v>
      </c>
      <c r="C1117" s="83" t="s">
        <v>1124</v>
      </c>
      <c r="D1117" s="84">
        <v>0</v>
      </c>
      <c r="E1117" s="85" t="str">
        <f t="shared" si="121"/>
        <v/>
      </c>
      <c r="F1117" s="106" t="str">
        <f t="shared" si="127"/>
        <v/>
      </c>
      <c r="G1117" s="86"/>
      <c r="H1117" s="107">
        <f t="shared" si="122"/>
        <v>0</v>
      </c>
      <c r="I1117" s="107">
        <f t="shared" si="123"/>
        <v>0</v>
      </c>
      <c r="J1117" s="87">
        <f>IF($D1117&gt;0,IFERROR(Параметры!$D$42*$H1117/$H$2408,0),0)</f>
        <v>0</v>
      </c>
      <c r="K1117" s="87">
        <f>IFERROR(ROUND($N1117*Параметры!$D$36,2),0)</f>
        <v>0</v>
      </c>
      <c r="L1117" s="87">
        <f t="shared" si="124"/>
        <v>0</v>
      </c>
      <c r="M1117" s="87">
        <f t="shared" si="125"/>
        <v>0</v>
      </c>
      <c r="N1117" s="107" t="str">
        <f t="shared" si="126"/>
        <v/>
      </c>
    </row>
    <row r="1118" spans="2:14" x14ac:dyDescent="0.25">
      <c r="B1118" s="82">
        <f>SUBTOTAL(103,$D$8:D1118)</f>
        <v>1111</v>
      </c>
      <c r="C1118" s="83" t="s">
        <v>1125</v>
      </c>
      <c r="D1118" s="84">
        <v>0</v>
      </c>
      <c r="E1118" s="85" t="str">
        <f t="shared" si="121"/>
        <v/>
      </c>
      <c r="F1118" s="106" t="str">
        <f t="shared" si="127"/>
        <v/>
      </c>
      <c r="G1118" s="86"/>
      <c r="H1118" s="107">
        <f t="shared" si="122"/>
        <v>0</v>
      </c>
      <c r="I1118" s="107">
        <f t="shared" si="123"/>
        <v>0</v>
      </c>
      <c r="J1118" s="87">
        <f>IF($D1118&gt;0,IFERROR(Параметры!$D$42*$H1118/$H$2408,0),0)</f>
        <v>0</v>
      </c>
      <c r="K1118" s="87">
        <f>IFERROR(ROUND($N1118*Параметры!$D$36,2),0)</f>
        <v>0</v>
      </c>
      <c r="L1118" s="87">
        <f t="shared" si="124"/>
        <v>0</v>
      </c>
      <c r="M1118" s="87">
        <f t="shared" si="125"/>
        <v>0</v>
      </c>
      <c r="N1118" s="107" t="str">
        <f t="shared" si="126"/>
        <v/>
      </c>
    </row>
    <row r="1119" spans="2:14" x14ac:dyDescent="0.25">
      <c r="B1119" s="82">
        <f>SUBTOTAL(103,$D$8:D1119)</f>
        <v>1112</v>
      </c>
      <c r="C1119" s="83" t="s">
        <v>1126</v>
      </c>
      <c r="D1119" s="84">
        <v>0</v>
      </c>
      <c r="E1119" s="85" t="str">
        <f t="shared" si="121"/>
        <v/>
      </c>
      <c r="F1119" s="106" t="str">
        <f t="shared" si="127"/>
        <v/>
      </c>
      <c r="G1119" s="86"/>
      <c r="H1119" s="107">
        <f t="shared" si="122"/>
        <v>0</v>
      </c>
      <c r="I1119" s="107">
        <f t="shared" si="123"/>
        <v>0</v>
      </c>
      <c r="J1119" s="87">
        <f>IF($D1119&gt;0,IFERROR(Параметры!$D$42*$H1119/$H$2408,0),0)</f>
        <v>0</v>
      </c>
      <c r="K1119" s="87">
        <f>IFERROR(ROUND($N1119*Параметры!$D$36,2),0)</f>
        <v>0</v>
      </c>
      <c r="L1119" s="87">
        <f t="shared" si="124"/>
        <v>0</v>
      </c>
      <c r="M1119" s="87">
        <f t="shared" si="125"/>
        <v>0</v>
      </c>
      <c r="N1119" s="107" t="str">
        <f t="shared" si="126"/>
        <v/>
      </c>
    </row>
    <row r="1120" spans="2:14" x14ac:dyDescent="0.25">
      <c r="B1120" s="82">
        <f>SUBTOTAL(103,$D$8:D1120)</f>
        <v>1113</v>
      </c>
      <c r="C1120" s="83" t="s">
        <v>1127</v>
      </c>
      <c r="D1120" s="84">
        <v>0</v>
      </c>
      <c r="E1120" s="85" t="str">
        <f t="shared" si="121"/>
        <v/>
      </c>
      <c r="F1120" s="106" t="str">
        <f t="shared" si="127"/>
        <v/>
      </c>
      <c r="G1120" s="86"/>
      <c r="H1120" s="107">
        <f t="shared" si="122"/>
        <v>0</v>
      </c>
      <c r="I1120" s="107">
        <f t="shared" si="123"/>
        <v>0</v>
      </c>
      <c r="J1120" s="87">
        <f>IF($D1120&gt;0,IFERROR(Параметры!$D$42*$H1120/$H$2408,0),0)</f>
        <v>0</v>
      </c>
      <c r="K1120" s="87">
        <f>IFERROR(ROUND($N1120*Параметры!$D$36,2),0)</f>
        <v>0</v>
      </c>
      <c r="L1120" s="87">
        <f t="shared" si="124"/>
        <v>0</v>
      </c>
      <c r="M1120" s="87">
        <f t="shared" si="125"/>
        <v>0</v>
      </c>
      <c r="N1120" s="107" t="str">
        <f t="shared" si="126"/>
        <v/>
      </c>
    </row>
    <row r="1121" spans="2:14" x14ac:dyDescent="0.25">
      <c r="B1121" s="82">
        <f>SUBTOTAL(103,$D$8:D1121)</f>
        <v>1114</v>
      </c>
      <c r="C1121" s="83" t="s">
        <v>1128</v>
      </c>
      <c r="D1121" s="84">
        <v>0</v>
      </c>
      <c r="E1121" s="85" t="str">
        <f t="shared" si="121"/>
        <v/>
      </c>
      <c r="F1121" s="106" t="str">
        <f t="shared" si="127"/>
        <v/>
      </c>
      <c r="G1121" s="86"/>
      <c r="H1121" s="107">
        <f t="shared" si="122"/>
        <v>0</v>
      </c>
      <c r="I1121" s="107">
        <f t="shared" si="123"/>
        <v>0</v>
      </c>
      <c r="J1121" s="87">
        <f>IF($D1121&gt;0,IFERROR(Параметры!$D$42*$H1121/$H$2408,0),0)</f>
        <v>0</v>
      </c>
      <c r="K1121" s="87">
        <f>IFERROR(ROUND($N1121*Параметры!$D$36,2),0)</f>
        <v>0</v>
      </c>
      <c r="L1121" s="87">
        <f t="shared" si="124"/>
        <v>0</v>
      </c>
      <c r="M1121" s="87">
        <f t="shared" si="125"/>
        <v>0</v>
      </c>
      <c r="N1121" s="107" t="str">
        <f t="shared" si="126"/>
        <v/>
      </c>
    </row>
    <row r="1122" spans="2:14" x14ac:dyDescent="0.25">
      <c r="B1122" s="82">
        <f>SUBTOTAL(103,$D$8:D1122)</f>
        <v>1115</v>
      </c>
      <c r="C1122" s="83" t="s">
        <v>1129</v>
      </c>
      <c r="D1122" s="84">
        <v>0</v>
      </c>
      <c r="E1122" s="85" t="str">
        <f t="shared" si="121"/>
        <v/>
      </c>
      <c r="F1122" s="106" t="str">
        <f t="shared" si="127"/>
        <v/>
      </c>
      <c r="G1122" s="86"/>
      <c r="H1122" s="107">
        <f t="shared" si="122"/>
        <v>0</v>
      </c>
      <c r="I1122" s="107">
        <f t="shared" si="123"/>
        <v>0</v>
      </c>
      <c r="J1122" s="87">
        <f>IF($D1122&gt;0,IFERROR(Параметры!$D$42*$H1122/$H$2408,0),0)</f>
        <v>0</v>
      </c>
      <c r="K1122" s="87">
        <f>IFERROR(ROUND($N1122*Параметры!$D$36,2),0)</f>
        <v>0</v>
      </c>
      <c r="L1122" s="87">
        <f t="shared" si="124"/>
        <v>0</v>
      </c>
      <c r="M1122" s="87">
        <f t="shared" si="125"/>
        <v>0</v>
      </c>
      <c r="N1122" s="107" t="str">
        <f t="shared" si="126"/>
        <v/>
      </c>
    </row>
    <row r="1123" spans="2:14" x14ac:dyDescent="0.25">
      <c r="B1123" s="82">
        <f>SUBTOTAL(103,$D$8:D1123)</f>
        <v>1116</v>
      </c>
      <c r="C1123" s="83" t="s">
        <v>1130</v>
      </c>
      <c r="D1123" s="84">
        <v>0</v>
      </c>
      <c r="E1123" s="85" t="str">
        <f t="shared" si="121"/>
        <v/>
      </c>
      <c r="F1123" s="106" t="str">
        <f t="shared" si="127"/>
        <v/>
      </c>
      <c r="G1123" s="86"/>
      <c r="H1123" s="107">
        <f t="shared" si="122"/>
        <v>0</v>
      </c>
      <c r="I1123" s="107">
        <f t="shared" si="123"/>
        <v>0</v>
      </c>
      <c r="J1123" s="87">
        <f>IF($D1123&gt;0,IFERROR(Параметры!$D$42*$H1123/$H$2408,0),0)</f>
        <v>0</v>
      </c>
      <c r="K1123" s="87">
        <f>IFERROR(ROUND($N1123*Параметры!$D$36,2),0)</f>
        <v>0</v>
      </c>
      <c r="L1123" s="87">
        <f t="shared" si="124"/>
        <v>0</v>
      </c>
      <c r="M1123" s="87">
        <f t="shared" si="125"/>
        <v>0</v>
      </c>
      <c r="N1123" s="107" t="str">
        <f t="shared" si="126"/>
        <v/>
      </c>
    </row>
    <row r="1124" spans="2:14" x14ac:dyDescent="0.25">
      <c r="B1124" s="82">
        <f>SUBTOTAL(103,$D$8:D1124)</f>
        <v>1117</v>
      </c>
      <c r="C1124" s="83" t="s">
        <v>1131</v>
      </c>
      <c r="D1124" s="84">
        <v>0</v>
      </c>
      <c r="E1124" s="85" t="str">
        <f t="shared" si="121"/>
        <v/>
      </c>
      <c r="F1124" s="106" t="str">
        <f t="shared" si="127"/>
        <v/>
      </c>
      <c r="G1124" s="86"/>
      <c r="H1124" s="107">
        <f t="shared" si="122"/>
        <v>0</v>
      </c>
      <c r="I1124" s="107">
        <f t="shared" si="123"/>
        <v>0</v>
      </c>
      <c r="J1124" s="87">
        <f>IF($D1124&gt;0,IFERROR(Параметры!$D$42*$H1124/$H$2408,0),0)</f>
        <v>0</v>
      </c>
      <c r="K1124" s="87">
        <f>IFERROR(ROUND($N1124*Параметры!$D$36,2),0)</f>
        <v>0</v>
      </c>
      <c r="L1124" s="87">
        <f t="shared" si="124"/>
        <v>0</v>
      </c>
      <c r="M1124" s="87">
        <f t="shared" si="125"/>
        <v>0</v>
      </c>
      <c r="N1124" s="107" t="str">
        <f t="shared" si="126"/>
        <v/>
      </c>
    </row>
    <row r="1125" spans="2:14" x14ac:dyDescent="0.25">
      <c r="B1125" s="82">
        <f>SUBTOTAL(103,$D$8:D1125)</f>
        <v>1118</v>
      </c>
      <c r="C1125" s="83" t="s">
        <v>1132</v>
      </c>
      <c r="D1125" s="84">
        <v>0</v>
      </c>
      <c r="E1125" s="85" t="str">
        <f t="shared" si="121"/>
        <v/>
      </c>
      <c r="F1125" s="106" t="str">
        <f t="shared" si="127"/>
        <v/>
      </c>
      <c r="G1125" s="86"/>
      <c r="H1125" s="107">
        <f t="shared" si="122"/>
        <v>0</v>
      </c>
      <c r="I1125" s="107">
        <f t="shared" si="123"/>
        <v>0</v>
      </c>
      <c r="J1125" s="87">
        <f>IF($D1125&gt;0,IFERROR(Параметры!$D$42*$H1125/$H$2408,0),0)</f>
        <v>0</v>
      </c>
      <c r="K1125" s="87">
        <f>IFERROR(ROUND($N1125*Параметры!$D$36,2),0)</f>
        <v>0</v>
      </c>
      <c r="L1125" s="87">
        <f t="shared" si="124"/>
        <v>0</v>
      </c>
      <c r="M1125" s="87">
        <f t="shared" si="125"/>
        <v>0</v>
      </c>
      <c r="N1125" s="107" t="str">
        <f t="shared" si="126"/>
        <v/>
      </c>
    </row>
    <row r="1126" spans="2:14" x14ac:dyDescent="0.25">
      <c r="B1126" s="82">
        <f>SUBTOTAL(103,$D$8:D1126)</f>
        <v>1119</v>
      </c>
      <c r="C1126" s="83" t="s">
        <v>1133</v>
      </c>
      <c r="D1126" s="84">
        <v>0</v>
      </c>
      <c r="E1126" s="85" t="str">
        <f t="shared" si="121"/>
        <v/>
      </c>
      <c r="F1126" s="106" t="str">
        <f t="shared" si="127"/>
        <v/>
      </c>
      <c r="G1126" s="86"/>
      <c r="H1126" s="107">
        <f t="shared" si="122"/>
        <v>0</v>
      </c>
      <c r="I1126" s="107">
        <f t="shared" si="123"/>
        <v>0</v>
      </c>
      <c r="J1126" s="87">
        <f>IF($D1126&gt;0,IFERROR(Параметры!$D$42*$H1126/$H$2408,0),0)</f>
        <v>0</v>
      </c>
      <c r="K1126" s="87">
        <f>IFERROR(ROUND($N1126*Параметры!$D$36,2),0)</f>
        <v>0</v>
      </c>
      <c r="L1126" s="87">
        <f t="shared" si="124"/>
        <v>0</v>
      </c>
      <c r="M1126" s="87">
        <f t="shared" si="125"/>
        <v>0</v>
      </c>
      <c r="N1126" s="107" t="str">
        <f t="shared" si="126"/>
        <v/>
      </c>
    </row>
    <row r="1127" spans="2:14" x14ac:dyDescent="0.25">
      <c r="B1127" s="82">
        <f>SUBTOTAL(103,$D$8:D1127)</f>
        <v>1120</v>
      </c>
      <c r="C1127" s="83" t="s">
        <v>1134</v>
      </c>
      <c r="D1127" s="84">
        <v>0</v>
      </c>
      <c r="E1127" s="85" t="str">
        <f t="shared" si="121"/>
        <v/>
      </c>
      <c r="F1127" s="106" t="str">
        <f t="shared" si="127"/>
        <v/>
      </c>
      <c r="G1127" s="86"/>
      <c r="H1127" s="107">
        <f t="shared" si="122"/>
        <v>0</v>
      </c>
      <c r="I1127" s="107">
        <f t="shared" si="123"/>
        <v>0</v>
      </c>
      <c r="J1127" s="87">
        <f>IF($D1127&gt;0,IFERROR(Параметры!$D$42*$H1127/$H$2408,0),0)</f>
        <v>0</v>
      </c>
      <c r="K1127" s="87">
        <f>IFERROR(ROUND($N1127*Параметры!$D$36,2),0)</f>
        <v>0</v>
      </c>
      <c r="L1127" s="87">
        <f t="shared" si="124"/>
        <v>0</v>
      </c>
      <c r="M1127" s="87">
        <f t="shared" si="125"/>
        <v>0</v>
      </c>
      <c r="N1127" s="107" t="str">
        <f t="shared" si="126"/>
        <v/>
      </c>
    </row>
    <row r="1128" spans="2:14" x14ac:dyDescent="0.25">
      <c r="B1128" s="82">
        <f>SUBTOTAL(103,$D$8:D1128)</f>
        <v>1121</v>
      </c>
      <c r="C1128" s="83" t="s">
        <v>1135</v>
      </c>
      <c r="D1128" s="84">
        <v>0</v>
      </c>
      <c r="E1128" s="85" t="str">
        <f t="shared" si="121"/>
        <v/>
      </c>
      <c r="F1128" s="106" t="str">
        <f t="shared" si="127"/>
        <v/>
      </c>
      <c r="G1128" s="86"/>
      <c r="H1128" s="107">
        <f t="shared" si="122"/>
        <v>0</v>
      </c>
      <c r="I1128" s="107">
        <f t="shared" si="123"/>
        <v>0</v>
      </c>
      <c r="J1128" s="87">
        <f>IF($D1128&gt;0,IFERROR(Параметры!$D$42*$H1128/$H$2408,0),0)</f>
        <v>0</v>
      </c>
      <c r="K1128" s="87">
        <f>IFERROR(ROUND($N1128*Параметры!$D$36,2),0)</f>
        <v>0</v>
      </c>
      <c r="L1128" s="87">
        <f t="shared" si="124"/>
        <v>0</v>
      </c>
      <c r="M1128" s="87">
        <f t="shared" si="125"/>
        <v>0</v>
      </c>
      <c r="N1128" s="107" t="str">
        <f t="shared" si="126"/>
        <v/>
      </c>
    </row>
    <row r="1129" spans="2:14" x14ac:dyDescent="0.25">
      <c r="B1129" s="82">
        <f>SUBTOTAL(103,$D$8:D1129)</f>
        <v>1122</v>
      </c>
      <c r="C1129" s="83" t="s">
        <v>1136</v>
      </c>
      <c r="D1129" s="84">
        <v>0</v>
      </c>
      <c r="E1129" s="85" t="str">
        <f t="shared" si="121"/>
        <v/>
      </c>
      <c r="F1129" s="106" t="str">
        <f t="shared" si="127"/>
        <v/>
      </c>
      <c r="G1129" s="86"/>
      <c r="H1129" s="107">
        <f t="shared" si="122"/>
        <v>0</v>
      </c>
      <c r="I1129" s="107">
        <f t="shared" si="123"/>
        <v>0</v>
      </c>
      <c r="J1129" s="87">
        <f>IF($D1129&gt;0,IFERROR(Параметры!$D$42*$H1129/$H$2408,0),0)</f>
        <v>0</v>
      </c>
      <c r="K1129" s="87">
        <f>IFERROR(ROUND($N1129*Параметры!$D$36,2),0)</f>
        <v>0</v>
      </c>
      <c r="L1129" s="87">
        <f t="shared" si="124"/>
        <v>0</v>
      </c>
      <c r="M1129" s="87">
        <f t="shared" si="125"/>
        <v>0</v>
      </c>
      <c r="N1129" s="107" t="str">
        <f t="shared" si="126"/>
        <v/>
      </c>
    </row>
    <row r="1130" spans="2:14" x14ac:dyDescent="0.25">
      <c r="B1130" s="82">
        <f>SUBTOTAL(103,$D$8:D1130)</f>
        <v>1123</v>
      </c>
      <c r="C1130" s="83" t="s">
        <v>1137</v>
      </c>
      <c r="D1130" s="84">
        <v>0</v>
      </c>
      <c r="E1130" s="85" t="str">
        <f t="shared" si="121"/>
        <v/>
      </c>
      <c r="F1130" s="106" t="str">
        <f t="shared" si="127"/>
        <v/>
      </c>
      <c r="G1130" s="86"/>
      <c r="H1130" s="107">
        <f t="shared" si="122"/>
        <v>0</v>
      </c>
      <c r="I1130" s="107">
        <f t="shared" si="123"/>
        <v>0</v>
      </c>
      <c r="J1130" s="87">
        <f>IF($D1130&gt;0,IFERROR(Параметры!$D$42*$H1130/$H$2408,0),0)</f>
        <v>0</v>
      </c>
      <c r="K1130" s="87">
        <f>IFERROR(ROUND($N1130*Параметры!$D$36,2),0)</f>
        <v>0</v>
      </c>
      <c r="L1130" s="87">
        <f t="shared" si="124"/>
        <v>0</v>
      </c>
      <c r="M1130" s="87">
        <f t="shared" si="125"/>
        <v>0</v>
      </c>
      <c r="N1130" s="107" t="str">
        <f t="shared" si="126"/>
        <v/>
      </c>
    </row>
    <row r="1131" spans="2:14" x14ac:dyDescent="0.25">
      <c r="B1131" s="82">
        <f>SUBTOTAL(103,$D$8:D1131)</f>
        <v>1124</v>
      </c>
      <c r="C1131" s="83" t="s">
        <v>1138</v>
      </c>
      <c r="D1131" s="84">
        <v>0</v>
      </c>
      <c r="E1131" s="85" t="str">
        <f t="shared" si="121"/>
        <v/>
      </c>
      <c r="F1131" s="106" t="str">
        <f t="shared" si="127"/>
        <v/>
      </c>
      <c r="G1131" s="86"/>
      <c r="H1131" s="107">
        <f t="shared" si="122"/>
        <v>0</v>
      </c>
      <c r="I1131" s="107">
        <f t="shared" si="123"/>
        <v>0</v>
      </c>
      <c r="J1131" s="87">
        <f>IF($D1131&gt;0,IFERROR(Параметры!$D$42*$H1131/$H$2408,0),0)</f>
        <v>0</v>
      </c>
      <c r="K1131" s="87">
        <f>IFERROR(ROUND($N1131*Параметры!$D$36,2),0)</f>
        <v>0</v>
      </c>
      <c r="L1131" s="87">
        <f t="shared" si="124"/>
        <v>0</v>
      </c>
      <c r="M1131" s="87">
        <f t="shared" si="125"/>
        <v>0</v>
      </c>
      <c r="N1131" s="107" t="str">
        <f t="shared" si="126"/>
        <v/>
      </c>
    </row>
    <row r="1132" spans="2:14" x14ac:dyDescent="0.25">
      <c r="B1132" s="82">
        <f>SUBTOTAL(103,$D$8:D1132)</f>
        <v>1125</v>
      </c>
      <c r="C1132" s="83" t="s">
        <v>1139</v>
      </c>
      <c r="D1132" s="84">
        <v>0</v>
      </c>
      <c r="E1132" s="85" t="str">
        <f t="shared" si="121"/>
        <v/>
      </c>
      <c r="F1132" s="106" t="str">
        <f t="shared" si="127"/>
        <v/>
      </c>
      <c r="G1132" s="86"/>
      <c r="H1132" s="107">
        <f t="shared" si="122"/>
        <v>0</v>
      </c>
      <c r="I1132" s="107">
        <f t="shared" si="123"/>
        <v>0</v>
      </c>
      <c r="J1132" s="87">
        <f>IF($D1132&gt;0,IFERROR(Параметры!$D$42*$H1132/$H$2408,0),0)</f>
        <v>0</v>
      </c>
      <c r="K1132" s="87">
        <f>IFERROR(ROUND($N1132*Параметры!$D$36,2),0)</f>
        <v>0</v>
      </c>
      <c r="L1132" s="87">
        <f t="shared" si="124"/>
        <v>0</v>
      </c>
      <c r="M1132" s="87">
        <f t="shared" si="125"/>
        <v>0</v>
      </c>
      <c r="N1132" s="107" t="str">
        <f t="shared" si="126"/>
        <v/>
      </c>
    </row>
    <row r="1133" spans="2:14" x14ac:dyDescent="0.25">
      <c r="B1133" s="82">
        <f>SUBTOTAL(103,$D$8:D1133)</f>
        <v>1126</v>
      </c>
      <c r="C1133" s="83" t="s">
        <v>1140</v>
      </c>
      <c r="D1133" s="84">
        <v>0</v>
      </c>
      <c r="E1133" s="85" t="str">
        <f t="shared" si="121"/>
        <v/>
      </c>
      <c r="F1133" s="106" t="str">
        <f t="shared" si="127"/>
        <v/>
      </c>
      <c r="G1133" s="86"/>
      <c r="H1133" s="107">
        <f t="shared" si="122"/>
        <v>0</v>
      </c>
      <c r="I1133" s="107">
        <f t="shared" si="123"/>
        <v>0</v>
      </c>
      <c r="J1133" s="87">
        <f>IF($D1133&gt;0,IFERROR(Параметры!$D$42*$H1133/$H$2408,0),0)</f>
        <v>0</v>
      </c>
      <c r="K1133" s="87">
        <f>IFERROR(ROUND($N1133*Параметры!$D$36,2),0)</f>
        <v>0</v>
      </c>
      <c r="L1133" s="87">
        <f t="shared" si="124"/>
        <v>0</v>
      </c>
      <c r="M1133" s="87">
        <f t="shared" si="125"/>
        <v>0</v>
      </c>
      <c r="N1133" s="107" t="str">
        <f t="shared" si="126"/>
        <v/>
      </c>
    </row>
    <row r="1134" spans="2:14" x14ac:dyDescent="0.25">
      <c r="B1134" s="82">
        <f>SUBTOTAL(103,$D$8:D1134)</f>
        <v>1127</v>
      </c>
      <c r="C1134" s="83" t="s">
        <v>1141</v>
      </c>
      <c r="D1134" s="84">
        <v>0</v>
      </c>
      <c r="E1134" s="85" t="str">
        <f t="shared" si="121"/>
        <v/>
      </c>
      <c r="F1134" s="106" t="str">
        <f t="shared" si="127"/>
        <v/>
      </c>
      <c r="G1134" s="86"/>
      <c r="H1134" s="107">
        <f t="shared" si="122"/>
        <v>0</v>
      </c>
      <c r="I1134" s="107">
        <f t="shared" si="123"/>
        <v>0</v>
      </c>
      <c r="J1134" s="87">
        <f>IF($D1134&gt;0,IFERROR(Параметры!$D$42*$H1134/$H$2408,0),0)</f>
        <v>0</v>
      </c>
      <c r="K1134" s="87">
        <f>IFERROR(ROUND($N1134*Параметры!$D$36,2),0)</f>
        <v>0</v>
      </c>
      <c r="L1134" s="87">
        <f t="shared" si="124"/>
        <v>0</v>
      </c>
      <c r="M1134" s="87">
        <f t="shared" si="125"/>
        <v>0</v>
      </c>
      <c r="N1134" s="107" t="str">
        <f t="shared" si="126"/>
        <v/>
      </c>
    </row>
    <row r="1135" spans="2:14" x14ac:dyDescent="0.25">
      <c r="B1135" s="82">
        <f>SUBTOTAL(103,$D$8:D1135)</f>
        <v>1128</v>
      </c>
      <c r="C1135" s="83" t="s">
        <v>1142</v>
      </c>
      <c r="D1135" s="84">
        <v>0</v>
      </c>
      <c r="E1135" s="85" t="str">
        <f t="shared" si="121"/>
        <v/>
      </c>
      <c r="F1135" s="106" t="str">
        <f t="shared" si="127"/>
        <v/>
      </c>
      <c r="G1135" s="86"/>
      <c r="H1135" s="107">
        <f t="shared" si="122"/>
        <v>0</v>
      </c>
      <c r="I1135" s="107">
        <f t="shared" si="123"/>
        <v>0</v>
      </c>
      <c r="J1135" s="87">
        <f>IF($D1135&gt;0,IFERROR(Параметры!$D$42*$H1135/$H$2408,0),0)</f>
        <v>0</v>
      </c>
      <c r="K1135" s="87">
        <f>IFERROR(ROUND($N1135*Параметры!$D$36,2),0)</f>
        <v>0</v>
      </c>
      <c r="L1135" s="87">
        <f t="shared" si="124"/>
        <v>0</v>
      </c>
      <c r="M1135" s="87">
        <f t="shared" si="125"/>
        <v>0</v>
      </c>
      <c r="N1135" s="107" t="str">
        <f t="shared" si="126"/>
        <v/>
      </c>
    </row>
    <row r="1136" spans="2:14" x14ac:dyDescent="0.25">
      <c r="B1136" s="82">
        <f>SUBTOTAL(103,$D$8:D1136)</f>
        <v>1129</v>
      </c>
      <c r="C1136" s="83" t="s">
        <v>1143</v>
      </c>
      <c r="D1136" s="84">
        <v>0</v>
      </c>
      <c r="E1136" s="85" t="str">
        <f t="shared" si="121"/>
        <v/>
      </c>
      <c r="F1136" s="106" t="str">
        <f t="shared" si="127"/>
        <v/>
      </c>
      <c r="G1136" s="86"/>
      <c r="H1136" s="107">
        <f t="shared" si="122"/>
        <v>0</v>
      </c>
      <c r="I1136" s="107">
        <f t="shared" si="123"/>
        <v>0</v>
      </c>
      <c r="J1136" s="87">
        <f>IF($D1136&gt;0,IFERROR(Параметры!$D$42*$H1136/$H$2408,0),0)</f>
        <v>0</v>
      </c>
      <c r="K1136" s="87">
        <f>IFERROR(ROUND($N1136*Параметры!$D$36,2),0)</f>
        <v>0</v>
      </c>
      <c r="L1136" s="87">
        <f t="shared" si="124"/>
        <v>0</v>
      </c>
      <c r="M1136" s="87">
        <f t="shared" si="125"/>
        <v>0</v>
      </c>
      <c r="N1136" s="107" t="str">
        <f t="shared" si="126"/>
        <v/>
      </c>
    </row>
    <row r="1137" spans="2:14" x14ac:dyDescent="0.25">
      <c r="B1137" s="82">
        <f>SUBTOTAL(103,$D$8:D1137)</f>
        <v>1130</v>
      </c>
      <c r="C1137" s="83" t="s">
        <v>1144</v>
      </c>
      <c r="D1137" s="84">
        <v>0</v>
      </c>
      <c r="E1137" s="85" t="str">
        <f t="shared" si="121"/>
        <v/>
      </c>
      <c r="F1137" s="106" t="str">
        <f t="shared" si="127"/>
        <v/>
      </c>
      <c r="G1137" s="86"/>
      <c r="H1137" s="107">
        <f t="shared" si="122"/>
        <v>0</v>
      </c>
      <c r="I1137" s="107">
        <f t="shared" si="123"/>
        <v>0</v>
      </c>
      <c r="J1137" s="87">
        <f>IF($D1137&gt;0,IFERROR(Параметры!$D$42*$H1137/$H$2408,0),0)</f>
        <v>0</v>
      </c>
      <c r="K1137" s="87">
        <f>IFERROR(ROUND($N1137*Параметры!$D$36,2),0)</f>
        <v>0</v>
      </c>
      <c r="L1137" s="87">
        <f t="shared" si="124"/>
        <v>0</v>
      </c>
      <c r="M1137" s="87">
        <f t="shared" si="125"/>
        <v>0</v>
      </c>
      <c r="N1137" s="107" t="str">
        <f t="shared" si="126"/>
        <v/>
      </c>
    </row>
    <row r="1138" spans="2:14" x14ac:dyDescent="0.25">
      <c r="B1138" s="82">
        <f>SUBTOTAL(103,$D$8:D1138)</f>
        <v>1131</v>
      </c>
      <c r="C1138" s="83" t="s">
        <v>1145</v>
      </c>
      <c r="D1138" s="84">
        <v>0</v>
      </c>
      <c r="E1138" s="85" t="str">
        <f t="shared" si="121"/>
        <v/>
      </c>
      <c r="F1138" s="106" t="str">
        <f t="shared" si="127"/>
        <v/>
      </c>
      <c r="G1138" s="86"/>
      <c r="H1138" s="107">
        <f t="shared" si="122"/>
        <v>0</v>
      </c>
      <c r="I1138" s="107">
        <f t="shared" si="123"/>
        <v>0</v>
      </c>
      <c r="J1138" s="87">
        <f>IF($D1138&gt;0,IFERROR(Параметры!$D$42*$H1138/$H$2408,0),0)</f>
        <v>0</v>
      </c>
      <c r="K1138" s="87">
        <f>IFERROR(ROUND($N1138*Параметры!$D$36,2),0)</f>
        <v>0</v>
      </c>
      <c r="L1138" s="87">
        <f t="shared" si="124"/>
        <v>0</v>
      </c>
      <c r="M1138" s="87">
        <f t="shared" si="125"/>
        <v>0</v>
      </c>
      <c r="N1138" s="107" t="str">
        <f t="shared" si="126"/>
        <v/>
      </c>
    </row>
    <row r="1139" spans="2:14" x14ac:dyDescent="0.25">
      <c r="B1139" s="82">
        <f>SUBTOTAL(103,$D$8:D1139)</f>
        <v>1132</v>
      </c>
      <c r="C1139" s="83" t="s">
        <v>1146</v>
      </c>
      <c r="D1139" s="84">
        <v>0</v>
      </c>
      <c r="E1139" s="85" t="str">
        <f t="shared" si="121"/>
        <v/>
      </c>
      <c r="F1139" s="106" t="str">
        <f t="shared" si="127"/>
        <v/>
      </c>
      <c r="G1139" s="86"/>
      <c r="H1139" s="107">
        <f t="shared" si="122"/>
        <v>0</v>
      </c>
      <c r="I1139" s="107">
        <f t="shared" si="123"/>
        <v>0</v>
      </c>
      <c r="J1139" s="87">
        <f>IF($D1139&gt;0,IFERROR(Параметры!$D$42*$H1139/$H$2408,0),0)</f>
        <v>0</v>
      </c>
      <c r="K1139" s="87">
        <f>IFERROR(ROUND($N1139*Параметры!$D$36,2),0)</f>
        <v>0</v>
      </c>
      <c r="L1139" s="87">
        <f t="shared" si="124"/>
        <v>0</v>
      </c>
      <c r="M1139" s="87">
        <f t="shared" si="125"/>
        <v>0</v>
      </c>
      <c r="N1139" s="107" t="str">
        <f t="shared" si="126"/>
        <v/>
      </c>
    </row>
    <row r="1140" spans="2:14" x14ac:dyDescent="0.25">
      <c r="B1140" s="82">
        <f>SUBTOTAL(103,$D$8:D1140)</f>
        <v>1133</v>
      </c>
      <c r="C1140" s="83" t="s">
        <v>1147</v>
      </c>
      <c r="D1140" s="84">
        <v>0</v>
      </c>
      <c r="E1140" s="85" t="str">
        <f t="shared" si="121"/>
        <v/>
      </c>
      <c r="F1140" s="106" t="str">
        <f t="shared" si="127"/>
        <v/>
      </c>
      <c r="G1140" s="86"/>
      <c r="H1140" s="107">
        <f t="shared" si="122"/>
        <v>0</v>
      </c>
      <c r="I1140" s="107">
        <f t="shared" si="123"/>
        <v>0</v>
      </c>
      <c r="J1140" s="87">
        <f>IF($D1140&gt;0,IFERROR(Параметры!$D$42*$H1140/$H$2408,0),0)</f>
        <v>0</v>
      </c>
      <c r="K1140" s="87">
        <f>IFERROR(ROUND($N1140*Параметры!$D$36,2),0)</f>
        <v>0</v>
      </c>
      <c r="L1140" s="87">
        <f t="shared" si="124"/>
        <v>0</v>
      </c>
      <c r="M1140" s="87">
        <f t="shared" si="125"/>
        <v>0</v>
      </c>
      <c r="N1140" s="107" t="str">
        <f t="shared" si="126"/>
        <v/>
      </c>
    </row>
    <row r="1141" spans="2:14" x14ac:dyDescent="0.25">
      <c r="B1141" s="82">
        <f>SUBTOTAL(103,$D$8:D1141)</f>
        <v>1134</v>
      </c>
      <c r="C1141" s="83" t="s">
        <v>1148</v>
      </c>
      <c r="D1141" s="84">
        <v>0</v>
      </c>
      <c r="E1141" s="85" t="str">
        <f t="shared" si="121"/>
        <v/>
      </c>
      <c r="F1141" s="106" t="str">
        <f t="shared" si="127"/>
        <v/>
      </c>
      <c r="G1141" s="86"/>
      <c r="H1141" s="107">
        <f t="shared" si="122"/>
        <v>0</v>
      </c>
      <c r="I1141" s="107">
        <f t="shared" si="123"/>
        <v>0</v>
      </c>
      <c r="J1141" s="87">
        <f>IF($D1141&gt;0,IFERROR(Параметры!$D$42*$H1141/$H$2408,0),0)</f>
        <v>0</v>
      </c>
      <c r="K1141" s="87">
        <f>IFERROR(ROUND($N1141*Параметры!$D$36,2),0)</f>
        <v>0</v>
      </c>
      <c r="L1141" s="87">
        <f t="shared" si="124"/>
        <v>0</v>
      </c>
      <c r="M1141" s="87">
        <f t="shared" si="125"/>
        <v>0</v>
      </c>
      <c r="N1141" s="107" t="str">
        <f t="shared" si="126"/>
        <v/>
      </c>
    </row>
    <row r="1142" spans="2:14" x14ac:dyDescent="0.25">
      <c r="B1142" s="82">
        <f>SUBTOTAL(103,$D$8:D1142)</f>
        <v>1135</v>
      </c>
      <c r="C1142" s="83" t="s">
        <v>1149</v>
      </c>
      <c r="D1142" s="84">
        <v>0</v>
      </c>
      <c r="E1142" s="85" t="str">
        <f t="shared" si="121"/>
        <v/>
      </c>
      <c r="F1142" s="106" t="str">
        <f t="shared" si="127"/>
        <v/>
      </c>
      <c r="G1142" s="86"/>
      <c r="H1142" s="107">
        <f t="shared" si="122"/>
        <v>0</v>
      </c>
      <c r="I1142" s="107">
        <f t="shared" si="123"/>
        <v>0</v>
      </c>
      <c r="J1142" s="87">
        <f>IF($D1142&gt;0,IFERROR(Параметры!$D$42*$H1142/$H$2408,0),0)</f>
        <v>0</v>
      </c>
      <c r="K1142" s="87">
        <f>IFERROR(ROUND($N1142*Параметры!$D$36,2),0)</f>
        <v>0</v>
      </c>
      <c r="L1142" s="87">
        <f t="shared" si="124"/>
        <v>0</v>
      </c>
      <c r="M1142" s="87">
        <f t="shared" si="125"/>
        <v>0</v>
      </c>
      <c r="N1142" s="107" t="str">
        <f t="shared" si="126"/>
        <v/>
      </c>
    </row>
    <row r="1143" spans="2:14" x14ac:dyDescent="0.25">
      <c r="B1143" s="82">
        <f>SUBTOTAL(103,$D$8:D1143)</f>
        <v>1136</v>
      </c>
      <c r="C1143" s="83" t="s">
        <v>1150</v>
      </c>
      <c r="D1143" s="84">
        <v>0</v>
      </c>
      <c r="E1143" s="85" t="str">
        <f t="shared" si="121"/>
        <v/>
      </c>
      <c r="F1143" s="106" t="str">
        <f t="shared" si="127"/>
        <v/>
      </c>
      <c r="G1143" s="86"/>
      <c r="H1143" s="107">
        <f t="shared" si="122"/>
        <v>0</v>
      </c>
      <c r="I1143" s="107">
        <f t="shared" si="123"/>
        <v>0</v>
      </c>
      <c r="J1143" s="87">
        <f>IF($D1143&gt;0,IFERROR(Параметры!$D$42*$H1143/$H$2408,0),0)</f>
        <v>0</v>
      </c>
      <c r="K1143" s="87">
        <f>IFERROR(ROUND($N1143*Параметры!$D$36,2),0)</f>
        <v>0</v>
      </c>
      <c r="L1143" s="87">
        <f t="shared" si="124"/>
        <v>0</v>
      </c>
      <c r="M1143" s="87">
        <f t="shared" si="125"/>
        <v>0</v>
      </c>
      <c r="N1143" s="107" t="str">
        <f t="shared" si="126"/>
        <v/>
      </c>
    </row>
    <row r="1144" spans="2:14" x14ac:dyDescent="0.25">
      <c r="B1144" s="82">
        <f>SUBTOTAL(103,$D$8:D1144)</f>
        <v>1137</v>
      </c>
      <c r="C1144" s="83" t="s">
        <v>1151</v>
      </c>
      <c r="D1144" s="84">
        <v>0</v>
      </c>
      <c r="E1144" s="85" t="str">
        <f t="shared" si="121"/>
        <v/>
      </c>
      <c r="F1144" s="106" t="str">
        <f t="shared" si="127"/>
        <v/>
      </c>
      <c r="G1144" s="86"/>
      <c r="H1144" s="107">
        <f t="shared" si="122"/>
        <v>0</v>
      </c>
      <c r="I1144" s="107">
        <f t="shared" si="123"/>
        <v>0</v>
      </c>
      <c r="J1144" s="87">
        <f>IF($D1144&gt;0,IFERROR(Параметры!$D$42*$H1144/$H$2408,0),0)</f>
        <v>0</v>
      </c>
      <c r="K1144" s="87">
        <f>IFERROR(ROUND($N1144*Параметры!$D$36,2),0)</f>
        <v>0</v>
      </c>
      <c r="L1144" s="87">
        <f t="shared" si="124"/>
        <v>0</v>
      </c>
      <c r="M1144" s="87">
        <f t="shared" si="125"/>
        <v>0</v>
      </c>
      <c r="N1144" s="107" t="str">
        <f t="shared" si="126"/>
        <v/>
      </c>
    </row>
    <row r="1145" spans="2:14" x14ac:dyDescent="0.25">
      <c r="B1145" s="82">
        <f>SUBTOTAL(103,$D$8:D1145)</f>
        <v>1138</v>
      </c>
      <c r="C1145" s="83" t="s">
        <v>1152</v>
      </c>
      <c r="D1145" s="84">
        <v>0</v>
      </c>
      <c r="E1145" s="85" t="str">
        <f t="shared" si="121"/>
        <v/>
      </c>
      <c r="F1145" s="106" t="str">
        <f t="shared" si="127"/>
        <v/>
      </c>
      <c r="G1145" s="86"/>
      <c r="H1145" s="107">
        <f t="shared" si="122"/>
        <v>0</v>
      </c>
      <c r="I1145" s="107">
        <f t="shared" si="123"/>
        <v>0</v>
      </c>
      <c r="J1145" s="87">
        <f>IF($D1145&gt;0,IFERROR(Параметры!$D$42*$H1145/$H$2408,0),0)</f>
        <v>0</v>
      </c>
      <c r="K1145" s="87">
        <f>IFERROR(ROUND($N1145*Параметры!$D$36,2),0)</f>
        <v>0</v>
      </c>
      <c r="L1145" s="87">
        <f t="shared" si="124"/>
        <v>0</v>
      </c>
      <c r="M1145" s="87">
        <f t="shared" si="125"/>
        <v>0</v>
      </c>
      <c r="N1145" s="107" t="str">
        <f t="shared" si="126"/>
        <v/>
      </c>
    </row>
    <row r="1146" spans="2:14" x14ac:dyDescent="0.25">
      <c r="B1146" s="82">
        <f>SUBTOTAL(103,$D$8:D1146)</f>
        <v>1139</v>
      </c>
      <c r="C1146" s="83" t="s">
        <v>1153</v>
      </c>
      <c r="D1146" s="84">
        <v>0</v>
      </c>
      <c r="E1146" s="85" t="str">
        <f t="shared" si="121"/>
        <v/>
      </c>
      <c r="F1146" s="106" t="str">
        <f t="shared" si="127"/>
        <v/>
      </c>
      <c r="G1146" s="86"/>
      <c r="H1146" s="107">
        <f t="shared" si="122"/>
        <v>0</v>
      </c>
      <c r="I1146" s="107">
        <f t="shared" si="123"/>
        <v>0</v>
      </c>
      <c r="J1146" s="87">
        <f>IF($D1146&gt;0,IFERROR(Параметры!$D$42*$H1146/$H$2408,0),0)</f>
        <v>0</v>
      </c>
      <c r="K1146" s="87">
        <f>IFERROR(ROUND($N1146*Параметры!$D$36,2),0)</f>
        <v>0</v>
      </c>
      <c r="L1146" s="87">
        <f t="shared" si="124"/>
        <v>0</v>
      </c>
      <c r="M1146" s="87">
        <f t="shared" si="125"/>
        <v>0</v>
      </c>
      <c r="N1146" s="107" t="str">
        <f t="shared" si="126"/>
        <v/>
      </c>
    </row>
    <row r="1147" spans="2:14" x14ac:dyDescent="0.25">
      <c r="B1147" s="82">
        <f>SUBTOTAL(103,$D$8:D1147)</f>
        <v>1140</v>
      </c>
      <c r="C1147" s="83" t="s">
        <v>1154</v>
      </c>
      <c r="D1147" s="84">
        <v>0</v>
      </c>
      <c r="E1147" s="85" t="str">
        <f t="shared" si="121"/>
        <v/>
      </c>
      <c r="F1147" s="106" t="str">
        <f t="shared" si="127"/>
        <v/>
      </c>
      <c r="G1147" s="86"/>
      <c r="H1147" s="107">
        <f t="shared" si="122"/>
        <v>0</v>
      </c>
      <c r="I1147" s="107">
        <f t="shared" si="123"/>
        <v>0</v>
      </c>
      <c r="J1147" s="87">
        <f>IF($D1147&gt;0,IFERROR(Параметры!$D$42*$H1147/$H$2408,0),0)</f>
        <v>0</v>
      </c>
      <c r="K1147" s="87">
        <f>IFERROR(ROUND($N1147*Параметры!$D$36,2),0)</f>
        <v>0</v>
      </c>
      <c r="L1147" s="87">
        <f t="shared" si="124"/>
        <v>0</v>
      </c>
      <c r="M1147" s="87">
        <f t="shared" si="125"/>
        <v>0</v>
      </c>
      <c r="N1147" s="107" t="str">
        <f t="shared" si="126"/>
        <v/>
      </c>
    </row>
    <row r="1148" spans="2:14" x14ac:dyDescent="0.25">
      <c r="B1148" s="82">
        <f>SUBTOTAL(103,$D$8:D1148)</f>
        <v>1141</v>
      </c>
      <c r="C1148" s="83" t="s">
        <v>1155</v>
      </c>
      <c r="D1148" s="84">
        <f t="array" ref="D1148:D1207">TRANSPOSE('Зарядная карта'!$C$24:$BJ$24)</f>
        <v>4</v>
      </c>
      <c r="E1148" s="85">
        <f t="shared" si="121"/>
        <v>62.814700000000002</v>
      </c>
      <c r="F1148" s="106">
        <f t="shared" si="127"/>
        <v>2</v>
      </c>
      <c r="G1148" s="86"/>
      <c r="H1148" s="107">
        <f t="shared" si="122"/>
        <v>3.44</v>
      </c>
      <c r="I1148" s="107">
        <f t="shared" si="123"/>
        <v>0.56000000000000005</v>
      </c>
      <c r="J1148" s="87">
        <f>IF($D1148&gt;0,IFERROR(Параметры!$D$42*$H1148/$H$2408,0),0)</f>
        <v>60.103959390862947</v>
      </c>
      <c r="K1148" s="87">
        <f>IFERROR(ROUND($N1148*Параметры!$D$36,2),0)</f>
        <v>59.54</v>
      </c>
      <c r="L1148" s="87">
        <f t="shared" si="124"/>
        <v>3.2747000000000002</v>
      </c>
      <c r="M1148" s="87">
        <f t="shared" si="125"/>
        <v>3.8420790191534921</v>
      </c>
      <c r="N1148" s="107">
        <f t="shared" si="126"/>
        <v>2</v>
      </c>
    </row>
    <row r="1149" spans="2:14" x14ac:dyDescent="0.25">
      <c r="B1149" s="82">
        <f>SUBTOTAL(103,$D$8:D1149)</f>
        <v>1142</v>
      </c>
      <c r="C1149" s="83" t="s">
        <v>1156</v>
      </c>
      <c r="D1149" s="84">
        <v>8</v>
      </c>
      <c r="E1149" s="85">
        <f t="shared" si="121"/>
        <v>188.44409999999999</v>
      </c>
      <c r="F1149" s="106">
        <f t="shared" si="127"/>
        <v>2</v>
      </c>
      <c r="G1149" s="86"/>
      <c r="H1149" s="107">
        <f t="shared" si="122"/>
        <v>6.88</v>
      </c>
      <c r="I1149" s="107">
        <f t="shared" si="123"/>
        <v>1.1200000000000001</v>
      </c>
      <c r="J1149" s="87">
        <f>IF($D1149&gt;0,IFERROR(Параметры!$D$42*$H1149/$H$2408,0),0)</f>
        <v>120.20791878172589</v>
      </c>
      <c r="K1149" s="87">
        <f>IFERROR(ROUND($N1149*Параметры!$D$36,2),0)</f>
        <v>178.62</v>
      </c>
      <c r="L1149" s="87">
        <f t="shared" si="124"/>
        <v>9.8240999999999996</v>
      </c>
      <c r="M1149" s="87">
        <f t="shared" si="125"/>
        <v>11.526237057460476</v>
      </c>
      <c r="N1149" s="107">
        <f t="shared" si="126"/>
        <v>6</v>
      </c>
    </row>
    <row r="1150" spans="2:14" x14ac:dyDescent="0.25">
      <c r="B1150" s="82">
        <f>SUBTOTAL(103,$D$8:D1150)</f>
        <v>1143</v>
      </c>
      <c r="C1150" s="83" t="s">
        <v>1157</v>
      </c>
      <c r="D1150" s="84">
        <v>8</v>
      </c>
      <c r="E1150" s="85">
        <f t="shared" si="121"/>
        <v>188.44409999999999</v>
      </c>
      <c r="F1150" s="106">
        <f t="shared" si="127"/>
        <v>2</v>
      </c>
      <c r="G1150" s="86"/>
      <c r="H1150" s="107">
        <f t="shared" si="122"/>
        <v>6.88</v>
      </c>
      <c r="I1150" s="107">
        <f t="shared" si="123"/>
        <v>1.1200000000000001</v>
      </c>
      <c r="J1150" s="87">
        <f>IF($D1150&gt;0,IFERROR(Параметры!$D$42*$H1150/$H$2408,0),0)</f>
        <v>120.20791878172589</v>
      </c>
      <c r="K1150" s="87">
        <f>IFERROR(ROUND($N1150*Параметры!$D$36,2),0)</f>
        <v>178.62</v>
      </c>
      <c r="L1150" s="87">
        <f t="shared" si="124"/>
        <v>9.8240999999999996</v>
      </c>
      <c r="M1150" s="87">
        <f t="shared" si="125"/>
        <v>11.526237057460476</v>
      </c>
      <c r="N1150" s="107">
        <f t="shared" si="126"/>
        <v>6</v>
      </c>
    </row>
    <row r="1151" spans="2:14" x14ac:dyDescent="0.25">
      <c r="B1151" s="82">
        <f>SUBTOTAL(103,$D$8:D1151)</f>
        <v>1144</v>
      </c>
      <c r="C1151" s="83" t="s">
        <v>1158</v>
      </c>
      <c r="D1151" s="84">
        <v>8</v>
      </c>
      <c r="E1151" s="85">
        <f t="shared" si="121"/>
        <v>188.44409999999999</v>
      </c>
      <c r="F1151" s="106">
        <f t="shared" si="127"/>
        <v>2</v>
      </c>
      <c r="G1151" s="86"/>
      <c r="H1151" s="107">
        <f t="shared" si="122"/>
        <v>6.88</v>
      </c>
      <c r="I1151" s="107">
        <f t="shared" si="123"/>
        <v>1.1200000000000001</v>
      </c>
      <c r="J1151" s="87">
        <f>IF($D1151&gt;0,IFERROR(Параметры!$D$42*$H1151/$H$2408,0),0)</f>
        <v>120.20791878172589</v>
      </c>
      <c r="K1151" s="87">
        <f>IFERROR(ROUND($N1151*Параметры!$D$36,2),0)</f>
        <v>178.62</v>
      </c>
      <c r="L1151" s="87">
        <f t="shared" si="124"/>
        <v>9.8240999999999996</v>
      </c>
      <c r="M1151" s="87">
        <f t="shared" si="125"/>
        <v>11.526237057460476</v>
      </c>
      <c r="N1151" s="107">
        <f t="shared" si="126"/>
        <v>6</v>
      </c>
    </row>
    <row r="1152" spans="2:14" x14ac:dyDescent="0.25">
      <c r="B1152" s="82">
        <f>SUBTOTAL(103,$D$8:D1152)</f>
        <v>1145</v>
      </c>
      <c r="C1152" s="83" t="s">
        <v>1159</v>
      </c>
      <c r="D1152" s="84">
        <v>8</v>
      </c>
      <c r="E1152" s="85">
        <f t="shared" si="121"/>
        <v>188.44409999999999</v>
      </c>
      <c r="F1152" s="106">
        <f t="shared" si="127"/>
        <v>2</v>
      </c>
      <c r="G1152" s="86"/>
      <c r="H1152" s="107">
        <f t="shared" si="122"/>
        <v>6.88</v>
      </c>
      <c r="I1152" s="107">
        <f t="shared" si="123"/>
        <v>1.1200000000000001</v>
      </c>
      <c r="J1152" s="87">
        <f>IF($D1152&gt;0,IFERROR(Параметры!$D$42*$H1152/$H$2408,0),0)</f>
        <v>120.20791878172589</v>
      </c>
      <c r="K1152" s="87">
        <f>IFERROR(ROUND($N1152*Параметры!$D$36,2),0)</f>
        <v>178.62</v>
      </c>
      <c r="L1152" s="87">
        <f t="shared" si="124"/>
        <v>9.8240999999999996</v>
      </c>
      <c r="M1152" s="87">
        <f t="shared" si="125"/>
        <v>11.526237057460476</v>
      </c>
      <c r="N1152" s="107">
        <f t="shared" si="126"/>
        <v>6</v>
      </c>
    </row>
    <row r="1153" spans="2:14" x14ac:dyDescent="0.25">
      <c r="B1153" s="82">
        <f>SUBTOTAL(103,$D$8:D1153)</f>
        <v>1146</v>
      </c>
      <c r="C1153" s="83" t="s">
        <v>1160</v>
      </c>
      <c r="D1153" s="84">
        <v>8</v>
      </c>
      <c r="E1153" s="85">
        <f t="shared" si="121"/>
        <v>188.44409999999999</v>
      </c>
      <c r="F1153" s="106">
        <f t="shared" si="127"/>
        <v>2</v>
      </c>
      <c r="G1153" s="86"/>
      <c r="H1153" s="107">
        <f t="shared" si="122"/>
        <v>6.88</v>
      </c>
      <c r="I1153" s="107">
        <f t="shared" si="123"/>
        <v>1.1200000000000001</v>
      </c>
      <c r="J1153" s="87">
        <f>IF($D1153&gt;0,IFERROR(Параметры!$D$42*$H1153/$H$2408,0),0)</f>
        <v>120.20791878172589</v>
      </c>
      <c r="K1153" s="87">
        <f>IFERROR(ROUND($N1153*Параметры!$D$36,2),0)</f>
        <v>178.62</v>
      </c>
      <c r="L1153" s="87">
        <f t="shared" si="124"/>
        <v>9.8240999999999996</v>
      </c>
      <c r="M1153" s="87">
        <f t="shared" si="125"/>
        <v>11.526237057460476</v>
      </c>
      <c r="N1153" s="107">
        <f t="shared" si="126"/>
        <v>6</v>
      </c>
    </row>
    <row r="1154" spans="2:14" x14ac:dyDescent="0.25">
      <c r="B1154" s="82">
        <f>SUBTOTAL(103,$D$8:D1154)</f>
        <v>1147</v>
      </c>
      <c r="C1154" s="83" t="s">
        <v>1161</v>
      </c>
      <c r="D1154" s="84">
        <v>8</v>
      </c>
      <c r="E1154" s="85">
        <f t="shared" si="121"/>
        <v>188.44409999999999</v>
      </c>
      <c r="F1154" s="106">
        <f t="shared" si="127"/>
        <v>2</v>
      </c>
      <c r="G1154" s="86"/>
      <c r="H1154" s="107">
        <f t="shared" si="122"/>
        <v>6.88</v>
      </c>
      <c r="I1154" s="107">
        <f t="shared" si="123"/>
        <v>1.1200000000000001</v>
      </c>
      <c r="J1154" s="87">
        <f>IF($D1154&gt;0,IFERROR(Параметры!$D$42*$H1154/$H$2408,0),0)</f>
        <v>120.20791878172589</v>
      </c>
      <c r="K1154" s="87">
        <f>IFERROR(ROUND($N1154*Параметры!$D$36,2),0)</f>
        <v>178.62</v>
      </c>
      <c r="L1154" s="87">
        <f t="shared" si="124"/>
        <v>9.8240999999999996</v>
      </c>
      <c r="M1154" s="87">
        <f t="shared" si="125"/>
        <v>11.526237057460476</v>
      </c>
      <c r="N1154" s="107">
        <f t="shared" si="126"/>
        <v>6</v>
      </c>
    </row>
    <row r="1155" spans="2:14" x14ac:dyDescent="0.25">
      <c r="B1155" s="82">
        <f>SUBTOTAL(103,$D$8:D1155)</f>
        <v>1148</v>
      </c>
      <c r="C1155" s="83" t="s">
        <v>1162</v>
      </c>
      <c r="D1155" s="84">
        <v>8</v>
      </c>
      <c r="E1155" s="85">
        <f t="shared" si="121"/>
        <v>188.44409999999999</v>
      </c>
      <c r="F1155" s="106">
        <f t="shared" si="127"/>
        <v>2</v>
      </c>
      <c r="G1155" s="86"/>
      <c r="H1155" s="107">
        <f t="shared" si="122"/>
        <v>6.88</v>
      </c>
      <c r="I1155" s="107">
        <f t="shared" si="123"/>
        <v>1.1200000000000001</v>
      </c>
      <c r="J1155" s="87">
        <f>IF($D1155&gt;0,IFERROR(Параметры!$D$42*$H1155/$H$2408,0),0)</f>
        <v>120.20791878172589</v>
      </c>
      <c r="K1155" s="87">
        <f>IFERROR(ROUND($N1155*Параметры!$D$36,2),0)</f>
        <v>178.62</v>
      </c>
      <c r="L1155" s="87">
        <f t="shared" si="124"/>
        <v>9.8240999999999996</v>
      </c>
      <c r="M1155" s="87">
        <f t="shared" si="125"/>
        <v>11.526237057460476</v>
      </c>
      <c r="N1155" s="107">
        <f t="shared" si="126"/>
        <v>6</v>
      </c>
    </row>
    <row r="1156" spans="2:14" x14ac:dyDescent="0.25">
      <c r="B1156" s="82">
        <f>SUBTOTAL(103,$D$8:D1156)</f>
        <v>1149</v>
      </c>
      <c r="C1156" s="83" t="s">
        <v>1163</v>
      </c>
      <c r="D1156" s="84">
        <v>8</v>
      </c>
      <c r="E1156" s="85">
        <f t="shared" si="121"/>
        <v>188.44409999999999</v>
      </c>
      <c r="F1156" s="106">
        <f t="shared" si="127"/>
        <v>2</v>
      </c>
      <c r="G1156" s="86"/>
      <c r="H1156" s="107">
        <f t="shared" si="122"/>
        <v>6.88</v>
      </c>
      <c r="I1156" s="107">
        <f t="shared" si="123"/>
        <v>1.1200000000000001</v>
      </c>
      <c r="J1156" s="87">
        <f>IF($D1156&gt;0,IFERROR(Параметры!$D$42*$H1156/$H$2408,0),0)</f>
        <v>120.20791878172589</v>
      </c>
      <c r="K1156" s="87">
        <f>IFERROR(ROUND($N1156*Параметры!$D$36,2),0)</f>
        <v>178.62</v>
      </c>
      <c r="L1156" s="87">
        <f t="shared" si="124"/>
        <v>9.8240999999999996</v>
      </c>
      <c r="M1156" s="87">
        <f t="shared" si="125"/>
        <v>11.526237057460476</v>
      </c>
      <c r="N1156" s="107">
        <f t="shared" si="126"/>
        <v>6</v>
      </c>
    </row>
    <row r="1157" spans="2:14" x14ac:dyDescent="0.25">
      <c r="B1157" s="82">
        <f>SUBTOTAL(103,$D$8:D1157)</f>
        <v>1150</v>
      </c>
      <c r="C1157" s="83" t="s">
        <v>1164</v>
      </c>
      <c r="D1157" s="84">
        <v>8</v>
      </c>
      <c r="E1157" s="85">
        <f t="shared" si="121"/>
        <v>188.44409999999999</v>
      </c>
      <c r="F1157" s="106">
        <f t="shared" si="127"/>
        <v>2</v>
      </c>
      <c r="G1157" s="86"/>
      <c r="H1157" s="107">
        <f t="shared" si="122"/>
        <v>6.88</v>
      </c>
      <c r="I1157" s="107">
        <f t="shared" si="123"/>
        <v>1.1200000000000001</v>
      </c>
      <c r="J1157" s="87">
        <f>IF($D1157&gt;0,IFERROR(Параметры!$D$42*$H1157/$H$2408,0),0)</f>
        <v>120.20791878172589</v>
      </c>
      <c r="K1157" s="87">
        <f>IFERROR(ROUND($N1157*Параметры!$D$36,2),0)</f>
        <v>178.62</v>
      </c>
      <c r="L1157" s="87">
        <f t="shared" si="124"/>
        <v>9.8240999999999996</v>
      </c>
      <c r="M1157" s="87">
        <f t="shared" si="125"/>
        <v>11.526237057460476</v>
      </c>
      <c r="N1157" s="107">
        <f t="shared" si="126"/>
        <v>6</v>
      </c>
    </row>
    <row r="1158" spans="2:14" x14ac:dyDescent="0.25">
      <c r="B1158" s="82">
        <f>SUBTOTAL(103,$D$8:D1158)</f>
        <v>1151</v>
      </c>
      <c r="C1158" s="83" t="s">
        <v>1165</v>
      </c>
      <c r="D1158" s="84">
        <v>4</v>
      </c>
      <c r="E1158" s="85">
        <f t="shared" si="121"/>
        <v>62.814700000000002</v>
      </c>
      <c r="F1158" s="106">
        <f t="shared" si="127"/>
        <v>2</v>
      </c>
      <c r="G1158" s="86"/>
      <c r="H1158" s="107">
        <f t="shared" si="122"/>
        <v>3.44</v>
      </c>
      <c r="I1158" s="107">
        <f t="shared" si="123"/>
        <v>0.56000000000000005</v>
      </c>
      <c r="J1158" s="87">
        <f>IF($D1158&gt;0,IFERROR(Параметры!$D$42*$H1158/$H$2408,0),0)</f>
        <v>60.103959390862947</v>
      </c>
      <c r="K1158" s="87">
        <f>IFERROR(ROUND($N1158*Параметры!$D$36,2),0)</f>
        <v>59.54</v>
      </c>
      <c r="L1158" s="87">
        <f t="shared" si="124"/>
        <v>3.2747000000000002</v>
      </c>
      <c r="M1158" s="87">
        <f t="shared" si="125"/>
        <v>3.8420790191534921</v>
      </c>
      <c r="N1158" s="107">
        <f t="shared" si="126"/>
        <v>2</v>
      </c>
    </row>
    <row r="1159" spans="2:14" x14ac:dyDescent="0.25">
      <c r="B1159" s="82">
        <f>SUBTOTAL(103,$D$8:D1159)</f>
        <v>1152</v>
      </c>
      <c r="C1159" s="83" t="s">
        <v>1166</v>
      </c>
      <c r="D1159" s="84">
        <v>0</v>
      </c>
      <c r="E1159" s="85" t="str">
        <f t="shared" si="121"/>
        <v/>
      </c>
      <c r="F1159" s="106" t="str">
        <f t="shared" si="127"/>
        <v/>
      </c>
      <c r="G1159" s="86"/>
      <c r="H1159" s="107">
        <f t="shared" si="122"/>
        <v>0</v>
      </c>
      <c r="I1159" s="107">
        <f t="shared" si="123"/>
        <v>0</v>
      </c>
      <c r="J1159" s="87">
        <f>IF($D1159&gt;0,IFERROR(Параметры!$D$42*$H1159/$H$2408,0),0)</f>
        <v>0</v>
      </c>
      <c r="K1159" s="87">
        <f>IFERROR(ROUND($N1159*Параметры!$D$36,2),0)</f>
        <v>0</v>
      </c>
      <c r="L1159" s="87">
        <f t="shared" si="124"/>
        <v>0</v>
      </c>
      <c r="M1159" s="87">
        <f t="shared" si="125"/>
        <v>0</v>
      </c>
      <c r="N1159" s="107" t="str">
        <f t="shared" si="126"/>
        <v/>
      </c>
    </row>
    <row r="1160" spans="2:14" x14ac:dyDescent="0.25">
      <c r="B1160" s="82">
        <f>SUBTOTAL(103,$D$8:D1160)</f>
        <v>1153</v>
      </c>
      <c r="C1160" s="83" t="s">
        <v>1167</v>
      </c>
      <c r="D1160" s="84">
        <v>0</v>
      </c>
      <c r="E1160" s="85" t="str">
        <f t="shared" ref="E1160:E1223" si="128">IF($D1160&lt;1,"",$K1160+$L1160)</f>
        <v/>
      </c>
      <c r="F1160" s="106" t="str">
        <f t="shared" si="127"/>
        <v/>
      </c>
      <c r="G1160" s="86"/>
      <c r="H1160" s="107">
        <f t="shared" ref="H1160:H1223" si="129">IF($D1160&gt;0,$D1160*КИС,0)</f>
        <v>0</v>
      </c>
      <c r="I1160" s="107">
        <f t="shared" ref="I1160:I1223" si="130">IF($D1160&gt;0,$D1160-$H1160,0)</f>
        <v>0</v>
      </c>
      <c r="J1160" s="87">
        <f>IF($D1160&gt;0,IFERROR(Параметры!$D$42*$H1160/$H$2408,0),0)</f>
        <v>0</v>
      </c>
      <c r="K1160" s="87">
        <f>IFERROR(ROUND($N1160*Параметры!$D$36,2),0)</f>
        <v>0</v>
      </c>
      <c r="L1160" s="87">
        <f t="shared" ref="L1160:L1223" si="131">IF($K1160&gt;0,$K1160*0.055,0)</f>
        <v>0</v>
      </c>
      <c r="M1160" s="87">
        <f t="shared" ref="M1160:M1223" si="132">IFERROR($L1160/Плотность_ДТ,0)</f>
        <v>0</v>
      </c>
      <c r="N1160" s="107" t="str">
        <f t="shared" ref="N1160:N1223" si="133">IF($D1160&gt;0,MAX(0,$D1160-IF($F1160="",0,$F1160)),"")</f>
        <v/>
      </c>
    </row>
    <row r="1161" spans="2:14" x14ac:dyDescent="0.25">
      <c r="B1161" s="82">
        <f>SUBTOTAL(103,$D$8:D1161)</f>
        <v>1154</v>
      </c>
      <c r="C1161" s="83" t="s">
        <v>1168</v>
      </c>
      <c r="D1161" s="84">
        <v>0</v>
      </c>
      <c r="E1161" s="85" t="str">
        <f t="shared" si="128"/>
        <v/>
      </c>
      <c r="F1161" s="106" t="str">
        <f t="shared" si="127"/>
        <v/>
      </c>
      <c r="G1161" s="86"/>
      <c r="H1161" s="107">
        <f t="shared" si="129"/>
        <v>0</v>
      </c>
      <c r="I1161" s="107">
        <f t="shared" si="130"/>
        <v>0</v>
      </c>
      <c r="J1161" s="87">
        <f>IF($D1161&gt;0,IFERROR(Параметры!$D$42*$H1161/$H$2408,0),0)</f>
        <v>0</v>
      </c>
      <c r="K1161" s="87">
        <f>IFERROR(ROUND($N1161*Параметры!$D$36,2),0)</f>
        <v>0</v>
      </c>
      <c r="L1161" s="87">
        <f t="shared" si="131"/>
        <v>0</v>
      </c>
      <c r="M1161" s="87">
        <f t="shared" si="132"/>
        <v>0</v>
      </c>
      <c r="N1161" s="107" t="str">
        <f t="shared" si="133"/>
        <v/>
      </c>
    </row>
    <row r="1162" spans="2:14" x14ac:dyDescent="0.25">
      <c r="B1162" s="82">
        <f>SUBTOTAL(103,$D$8:D1162)</f>
        <v>1155</v>
      </c>
      <c r="C1162" s="83" t="s">
        <v>1169</v>
      </c>
      <c r="D1162" s="84">
        <v>0</v>
      </c>
      <c r="E1162" s="85" t="str">
        <f t="shared" si="128"/>
        <v/>
      </c>
      <c r="F1162" s="106" t="str">
        <f t="shared" si="127"/>
        <v/>
      </c>
      <c r="G1162" s="86"/>
      <c r="H1162" s="107">
        <f t="shared" si="129"/>
        <v>0</v>
      </c>
      <c r="I1162" s="107">
        <f t="shared" si="130"/>
        <v>0</v>
      </c>
      <c r="J1162" s="87">
        <f>IF($D1162&gt;0,IFERROR(Параметры!$D$42*$H1162/$H$2408,0),0)</f>
        <v>0</v>
      </c>
      <c r="K1162" s="87">
        <f>IFERROR(ROUND($N1162*Параметры!$D$36,2),0)</f>
        <v>0</v>
      </c>
      <c r="L1162" s="87">
        <f t="shared" si="131"/>
        <v>0</v>
      </c>
      <c r="M1162" s="87">
        <f t="shared" si="132"/>
        <v>0</v>
      </c>
      <c r="N1162" s="107" t="str">
        <f t="shared" si="133"/>
        <v/>
      </c>
    </row>
    <row r="1163" spans="2:14" x14ac:dyDescent="0.25">
      <c r="B1163" s="82">
        <f>SUBTOTAL(103,$D$8:D1163)</f>
        <v>1156</v>
      </c>
      <c r="C1163" s="83" t="s">
        <v>1170</v>
      </c>
      <c r="D1163" s="84">
        <v>0</v>
      </c>
      <c r="E1163" s="85" t="str">
        <f t="shared" si="128"/>
        <v/>
      </c>
      <c r="F1163" s="106" t="str">
        <f t="shared" ref="F1163:F1226" si="134">IF(D1163&gt;0,2,"")</f>
        <v/>
      </c>
      <c r="G1163" s="86"/>
      <c r="H1163" s="107">
        <f t="shared" si="129"/>
        <v>0</v>
      </c>
      <c r="I1163" s="107">
        <f t="shared" si="130"/>
        <v>0</v>
      </c>
      <c r="J1163" s="87">
        <f>IF($D1163&gt;0,IFERROR(Параметры!$D$42*$H1163/$H$2408,0),0)</f>
        <v>0</v>
      </c>
      <c r="K1163" s="87">
        <f>IFERROR(ROUND($N1163*Параметры!$D$36,2),0)</f>
        <v>0</v>
      </c>
      <c r="L1163" s="87">
        <f t="shared" si="131"/>
        <v>0</v>
      </c>
      <c r="M1163" s="87">
        <f t="shared" si="132"/>
        <v>0</v>
      </c>
      <c r="N1163" s="107" t="str">
        <f t="shared" si="133"/>
        <v/>
      </c>
    </row>
    <row r="1164" spans="2:14" x14ac:dyDescent="0.25">
      <c r="B1164" s="82">
        <f>SUBTOTAL(103,$D$8:D1164)</f>
        <v>1157</v>
      </c>
      <c r="C1164" s="83" t="s">
        <v>1171</v>
      </c>
      <c r="D1164" s="84">
        <v>0</v>
      </c>
      <c r="E1164" s="85" t="str">
        <f t="shared" si="128"/>
        <v/>
      </c>
      <c r="F1164" s="106" t="str">
        <f t="shared" si="134"/>
        <v/>
      </c>
      <c r="G1164" s="86"/>
      <c r="H1164" s="107">
        <f t="shared" si="129"/>
        <v>0</v>
      </c>
      <c r="I1164" s="107">
        <f t="shared" si="130"/>
        <v>0</v>
      </c>
      <c r="J1164" s="87">
        <f>IF($D1164&gt;0,IFERROR(Параметры!$D$42*$H1164/$H$2408,0),0)</f>
        <v>0</v>
      </c>
      <c r="K1164" s="87">
        <f>IFERROR(ROUND($N1164*Параметры!$D$36,2),0)</f>
        <v>0</v>
      </c>
      <c r="L1164" s="87">
        <f t="shared" si="131"/>
        <v>0</v>
      </c>
      <c r="M1164" s="87">
        <f t="shared" si="132"/>
        <v>0</v>
      </c>
      <c r="N1164" s="107" t="str">
        <f t="shared" si="133"/>
        <v/>
      </c>
    </row>
    <row r="1165" spans="2:14" x14ac:dyDescent="0.25">
      <c r="B1165" s="82">
        <f>SUBTOTAL(103,$D$8:D1165)</f>
        <v>1158</v>
      </c>
      <c r="C1165" s="83" t="s">
        <v>1172</v>
      </c>
      <c r="D1165" s="84">
        <v>0</v>
      </c>
      <c r="E1165" s="85" t="str">
        <f t="shared" si="128"/>
        <v/>
      </c>
      <c r="F1165" s="106" t="str">
        <f t="shared" si="134"/>
        <v/>
      </c>
      <c r="G1165" s="86"/>
      <c r="H1165" s="107">
        <f t="shared" si="129"/>
        <v>0</v>
      </c>
      <c r="I1165" s="107">
        <f t="shared" si="130"/>
        <v>0</v>
      </c>
      <c r="J1165" s="87">
        <f>IF($D1165&gt;0,IFERROR(Параметры!$D$42*$H1165/$H$2408,0),0)</f>
        <v>0</v>
      </c>
      <c r="K1165" s="87">
        <f>IFERROR(ROUND($N1165*Параметры!$D$36,2),0)</f>
        <v>0</v>
      </c>
      <c r="L1165" s="87">
        <f t="shared" si="131"/>
        <v>0</v>
      </c>
      <c r="M1165" s="87">
        <f t="shared" si="132"/>
        <v>0</v>
      </c>
      <c r="N1165" s="107" t="str">
        <f t="shared" si="133"/>
        <v/>
      </c>
    </row>
    <row r="1166" spans="2:14" x14ac:dyDescent="0.25">
      <c r="B1166" s="82">
        <f>SUBTOTAL(103,$D$8:D1166)</f>
        <v>1159</v>
      </c>
      <c r="C1166" s="83" t="s">
        <v>1173</v>
      </c>
      <c r="D1166" s="84">
        <v>0</v>
      </c>
      <c r="E1166" s="85" t="str">
        <f t="shared" si="128"/>
        <v/>
      </c>
      <c r="F1166" s="106" t="str">
        <f t="shared" si="134"/>
        <v/>
      </c>
      <c r="G1166" s="86"/>
      <c r="H1166" s="107">
        <f t="shared" si="129"/>
        <v>0</v>
      </c>
      <c r="I1166" s="107">
        <f t="shared" si="130"/>
        <v>0</v>
      </c>
      <c r="J1166" s="87">
        <f>IF($D1166&gt;0,IFERROR(Параметры!$D$42*$H1166/$H$2408,0),0)</f>
        <v>0</v>
      </c>
      <c r="K1166" s="87">
        <f>IFERROR(ROUND($N1166*Параметры!$D$36,2),0)</f>
        <v>0</v>
      </c>
      <c r="L1166" s="87">
        <f t="shared" si="131"/>
        <v>0</v>
      </c>
      <c r="M1166" s="87">
        <f t="shared" si="132"/>
        <v>0</v>
      </c>
      <c r="N1166" s="107" t="str">
        <f t="shared" si="133"/>
        <v/>
      </c>
    </row>
    <row r="1167" spans="2:14" x14ac:dyDescent="0.25">
      <c r="B1167" s="82">
        <f>SUBTOTAL(103,$D$8:D1167)</f>
        <v>1160</v>
      </c>
      <c r="C1167" s="83" t="s">
        <v>1172</v>
      </c>
      <c r="D1167" s="84">
        <v>0</v>
      </c>
      <c r="E1167" s="85" t="str">
        <f t="shared" si="128"/>
        <v/>
      </c>
      <c r="F1167" s="106" t="str">
        <f t="shared" si="134"/>
        <v/>
      </c>
      <c r="G1167" s="86"/>
      <c r="H1167" s="107">
        <f t="shared" si="129"/>
        <v>0</v>
      </c>
      <c r="I1167" s="107">
        <f t="shared" si="130"/>
        <v>0</v>
      </c>
      <c r="J1167" s="87">
        <f>IF($D1167&gt;0,IFERROR(Параметры!$D$42*$H1167/$H$2408,0),0)</f>
        <v>0</v>
      </c>
      <c r="K1167" s="87">
        <f>IFERROR(ROUND($N1167*Параметры!$D$36,2),0)</f>
        <v>0</v>
      </c>
      <c r="L1167" s="87">
        <f t="shared" si="131"/>
        <v>0</v>
      </c>
      <c r="M1167" s="87">
        <f t="shared" si="132"/>
        <v>0</v>
      </c>
      <c r="N1167" s="107" t="str">
        <f t="shared" si="133"/>
        <v/>
      </c>
    </row>
    <row r="1168" spans="2:14" x14ac:dyDescent="0.25">
      <c r="B1168" s="82">
        <f>SUBTOTAL(103,$D$8:D1168)</f>
        <v>1161</v>
      </c>
      <c r="C1168" s="83" t="s">
        <v>1174</v>
      </c>
      <c r="D1168" s="84">
        <v>0</v>
      </c>
      <c r="E1168" s="85" t="str">
        <f t="shared" si="128"/>
        <v/>
      </c>
      <c r="F1168" s="106" t="str">
        <f t="shared" si="134"/>
        <v/>
      </c>
      <c r="G1168" s="86"/>
      <c r="H1168" s="107">
        <f t="shared" si="129"/>
        <v>0</v>
      </c>
      <c r="I1168" s="107">
        <f t="shared" si="130"/>
        <v>0</v>
      </c>
      <c r="J1168" s="87">
        <f>IF($D1168&gt;0,IFERROR(Параметры!$D$42*$H1168/$H$2408,0),0)</f>
        <v>0</v>
      </c>
      <c r="K1168" s="87">
        <f>IFERROR(ROUND($N1168*Параметры!$D$36,2),0)</f>
        <v>0</v>
      </c>
      <c r="L1168" s="87">
        <f t="shared" si="131"/>
        <v>0</v>
      </c>
      <c r="M1168" s="87">
        <f t="shared" si="132"/>
        <v>0</v>
      </c>
      <c r="N1168" s="107" t="str">
        <f t="shared" si="133"/>
        <v/>
      </c>
    </row>
    <row r="1169" spans="2:14" x14ac:dyDescent="0.25">
      <c r="B1169" s="82">
        <f>SUBTOTAL(103,$D$8:D1169)</f>
        <v>1162</v>
      </c>
      <c r="C1169" s="83" t="s">
        <v>1175</v>
      </c>
      <c r="D1169" s="84">
        <v>0</v>
      </c>
      <c r="E1169" s="85" t="str">
        <f t="shared" si="128"/>
        <v/>
      </c>
      <c r="F1169" s="106" t="str">
        <f t="shared" si="134"/>
        <v/>
      </c>
      <c r="G1169" s="86"/>
      <c r="H1169" s="107">
        <f t="shared" si="129"/>
        <v>0</v>
      </c>
      <c r="I1169" s="107">
        <f t="shared" si="130"/>
        <v>0</v>
      </c>
      <c r="J1169" s="87">
        <f>IF($D1169&gt;0,IFERROR(Параметры!$D$42*$H1169/$H$2408,0),0)</f>
        <v>0</v>
      </c>
      <c r="K1169" s="87">
        <f>IFERROR(ROUND($N1169*Параметры!$D$36,2),0)</f>
        <v>0</v>
      </c>
      <c r="L1169" s="87">
        <f t="shared" si="131"/>
        <v>0</v>
      </c>
      <c r="M1169" s="87">
        <f t="shared" si="132"/>
        <v>0</v>
      </c>
      <c r="N1169" s="107" t="str">
        <f t="shared" si="133"/>
        <v/>
      </c>
    </row>
    <row r="1170" spans="2:14" x14ac:dyDescent="0.25">
      <c r="B1170" s="82">
        <f>SUBTOTAL(103,$D$8:D1170)</f>
        <v>1163</v>
      </c>
      <c r="C1170" s="83" t="s">
        <v>1176</v>
      </c>
      <c r="D1170" s="84">
        <v>0</v>
      </c>
      <c r="E1170" s="85" t="str">
        <f t="shared" si="128"/>
        <v/>
      </c>
      <c r="F1170" s="106" t="str">
        <f t="shared" si="134"/>
        <v/>
      </c>
      <c r="G1170" s="86"/>
      <c r="H1170" s="107">
        <f t="shared" si="129"/>
        <v>0</v>
      </c>
      <c r="I1170" s="107">
        <f t="shared" si="130"/>
        <v>0</v>
      </c>
      <c r="J1170" s="87">
        <f>IF($D1170&gt;0,IFERROR(Параметры!$D$42*$H1170/$H$2408,0),0)</f>
        <v>0</v>
      </c>
      <c r="K1170" s="87">
        <f>IFERROR(ROUND($N1170*Параметры!$D$36,2),0)</f>
        <v>0</v>
      </c>
      <c r="L1170" s="87">
        <f t="shared" si="131"/>
        <v>0</v>
      </c>
      <c r="M1170" s="87">
        <f t="shared" si="132"/>
        <v>0</v>
      </c>
      <c r="N1170" s="107" t="str">
        <f t="shared" si="133"/>
        <v/>
      </c>
    </row>
    <row r="1171" spans="2:14" x14ac:dyDescent="0.25">
      <c r="B1171" s="82">
        <f>SUBTOTAL(103,$D$8:D1171)</f>
        <v>1164</v>
      </c>
      <c r="C1171" s="83" t="s">
        <v>1177</v>
      </c>
      <c r="D1171" s="84">
        <v>0</v>
      </c>
      <c r="E1171" s="85" t="str">
        <f t="shared" si="128"/>
        <v/>
      </c>
      <c r="F1171" s="106" t="str">
        <f t="shared" si="134"/>
        <v/>
      </c>
      <c r="G1171" s="86"/>
      <c r="H1171" s="107">
        <f t="shared" si="129"/>
        <v>0</v>
      </c>
      <c r="I1171" s="107">
        <f t="shared" si="130"/>
        <v>0</v>
      </c>
      <c r="J1171" s="87">
        <f>IF($D1171&gt;0,IFERROR(Параметры!$D$42*$H1171/$H$2408,0),0)</f>
        <v>0</v>
      </c>
      <c r="K1171" s="87">
        <f>IFERROR(ROUND($N1171*Параметры!$D$36,2),0)</f>
        <v>0</v>
      </c>
      <c r="L1171" s="87">
        <f t="shared" si="131"/>
        <v>0</v>
      </c>
      <c r="M1171" s="87">
        <f t="shared" si="132"/>
        <v>0</v>
      </c>
      <c r="N1171" s="107" t="str">
        <f t="shared" si="133"/>
        <v/>
      </c>
    </row>
    <row r="1172" spans="2:14" x14ac:dyDescent="0.25">
      <c r="B1172" s="82">
        <f>SUBTOTAL(103,$D$8:D1172)</f>
        <v>1165</v>
      </c>
      <c r="C1172" s="83" t="s">
        <v>1178</v>
      </c>
      <c r="D1172" s="84">
        <v>0</v>
      </c>
      <c r="E1172" s="85" t="str">
        <f t="shared" si="128"/>
        <v/>
      </c>
      <c r="F1172" s="106" t="str">
        <f t="shared" si="134"/>
        <v/>
      </c>
      <c r="G1172" s="86"/>
      <c r="H1172" s="107">
        <f t="shared" si="129"/>
        <v>0</v>
      </c>
      <c r="I1172" s="107">
        <f t="shared" si="130"/>
        <v>0</v>
      </c>
      <c r="J1172" s="87">
        <f>IF($D1172&gt;0,IFERROR(Параметры!$D$42*$H1172/$H$2408,0),0)</f>
        <v>0</v>
      </c>
      <c r="K1172" s="87">
        <f>IFERROR(ROUND($N1172*Параметры!$D$36,2),0)</f>
        <v>0</v>
      </c>
      <c r="L1172" s="87">
        <f t="shared" si="131"/>
        <v>0</v>
      </c>
      <c r="M1172" s="87">
        <f t="shared" si="132"/>
        <v>0</v>
      </c>
      <c r="N1172" s="107" t="str">
        <f t="shared" si="133"/>
        <v/>
      </c>
    </row>
    <row r="1173" spans="2:14" x14ac:dyDescent="0.25">
      <c r="B1173" s="82">
        <f>SUBTOTAL(103,$D$8:D1173)</f>
        <v>1166</v>
      </c>
      <c r="C1173" s="83" t="s">
        <v>1179</v>
      </c>
      <c r="D1173" s="84">
        <v>0</v>
      </c>
      <c r="E1173" s="85" t="str">
        <f t="shared" si="128"/>
        <v/>
      </c>
      <c r="F1173" s="106" t="str">
        <f t="shared" si="134"/>
        <v/>
      </c>
      <c r="G1173" s="86"/>
      <c r="H1173" s="107">
        <f t="shared" si="129"/>
        <v>0</v>
      </c>
      <c r="I1173" s="107">
        <f t="shared" si="130"/>
        <v>0</v>
      </c>
      <c r="J1173" s="87">
        <f>IF($D1173&gt;0,IFERROR(Параметры!$D$42*$H1173/$H$2408,0),0)</f>
        <v>0</v>
      </c>
      <c r="K1173" s="87">
        <f>IFERROR(ROUND($N1173*Параметры!$D$36,2),0)</f>
        <v>0</v>
      </c>
      <c r="L1173" s="87">
        <f t="shared" si="131"/>
        <v>0</v>
      </c>
      <c r="M1173" s="87">
        <f t="shared" si="132"/>
        <v>0</v>
      </c>
      <c r="N1173" s="107" t="str">
        <f t="shared" si="133"/>
        <v/>
      </c>
    </row>
    <row r="1174" spans="2:14" x14ac:dyDescent="0.25">
      <c r="B1174" s="82">
        <f>SUBTOTAL(103,$D$8:D1174)</f>
        <v>1167</v>
      </c>
      <c r="C1174" s="83" t="s">
        <v>1180</v>
      </c>
      <c r="D1174" s="84">
        <v>0</v>
      </c>
      <c r="E1174" s="85" t="str">
        <f t="shared" si="128"/>
        <v/>
      </c>
      <c r="F1174" s="106" t="str">
        <f t="shared" si="134"/>
        <v/>
      </c>
      <c r="G1174" s="86"/>
      <c r="H1174" s="107">
        <f t="shared" si="129"/>
        <v>0</v>
      </c>
      <c r="I1174" s="107">
        <f t="shared" si="130"/>
        <v>0</v>
      </c>
      <c r="J1174" s="87">
        <f>IF($D1174&gt;0,IFERROR(Параметры!$D$42*$H1174/$H$2408,0),0)</f>
        <v>0</v>
      </c>
      <c r="K1174" s="87">
        <f>IFERROR(ROUND($N1174*Параметры!$D$36,2),0)</f>
        <v>0</v>
      </c>
      <c r="L1174" s="87">
        <f t="shared" si="131"/>
        <v>0</v>
      </c>
      <c r="M1174" s="87">
        <f t="shared" si="132"/>
        <v>0</v>
      </c>
      <c r="N1174" s="107" t="str">
        <f t="shared" si="133"/>
        <v/>
      </c>
    </row>
    <row r="1175" spans="2:14" x14ac:dyDescent="0.25">
      <c r="B1175" s="82">
        <f>SUBTOTAL(103,$D$8:D1175)</f>
        <v>1168</v>
      </c>
      <c r="C1175" s="83" t="s">
        <v>1181</v>
      </c>
      <c r="D1175" s="84">
        <v>0</v>
      </c>
      <c r="E1175" s="85" t="str">
        <f t="shared" si="128"/>
        <v/>
      </c>
      <c r="F1175" s="106" t="str">
        <f t="shared" si="134"/>
        <v/>
      </c>
      <c r="G1175" s="86"/>
      <c r="H1175" s="107">
        <f t="shared" si="129"/>
        <v>0</v>
      </c>
      <c r="I1175" s="107">
        <f t="shared" si="130"/>
        <v>0</v>
      </c>
      <c r="J1175" s="87">
        <f>IF($D1175&gt;0,IFERROR(Параметры!$D$42*$H1175/$H$2408,0),0)</f>
        <v>0</v>
      </c>
      <c r="K1175" s="87">
        <f>IFERROR(ROUND($N1175*Параметры!$D$36,2),0)</f>
        <v>0</v>
      </c>
      <c r="L1175" s="87">
        <f t="shared" si="131"/>
        <v>0</v>
      </c>
      <c r="M1175" s="87">
        <f t="shared" si="132"/>
        <v>0</v>
      </c>
      <c r="N1175" s="107" t="str">
        <f t="shared" si="133"/>
        <v/>
      </c>
    </row>
    <row r="1176" spans="2:14" x14ac:dyDescent="0.25">
      <c r="B1176" s="82">
        <f>SUBTOTAL(103,$D$8:D1176)</f>
        <v>1169</v>
      </c>
      <c r="C1176" s="83" t="s">
        <v>1182</v>
      </c>
      <c r="D1176" s="84">
        <v>0</v>
      </c>
      <c r="E1176" s="85" t="str">
        <f t="shared" si="128"/>
        <v/>
      </c>
      <c r="F1176" s="106" t="str">
        <f t="shared" si="134"/>
        <v/>
      </c>
      <c r="G1176" s="86"/>
      <c r="H1176" s="107">
        <f t="shared" si="129"/>
        <v>0</v>
      </c>
      <c r="I1176" s="107">
        <f t="shared" si="130"/>
        <v>0</v>
      </c>
      <c r="J1176" s="87">
        <f>IF($D1176&gt;0,IFERROR(Параметры!$D$42*$H1176/$H$2408,0),0)</f>
        <v>0</v>
      </c>
      <c r="K1176" s="87">
        <f>IFERROR(ROUND($N1176*Параметры!$D$36,2),0)</f>
        <v>0</v>
      </c>
      <c r="L1176" s="87">
        <f t="shared" si="131"/>
        <v>0</v>
      </c>
      <c r="M1176" s="87">
        <f t="shared" si="132"/>
        <v>0</v>
      </c>
      <c r="N1176" s="107" t="str">
        <f t="shared" si="133"/>
        <v/>
      </c>
    </row>
    <row r="1177" spans="2:14" x14ac:dyDescent="0.25">
      <c r="B1177" s="82">
        <f>SUBTOTAL(103,$D$8:D1177)</f>
        <v>1170</v>
      </c>
      <c r="C1177" s="83" t="s">
        <v>1183</v>
      </c>
      <c r="D1177" s="84">
        <v>0</v>
      </c>
      <c r="E1177" s="85" t="str">
        <f t="shared" si="128"/>
        <v/>
      </c>
      <c r="F1177" s="106" t="str">
        <f t="shared" si="134"/>
        <v/>
      </c>
      <c r="G1177" s="86"/>
      <c r="H1177" s="107">
        <f t="shared" si="129"/>
        <v>0</v>
      </c>
      <c r="I1177" s="107">
        <f t="shared" si="130"/>
        <v>0</v>
      </c>
      <c r="J1177" s="87">
        <f>IF($D1177&gt;0,IFERROR(Параметры!$D$42*$H1177/$H$2408,0),0)</f>
        <v>0</v>
      </c>
      <c r="K1177" s="87">
        <f>IFERROR(ROUND($N1177*Параметры!$D$36,2),0)</f>
        <v>0</v>
      </c>
      <c r="L1177" s="87">
        <f t="shared" si="131"/>
        <v>0</v>
      </c>
      <c r="M1177" s="87">
        <f t="shared" si="132"/>
        <v>0</v>
      </c>
      <c r="N1177" s="107" t="str">
        <f t="shared" si="133"/>
        <v/>
      </c>
    </row>
    <row r="1178" spans="2:14" x14ac:dyDescent="0.25">
      <c r="B1178" s="82">
        <f>SUBTOTAL(103,$D$8:D1178)</f>
        <v>1171</v>
      </c>
      <c r="C1178" s="83" t="s">
        <v>1184</v>
      </c>
      <c r="D1178" s="84">
        <v>0</v>
      </c>
      <c r="E1178" s="85" t="str">
        <f t="shared" si="128"/>
        <v/>
      </c>
      <c r="F1178" s="106" t="str">
        <f t="shared" si="134"/>
        <v/>
      </c>
      <c r="G1178" s="86"/>
      <c r="H1178" s="107">
        <f t="shared" si="129"/>
        <v>0</v>
      </c>
      <c r="I1178" s="107">
        <f t="shared" si="130"/>
        <v>0</v>
      </c>
      <c r="J1178" s="87">
        <f>IF($D1178&gt;0,IFERROR(Параметры!$D$42*$H1178/$H$2408,0),0)</f>
        <v>0</v>
      </c>
      <c r="K1178" s="87">
        <f>IFERROR(ROUND($N1178*Параметры!$D$36,2),0)</f>
        <v>0</v>
      </c>
      <c r="L1178" s="87">
        <f t="shared" si="131"/>
        <v>0</v>
      </c>
      <c r="M1178" s="87">
        <f t="shared" si="132"/>
        <v>0</v>
      </c>
      <c r="N1178" s="107" t="str">
        <f t="shared" si="133"/>
        <v/>
      </c>
    </row>
    <row r="1179" spans="2:14" x14ac:dyDescent="0.25">
      <c r="B1179" s="82">
        <f>SUBTOTAL(103,$D$8:D1179)</f>
        <v>1172</v>
      </c>
      <c r="C1179" s="83" t="s">
        <v>1185</v>
      </c>
      <c r="D1179" s="84">
        <v>0</v>
      </c>
      <c r="E1179" s="85" t="str">
        <f t="shared" si="128"/>
        <v/>
      </c>
      <c r="F1179" s="106" t="str">
        <f t="shared" si="134"/>
        <v/>
      </c>
      <c r="G1179" s="86"/>
      <c r="H1179" s="107">
        <f t="shared" si="129"/>
        <v>0</v>
      </c>
      <c r="I1179" s="107">
        <f t="shared" si="130"/>
        <v>0</v>
      </c>
      <c r="J1179" s="87">
        <f>IF($D1179&gt;0,IFERROR(Параметры!$D$42*$H1179/$H$2408,0),0)</f>
        <v>0</v>
      </c>
      <c r="K1179" s="87">
        <f>IFERROR(ROUND($N1179*Параметры!$D$36,2),0)</f>
        <v>0</v>
      </c>
      <c r="L1179" s="87">
        <f t="shared" si="131"/>
        <v>0</v>
      </c>
      <c r="M1179" s="87">
        <f t="shared" si="132"/>
        <v>0</v>
      </c>
      <c r="N1179" s="107" t="str">
        <f t="shared" si="133"/>
        <v/>
      </c>
    </row>
    <row r="1180" spans="2:14" x14ac:dyDescent="0.25">
      <c r="B1180" s="82">
        <f>SUBTOTAL(103,$D$8:D1180)</f>
        <v>1173</v>
      </c>
      <c r="C1180" s="83" t="s">
        <v>1186</v>
      </c>
      <c r="D1180" s="84">
        <v>0</v>
      </c>
      <c r="E1180" s="85" t="str">
        <f t="shared" si="128"/>
        <v/>
      </c>
      <c r="F1180" s="106" t="str">
        <f t="shared" si="134"/>
        <v/>
      </c>
      <c r="G1180" s="86"/>
      <c r="H1180" s="107">
        <f t="shared" si="129"/>
        <v>0</v>
      </c>
      <c r="I1180" s="107">
        <f t="shared" si="130"/>
        <v>0</v>
      </c>
      <c r="J1180" s="87">
        <f>IF($D1180&gt;0,IFERROR(Параметры!$D$42*$H1180/$H$2408,0),0)</f>
        <v>0</v>
      </c>
      <c r="K1180" s="87">
        <f>IFERROR(ROUND($N1180*Параметры!$D$36,2),0)</f>
        <v>0</v>
      </c>
      <c r="L1180" s="87">
        <f t="shared" si="131"/>
        <v>0</v>
      </c>
      <c r="M1180" s="87">
        <f t="shared" si="132"/>
        <v>0</v>
      </c>
      <c r="N1180" s="107" t="str">
        <f t="shared" si="133"/>
        <v/>
      </c>
    </row>
    <row r="1181" spans="2:14" x14ac:dyDescent="0.25">
      <c r="B1181" s="82">
        <f>SUBTOTAL(103,$D$8:D1181)</f>
        <v>1174</v>
      </c>
      <c r="C1181" s="83" t="s">
        <v>1187</v>
      </c>
      <c r="D1181" s="84">
        <v>0</v>
      </c>
      <c r="E1181" s="85" t="str">
        <f t="shared" si="128"/>
        <v/>
      </c>
      <c r="F1181" s="106" t="str">
        <f t="shared" si="134"/>
        <v/>
      </c>
      <c r="G1181" s="86"/>
      <c r="H1181" s="107">
        <f t="shared" si="129"/>
        <v>0</v>
      </c>
      <c r="I1181" s="107">
        <f t="shared" si="130"/>
        <v>0</v>
      </c>
      <c r="J1181" s="87">
        <f>IF($D1181&gt;0,IFERROR(Параметры!$D$42*$H1181/$H$2408,0),0)</f>
        <v>0</v>
      </c>
      <c r="K1181" s="87">
        <f>IFERROR(ROUND($N1181*Параметры!$D$36,2),0)</f>
        <v>0</v>
      </c>
      <c r="L1181" s="87">
        <f t="shared" si="131"/>
        <v>0</v>
      </c>
      <c r="M1181" s="87">
        <f t="shared" si="132"/>
        <v>0</v>
      </c>
      <c r="N1181" s="107" t="str">
        <f t="shared" si="133"/>
        <v/>
      </c>
    </row>
    <row r="1182" spans="2:14" x14ac:dyDescent="0.25">
      <c r="B1182" s="82">
        <f>SUBTOTAL(103,$D$8:D1182)</f>
        <v>1175</v>
      </c>
      <c r="C1182" s="83" t="s">
        <v>1188</v>
      </c>
      <c r="D1182" s="84">
        <v>0</v>
      </c>
      <c r="E1182" s="85" t="str">
        <f t="shared" si="128"/>
        <v/>
      </c>
      <c r="F1182" s="106" t="str">
        <f t="shared" si="134"/>
        <v/>
      </c>
      <c r="G1182" s="86"/>
      <c r="H1182" s="107">
        <f t="shared" si="129"/>
        <v>0</v>
      </c>
      <c r="I1182" s="107">
        <f t="shared" si="130"/>
        <v>0</v>
      </c>
      <c r="J1182" s="87">
        <f>IF($D1182&gt;0,IFERROR(Параметры!$D$42*$H1182/$H$2408,0),0)</f>
        <v>0</v>
      </c>
      <c r="K1182" s="87">
        <f>IFERROR(ROUND($N1182*Параметры!$D$36,2),0)</f>
        <v>0</v>
      </c>
      <c r="L1182" s="87">
        <f t="shared" si="131"/>
        <v>0</v>
      </c>
      <c r="M1182" s="87">
        <f t="shared" si="132"/>
        <v>0</v>
      </c>
      <c r="N1182" s="107" t="str">
        <f t="shared" si="133"/>
        <v/>
      </c>
    </row>
    <row r="1183" spans="2:14" x14ac:dyDescent="0.25">
      <c r="B1183" s="82">
        <f>SUBTOTAL(103,$D$8:D1183)</f>
        <v>1176</v>
      </c>
      <c r="C1183" s="83" t="s">
        <v>1189</v>
      </c>
      <c r="D1183" s="84">
        <v>0</v>
      </c>
      <c r="E1183" s="85" t="str">
        <f t="shared" si="128"/>
        <v/>
      </c>
      <c r="F1183" s="106" t="str">
        <f t="shared" si="134"/>
        <v/>
      </c>
      <c r="G1183" s="86"/>
      <c r="H1183" s="107">
        <f t="shared" si="129"/>
        <v>0</v>
      </c>
      <c r="I1183" s="107">
        <f t="shared" si="130"/>
        <v>0</v>
      </c>
      <c r="J1183" s="87">
        <f>IF($D1183&gt;0,IFERROR(Параметры!$D$42*$H1183/$H$2408,0),0)</f>
        <v>0</v>
      </c>
      <c r="K1183" s="87">
        <f>IFERROR(ROUND($N1183*Параметры!$D$36,2),0)</f>
        <v>0</v>
      </c>
      <c r="L1183" s="87">
        <f t="shared" si="131"/>
        <v>0</v>
      </c>
      <c r="M1183" s="87">
        <f t="shared" si="132"/>
        <v>0</v>
      </c>
      <c r="N1183" s="107" t="str">
        <f t="shared" si="133"/>
        <v/>
      </c>
    </row>
    <row r="1184" spans="2:14" x14ac:dyDescent="0.25">
      <c r="B1184" s="82">
        <f>SUBTOTAL(103,$D$8:D1184)</f>
        <v>1177</v>
      </c>
      <c r="C1184" s="83" t="s">
        <v>1190</v>
      </c>
      <c r="D1184" s="84">
        <v>0</v>
      </c>
      <c r="E1184" s="85" t="str">
        <f t="shared" si="128"/>
        <v/>
      </c>
      <c r="F1184" s="106" t="str">
        <f t="shared" si="134"/>
        <v/>
      </c>
      <c r="G1184" s="86"/>
      <c r="H1184" s="107">
        <f t="shared" si="129"/>
        <v>0</v>
      </c>
      <c r="I1184" s="107">
        <f t="shared" si="130"/>
        <v>0</v>
      </c>
      <c r="J1184" s="87">
        <f>IF($D1184&gt;0,IFERROR(Параметры!$D$42*$H1184/$H$2408,0),0)</f>
        <v>0</v>
      </c>
      <c r="K1184" s="87">
        <f>IFERROR(ROUND($N1184*Параметры!$D$36,2),0)</f>
        <v>0</v>
      </c>
      <c r="L1184" s="87">
        <f t="shared" si="131"/>
        <v>0</v>
      </c>
      <c r="M1184" s="87">
        <f t="shared" si="132"/>
        <v>0</v>
      </c>
      <c r="N1184" s="107" t="str">
        <f t="shared" si="133"/>
        <v/>
      </c>
    </row>
    <row r="1185" spans="2:14" x14ac:dyDescent="0.25">
      <c r="B1185" s="82">
        <f>SUBTOTAL(103,$D$8:D1185)</f>
        <v>1178</v>
      </c>
      <c r="C1185" s="83" t="s">
        <v>1191</v>
      </c>
      <c r="D1185" s="84">
        <v>0</v>
      </c>
      <c r="E1185" s="85" t="str">
        <f t="shared" si="128"/>
        <v/>
      </c>
      <c r="F1185" s="106" t="str">
        <f t="shared" si="134"/>
        <v/>
      </c>
      <c r="G1185" s="86"/>
      <c r="H1185" s="107">
        <f t="shared" si="129"/>
        <v>0</v>
      </c>
      <c r="I1185" s="107">
        <f t="shared" si="130"/>
        <v>0</v>
      </c>
      <c r="J1185" s="87">
        <f>IF($D1185&gt;0,IFERROR(Параметры!$D$42*$H1185/$H$2408,0),0)</f>
        <v>0</v>
      </c>
      <c r="K1185" s="87">
        <f>IFERROR(ROUND($N1185*Параметры!$D$36,2),0)</f>
        <v>0</v>
      </c>
      <c r="L1185" s="87">
        <f t="shared" si="131"/>
        <v>0</v>
      </c>
      <c r="M1185" s="87">
        <f t="shared" si="132"/>
        <v>0</v>
      </c>
      <c r="N1185" s="107" t="str">
        <f t="shared" si="133"/>
        <v/>
      </c>
    </row>
    <row r="1186" spans="2:14" x14ac:dyDescent="0.25">
      <c r="B1186" s="82">
        <f>SUBTOTAL(103,$D$8:D1186)</f>
        <v>1179</v>
      </c>
      <c r="C1186" s="83" t="s">
        <v>1192</v>
      </c>
      <c r="D1186" s="84">
        <v>0</v>
      </c>
      <c r="E1186" s="85" t="str">
        <f t="shared" si="128"/>
        <v/>
      </c>
      <c r="F1186" s="106" t="str">
        <f t="shared" si="134"/>
        <v/>
      </c>
      <c r="G1186" s="86"/>
      <c r="H1186" s="107">
        <f t="shared" si="129"/>
        <v>0</v>
      </c>
      <c r="I1186" s="107">
        <f t="shared" si="130"/>
        <v>0</v>
      </c>
      <c r="J1186" s="87">
        <f>IF($D1186&gt;0,IFERROR(Параметры!$D$42*$H1186/$H$2408,0),0)</f>
        <v>0</v>
      </c>
      <c r="K1186" s="87">
        <f>IFERROR(ROUND($N1186*Параметры!$D$36,2),0)</f>
        <v>0</v>
      </c>
      <c r="L1186" s="87">
        <f t="shared" si="131"/>
        <v>0</v>
      </c>
      <c r="M1186" s="87">
        <f t="shared" si="132"/>
        <v>0</v>
      </c>
      <c r="N1186" s="107" t="str">
        <f t="shared" si="133"/>
        <v/>
      </c>
    </row>
    <row r="1187" spans="2:14" x14ac:dyDescent="0.25">
      <c r="B1187" s="82">
        <f>SUBTOTAL(103,$D$8:D1187)</f>
        <v>1180</v>
      </c>
      <c r="C1187" s="83" t="s">
        <v>1193</v>
      </c>
      <c r="D1187" s="84">
        <v>0</v>
      </c>
      <c r="E1187" s="85" t="str">
        <f t="shared" si="128"/>
        <v/>
      </c>
      <c r="F1187" s="106" t="str">
        <f t="shared" si="134"/>
        <v/>
      </c>
      <c r="G1187" s="86"/>
      <c r="H1187" s="107">
        <f t="shared" si="129"/>
        <v>0</v>
      </c>
      <c r="I1187" s="107">
        <f t="shared" si="130"/>
        <v>0</v>
      </c>
      <c r="J1187" s="87">
        <f>IF($D1187&gt;0,IFERROR(Параметры!$D$42*$H1187/$H$2408,0),0)</f>
        <v>0</v>
      </c>
      <c r="K1187" s="87">
        <f>IFERROR(ROUND($N1187*Параметры!$D$36,2),0)</f>
        <v>0</v>
      </c>
      <c r="L1187" s="87">
        <f t="shared" si="131"/>
        <v>0</v>
      </c>
      <c r="M1187" s="87">
        <f t="shared" si="132"/>
        <v>0</v>
      </c>
      <c r="N1187" s="107" t="str">
        <f t="shared" si="133"/>
        <v/>
      </c>
    </row>
    <row r="1188" spans="2:14" x14ac:dyDescent="0.25">
      <c r="B1188" s="82">
        <f>SUBTOTAL(103,$D$8:D1188)</f>
        <v>1181</v>
      </c>
      <c r="C1188" s="83" t="s">
        <v>1194</v>
      </c>
      <c r="D1188" s="84">
        <v>0</v>
      </c>
      <c r="E1188" s="85" t="str">
        <f t="shared" si="128"/>
        <v/>
      </c>
      <c r="F1188" s="106" t="str">
        <f t="shared" si="134"/>
        <v/>
      </c>
      <c r="G1188" s="86"/>
      <c r="H1188" s="107">
        <f t="shared" si="129"/>
        <v>0</v>
      </c>
      <c r="I1188" s="107">
        <f t="shared" si="130"/>
        <v>0</v>
      </c>
      <c r="J1188" s="87">
        <f>IF($D1188&gt;0,IFERROR(Параметры!$D$42*$H1188/$H$2408,0),0)</f>
        <v>0</v>
      </c>
      <c r="K1188" s="87">
        <f>IFERROR(ROUND($N1188*Параметры!$D$36,2),0)</f>
        <v>0</v>
      </c>
      <c r="L1188" s="87">
        <f t="shared" si="131"/>
        <v>0</v>
      </c>
      <c r="M1188" s="87">
        <f t="shared" si="132"/>
        <v>0</v>
      </c>
      <c r="N1188" s="107" t="str">
        <f t="shared" si="133"/>
        <v/>
      </c>
    </row>
    <row r="1189" spans="2:14" x14ac:dyDescent="0.25">
      <c r="B1189" s="82">
        <f>SUBTOTAL(103,$D$8:D1189)</f>
        <v>1182</v>
      </c>
      <c r="C1189" s="83" t="s">
        <v>1195</v>
      </c>
      <c r="D1189" s="84">
        <v>0</v>
      </c>
      <c r="E1189" s="85" t="str">
        <f t="shared" si="128"/>
        <v/>
      </c>
      <c r="F1189" s="106" t="str">
        <f t="shared" si="134"/>
        <v/>
      </c>
      <c r="G1189" s="86"/>
      <c r="H1189" s="107">
        <f t="shared" si="129"/>
        <v>0</v>
      </c>
      <c r="I1189" s="107">
        <f t="shared" si="130"/>
        <v>0</v>
      </c>
      <c r="J1189" s="87">
        <f>IF($D1189&gt;0,IFERROR(Параметры!$D$42*$H1189/$H$2408,0),0)</f>
        <v>0</v>
      </c>
      <c r="K1189" s="87">
        <f>IFERROR(ROUND($N1189*Параметры!$D$36,2),0)</f>
        <v>0</v>
      </c>
      <c r="L1189" s="87">
        <f t="shared" si="131"/>
        <v>0</v>
      </c>
      <c r="M1189" s="87">
        <f t="shared" si="132"/>
        <v>0</v>
      </c>
      <c r="N1189" s="107" t="str">
        <f t="shared" si="133"/>
        <v/>
      </c>
    </row>
    <row r="1190" spans="2:14" x14ac:dyDescent="0.25">
      <c r="B1190" s="82">
        <f>SUBTOTAL(103,$D$8:D1190)</f>
        <v>1183</v>
      </c>
      <c r="C1190" s="83" t="s">
        <v>1196</v>
      </c>
      <c r="D1190" s="84">
        <v>0</v>
      </c>
      <c r="E1190" s="85" t="str">
        <f t="shared" si="128"/>
        <v/>
      </c>
      <c r="F1190" s="106" t="str">
        <f t="shared" si="134"/>
        <v/>
      </c>
      <c r="G1190" s="86"/>
      <c r="H1190" s="107">
        <f t="shared" si="129"/>
        <v>0</v>
      </c>
      <c r="I1190" s="107">
        <f t="shared" si="130"/>
        <v>0</v>
      </c>
      <c r="J1190" s="87">
        <f>IF($D1190&gt;0,IFERROR(Параметры!$D$42*$H1190/$H$2408,0),0)</f>
        <v>0</v>
      </c>
      <c r="K1190" s="87">
        <f>IFERROR(ROUND($N1190*Параметры!$D$36,2),0)</f>
        <v>0</v>
      </c>
      <c r="L1190" s="87">
        <f t="shared" si="131"/>
        <v>0</v>
      </c>
      <c r="M1190" s="87">
        <f t="shared" si="132"/>
        <v>0</v>
      </c>
      <c r="N1190" s="107" t="str">
        <f t="shared" si="133"/>
        <v/>
      </c>
    </row>
    <row r="1191" spans="2:14" x14ac:dyDescent="0.25">
      <c r="B1191" s="82">
        <f>SUBTOTAL(103,$D$8:D1191)</f>
        <v>1184</v>
      </c>
      <c r="C1191" s="83" t="s">
        <v>1197</v>
      </c>
      <c r="D1191" s="84">
        <v>0</v>
      </c>
      <c r="E1191" s="85" t="str">
        <f t="shared" si="128"/>
        <v/>
      </c>
      <c r="F1191" s="106" t="str">
        <f t="shared" si="134"/>
        <v/>
      </c>
      <c r="G1191" s="86"/>
      <c r="H1191" s="107">
        <f t="shared" si="129"/>
        <v>0</v>
      </c>
      <c r="I1191" s="107">
        <f t="shared" si="130"/>
        <v>0</v>
      </c>
      <c r="J1191" s="87">
        <f>IF($D1191&gt;0,IFERROR(Параметры!$D$42*$H1191/$H$2408,0),0)</f>
        <v>0</v>
      </c>
      <c r="K1191" s="87">
        <f>IFERROR(ROUND($N1191*Параметры!$D$36,2),0)</f>
        <v>0</v>
      </c>
      <c r="L1191" s="87">
        <f t="shared" si="131"/>
        <v>0</v>
      </c>
      <c r="M1191" s="87">
        <f t="shared" si="132"/>
        <v>0</v>
      </c>
      <c r="N1191" s="107" t="str">
        <f t="shared" si="133"/>
        <v/>
      </c>
    </row>
    <row r="1192" spans="2:14" x14ac:dyDescent="0.25">
      <c r="B1192" s="82">
        <f>SUBTOTAL(103,$D$8:D1192)</f>
        <v>1185</v>
      </c>
      <c r="C1192" s="83" t="s">
        <v>1198</v>
      </c>
      <c r="D1192" s="84">
        <v>0</v>
      </c>
      <c r="E1192" s="85" t="str">
        <f t="shared" si="128"/>
        <v/>
      </c>
      <c r="F1192" s="106" t="str">
        <f t="shared" si="134"/>
        <v/>
      </c>
      <c r="G1192" s="86"/>
      <c r="H1192" s="107">
        <f t="shared" si="129"/>
        <v>0</v>
      </c>
      <c r="I1192" s="107">
        <f t="shared" si="130"/>
        <v>0</v>
      </c>
      <c r="J1192" s="87">
        <f>IF($D1192&gt;0,IFERROR(Параметры!$D$42*$H1192/$H$2408,0),0)</f>
        <v>0</v>
      </c>
      <c r="K1192" s="87">
        <f>IFERROR(ROUND($N1192*Параметры!$D$36,2),0)</f>
        <v>0</v>
      </c>
      <c r="L1192" s="87">
        <f t="shared" si="131"/>
        <v>0</v>
      </c>
      <c r="M1192" s="87">
        <f t="shared" si="132"/>
        <v>0</v>
      </c>
      <c r="N1192" s="107" t="str">
        <f t="shared" si="133"/>
        <v/>
      </c>
    </row>
    <row r="1193" spans="2:14" x14ac:dyDescent="0.25">
      <c r="B1193" s="82">
        <f>SUBTOTAL(103,$D$8:D1193)</f>
        <v>1186</v>
      </c>
      <c r="C1193" s="83" t="s">
        <v>1199</v>
      </c>
      <c r="D1193" s="84">
        <v>0</v>
      </c>
      <c r="E1193" s="85" t="str">
        <f t="shared" si="128"/>
        <v/>
      </c>
      <c r="F1193" s="106" t="str">
        <f t="shared" si="134"/>
        <v/>
      </c>
      <c r="G1193" s="86"/>
      <c r="H1193" s="107">
        <f t="shared" si="129"/>
        <v>0</v>
      </c>
      <c r="I1193" s="107">
        <f t="shared" si="130"/>
        <v>0</v>
      </c>
      <c r="J1193" s="87">
        <f>IF($D1193&gt;0,IFERROR(Параметры!$D$42*$H1193/$H$2408,0),0)</f>
        <v>0</v>
      </c>
      <c r="K1193" s="87">
        <f>IFERROR(ROUND($N1193*Параметры!$D$36,2),0)</f>
        <v>0</v>
      </c>
      <c r="L1193" s="87">
        <f t="shared" si="131"/>
        <v>0</v>
      </c>
      <c r="M1193" s="87">
        <f t="shared" si="132"/>
        <v>0</v>
      </c>
      <c r="N1193" s="107" t="str">
        <f t="shared" si="133"/>
        <v/>
      </c>
    </row>
    <row r="1194" spans="2:14" x14ac:dyDescent="0.25">
      <c r="B1194" s="82">
        <f>SUBTOTAL(103,$D$8:D1194)</f>
        <v>1187</v>
      </c>
      <c r="C1194" s="83" t="s">
        <v>1200</v>
      </c>
      <c r="D1194" s="84">
        <v>0</v>
      </c>
      <c r="E1194" s="85" t="str">
        <f t="shared" si="128"/>
        <v/>
      </c>
      <c r="F1194" s="106" t="str">
        <f t="shared" si="134"/>
        <v/>
      </c>
      <c r="G1194" s="86"/>
      <c r="H1194" s="107">
        <f t="shared" si="129"/>
        <v>0</v>
      </c>
      <c r="I1194" s="107">
        <f t="shared" si="130"/>
        <v>0</v>
      </c>
      <c r="J1194" s="87">
        <f>IF($D1194&gt;0,IFERROR(Параметры!$D$42*$H1194/$H$2408,0),0)</f>
        <v>0</v>
      </c>
      <c r="K1194" s="87">
        <f>IFERROR(ROUND($N1194*Параметры!$D$36,2),0)</f>
        <v>0</v>
      </c>
      <c r="L1194" s="87">
        <f t="shared" si="131"/>
        <v>0</v>
      </c>
      <c r="M1194" s="87">
        <f t="shared" si="132"/>
        <v>0</v>
      </c>
      <c r="N1194" s="107" t="str">
        <f t="shared" si="133"/>
        <v/>
      </c>
    </row>
    <row r="1195" spans="2:14" x14ac:dyDescent="0.25">
      <c r="B1195" s="82">
        <f>SUBTOTAL(103,$D$8:D1195)</f>
        <v>1188</v>
      </c>
      <c r="C1195" s="83" t="s">
        <v>1201</v>
      </c>
      <c r="D1195" s="84">
        <v>0</v>
      </c>
      <c r="E1195" s="85" t="str">
        <f t="shared" si="128"/>
        <v/>
      </c>
      <c r="F1195" s="106" t="str">
        <f t="shared" si="134"/>
        <v/>
      </c>
      <c r="G1195" s="86"/>
      <c r="H1195" s="107">
        <f t="shared" si="129"/>
        <v>0</v>
      </c>
      <c r="I1195" s="107">
        <f t="shared" si="130"/>
        <v>0</v>
      </c>
      <c r="J1195" s="87">
        <f>IF($D1195&gt;0,IFERROR(Параметры!$D$42*$H1195/$H$2408,0),0)</f>
        <v>0</v>
      </c>
      <c r="K1195" s="87">
        <f>IFERROR(ROUND($N1195*Параметры!$D$36,2),0)</f>
        <v>0</v>
      </c>
      <c r="L1195" s="87">
        <f t="shared" si="131"/>
        <v>0</v>
      </c>
      <c r="M1195" s="87">
        <f t="shared" si="132"/>
        <v>0</v>
      </c>
      <c r="N1195" s="107" t="str">
        <f t="shared" si="133"/>
        <v/>
      </c>
    </row>
    <row r="1196" spans="2:14" x14ac:dyDescent="0.25">
      <c r="B1196" s="82">
        <f>SUBTOTAL(103,$D$8:D1196)</f>
        <v>1189</v>
      </c>
      <c r="C1196" s="83" t="s">
        <v>1202</v>
      </c>
      <c r="D1196" s="84">
        <v>0</v>
      </c>
      <c r="E1196" s="85" t="str">
        <f t="shared" si="128"/>
        <v/>
      </c>
      <c r="F1196" s="106" t="str">
        <f t="shared" si="134"/>
        <v/>
      </c>
      <c r="G1196" s="86"/>
      <c r="H1196" s="107">
        <f t="shared" si="129"/>
        <v>0</v>
      </c>
      <c r="I1196" s="107">
        <f t="shared" si="130"/>
        <v>0</v>
      </c>
      <c r="J1196" s="87">
        <f>IF($D1196&gt;0,IFERROR(Параметры!$D$42*$H1196/$H$2408,0),0)</f>
        <v>0</v>
      </c>
      <c r="K1196" s="87">
        <f>IFERROR(ROUND($N1196*Параметры!$D$36,2),0)</f>
        <v>0</v>
      </c>
      <c r="L1196" s="87">
        <f t="shared" si="131"/>
        <v>0</v>
      </c>
      <c r="M1196" s="87">
        <f t="shared" si="132"/>
        <v>0</v>
      </c>
      <c r="N1196" s="107" t="str">
        <f t="shared" si="133"/>
        <v/>
      </c>
    </row>
    <row r="1197" spans="2:14" x14ac:dyDescent="0.25">
      <c r="B1197" s="82">
        <f>SUBTOTAL(103,$D$8:D1197)</f>
        <v>1190</v>
      </c>
      <c r="C1197" s="83" t="s">
        <v>1203</v>
      </c>
      <c r="D1197" s="84">
        <v>0</v>
      </c>
      <c r="E1197" s="85" t="str">
        <f t="shared" si="128"/>
        <v/>
      </c>
      <c r="F1197" s="106" t="str">
        <f t="shared" si="134"/>
        <v/>
      </c>
      <c r="G1197" s="86"/>
      <c r="H1197" s="107">
        <f t="shared" si="129"/>
        <v>0</v>
      </c>
      <c r="I1197" s="107">
        <f t="shared" si="130"/>
        <v>0</v>
      </c>
      <c r="J1197" s="87">
        <f>IF($D1197&gt;0,IFERROR(Параметры!$D$42*$H1197/$H$2408,0),0)</f>
        <v>0</v>
      </c>
      <c r="K1197" s="87">
        <f>IFERROR(ROUND($N1197*Параметры!$D$36,2),0)</f>
        <v>0</v>
      </c>
      <c r="L1197" s="87">
        <f t="shared" si="131"/>
        <v>0</v>
      </c>
      <c r="M1197" s="87">
        <f t="shared" si="132"/>
        <v>0</v>
      </c>
      <c r="N1197" s="107" t="str">
        <f t="shared" si="133"/>
        <v/>
      </c>
    </row>
    <row r="1198" spans="2:14" x14ac:dyDescent="0.25">
      <c r="B1198" s="82">
        <f>SUBTOTAL(103,$D$8:D1198)</f>
        <v>1191</v>
      </c>
      <c r="C1198" s="83" t="s">
        <v>1204</v>
      </c>
      <c r="D1198" s="84">
        <v>0</v>
      </c>
      <c r="E1198" s="85" t="str">
        <f t="shared" si="128"/>
        <v/>
      </c>
      <c r="F1198" s="106" t="str">
        <f t="shared" si="134"/>
        <v/>
      </c>
      <c r="G1198" s="86"/>
      <c r="H1198" s="107">
        <f t="shared" si="129"/>
        <v>0</v>
      </c>
      <c r="I1198" s="107">
        <f t="shared" si="130"/>
        <v>0</v>
      </c>
      <c r="J1198" s="87">
        <f>IF($D1198&gt;0,IFERROR(Параметры!$D$42*$H1198/$H$2408,0),0)</f>
        <v>0</v>
      </c>
      <c r="K1198" s="87">
        <f>IFERROR(ROUND($N1198*Параметры!$D$36,2),0)</f>
        <v>0</v>
      </c>
      <c r="L1198" s="87">
        <f t="shared" si="131"/>
        <v>0</v>
      </c>
      <c r="M1198" s="87">
        <f t="shared" si="132"/>
        <v>0</v>
      </c>
      <c r="N1198" s="107" t="str">
        <f t="shared" si="133"/>
        <v/>
      </c>
    </row>
    <row r="1199" spans="2:14" x14ac:dyDescent="0.25">
      <c r="B1199" s="82">
        <f>SUBTOTAL(103,$D$8:D1199)</f>
        <v>1192</v>
      </c>
      <c r="C1199" s="83" t="s">
        <v>1205</v>
      </c>
      <c r="D1199" s="84">
        <v>0</v>
      </c>
      <c r="E1199" s="85" t="str">
        <f t="shared" si="128"/>
        <v/>
      </c>
      <c r="F1199" s="106" t="str">
        <f t="shared" si="134"/>
        <v/>
      </c>
      <c r="G1199" s="86"/>
      <c r="H1199" s="107">
        <f t="shared" si="129"/>
        <v>0</v>
      </c>
      <c r="I1199" s="107">
        <f t="shared" si="130"/>
        <v>0</v>
      </c>
      <c r="J1199" s="87">
        <f>IF($D1199&gt;0,IFERROR(Параметры!$D$42*$H1199/$H$2408,0),0)</f>
        <v>0</v>
      </c>
      <c r="K1199" s="87">
        <f>IFERROR(ROUND($N1199*Параметры!$D$36,2),0)</f>
        <v>0</v>
      </c>
      <c r="L1199" s="87">
        <f t="shared" si="131"/>
        <v>0</v>
      </c>
      <c r="M1199" s="87">
        <f t="shared" si="132"/>
        <v>0</v>
      </c>
      <c r="N1199" s="107" t="str">
        <f t="shared" si="133"/>
        <v/>
      </c>
    </row>
    <row r="1200" spans="2:14" x14ac:dyDescent="0.25">
      <c r="B1200" s="82">
        <f>SUBTOTAL(103,$D$8:D1200)</f>
        <v>1193</v>
      </c>
      <c r="C1200" s="83" t="s">
        <v>1206</v>
      </c>
      <c r="D1200" s="84">
        <v>0</v>
      </c>
      <c r="E1200" s="85" t="str">
        <f t="shared" si="128"/>
        <v/>
      </c>
      <c r="F1200" s="106" t="str">
        <f t="shared" si="134"/>
        <v/>
      </c>
      <c r="G1200" s="86"/>
      <c r="H1200" s="107">
        <f t="shared" si="129"/>
        <v>0</v>
      </c>
      <c r="I1200" s="107">
        <f t="shared" si="130"/>
        <v>0</v>
      </c>
      <c r="J1200" s="87">
        <f>IF($D1200&gt;0,IFERROR(Параметры!$D$42*$H1200/$H$2408,0),0)</f>
        <v>0</v>
      </c>
      <c r="K1200" s="87">
        <f>IFERROR(ROUND($N1200*Параметры!$D$36,2),0)</f>
        <v>0</v>
      </c>
      <c r="L1200" s="87">
        <f t="shared" si="131"/>
        <v>0</v>
      </c>
      <c r="M1200" s="87">
        <f t="shared" si="132"/>
        <v>0</v>
      </c>
      <c r="N1200" s="107" t="str">
        <f t="shared" si="133"/>
        <v/>
      </c>
    </row>
    <row r="1201" spans="2:14" x14ac:dyDescent="0.25">
      <c r="B1201" s="82">
        <f>SUBTOTAL(103,$D$8:D1201)</f>
        <v>1194</v>
      </c>
      <c r="C1201" s="83" t="s">
        <v>1207</v>
      </c>
      <c r="D1201" s="84">
        <v>0</v>
      </c>
      <c r="E1201" s="85" t="str">
        <f t="shared" si="128"/>
        <v/>
      </c>
      <c r="F1201" s="106" t="str">
        <f t="shared" si="134"/>
        <v/>
      </c>
      <c r="G1201" s="86"/>
      <c r="H1201" s="107">
        <f t="shared" si="129"/>
        <v>0</v>
      </c>
      <c r="I1201" s="107">
        <f t="shared" si="130"/>
        <v>0</v>
      </c>
      <c r="J1201" s="87">
        <f>IF($D1201&gt;0,IFERROR(Параметры!$D$42*$H1201/$H$2408,0),0)</f>
        <v>0</v>
      </c>
      <c r="K1201" s="87">
        <f>IFERROR(ROUND($N1201*Параметры!$D$36,2),0)</f>
        <v>0</v>
      </c>
      <c r="L1201" s="87">
        <f t="shared" si="131"/>
        <v>0</v>
      </c>
      <c r="M1201" s="87">
        <f t="shared" si="132"/>
        <v>0</v>
      </c>
      <c r="N1201" s="107" t="str">
        <f t="shared" si="133"/>
        <v/>
      </c>
    </row>
    <row r="1202" spans="2:14" x14ac:dyDescent="0.25">
      <c r="B1202" s="82">
        <f>SUBTOTAL(103,$D$8:D1202)</f>
        <v>1195</v>
      </c>
      <c r="C1202" s="83" t="s">
        <v>1208</v>
      </c>
      <c r="D1202" s="84">
        <v>0</v>
      </c>
      <c r="E1202" s="85" t="str">
        <f t="shared" si="128"/>
        <v/>
      </c>
      <c r="F1202" s="106" t="str">
        <f t="shared" si="134"/>
        <v/>
      </c>
      <c r="G1202" s="86"/>
      <c r="H1202" s="107">
        <f t="shared" si="129"/>
        <v>0</v>
      </c>
      <c r="I1202" s="107">
        <f t="shared" si="130"/>
        <v>0</v>
      </c>
      <c r="J1202" s="87">
        <f>IF($D1202&gt;0,IFERROR(Параметры!$D$42*$H1202/$H$2408,0),0)</f>
        <v>0</v>
      </c>
      <c r="K1202" s="87">
        <f>IFERROR(ROUND($N1202*Параметры!$D$36,2),0)</f>
        <v>0</v>
      </c>
      <c r="L1202" s="87">
        <f t="shared" si="131"/>
        <v>0</v>
      </c>
      <c r="M1202" s="87">
        <f t="shared" si="132"/>
        <v>0</v>
      </c>
      <c r="N1202" s="107" t="str">
        <f t="shared" si="133"/>
        <v/>
      </c>
    </row>
    <row r="1203" spans="2:14" x14ac:dyDescent="0.25">
      <c r="B1203" s="82">
        <f>SUBTOTAL(103,$D$8:D1203)</f>
        <v>1196</v>
      </c>
      <c r="C1203" s="83" t="s">
        <v>1209</v>
      </c>
      <c r="D1203" s="84">
        <v>0</v>
      </c>
      <c r="E1203" s="85" t="str">
        <f t="shared" si="128"/>
        <v/>
      </c>
      <c r="F1203" s="106" t="str">
        <f t="shared" si="134"/>
        <v/>
      </c>
      <c r="G1203" s="86"/>
      <c r="H1203" s="107">
        <f t="shared" si="129"/>
        <v>0</v>
      </c>
      <c r="I1203" s="107">
        <f t="shared" si="130"/>
        <v>0</v>
      </c>
      <c r="J1203" s="87">
        <f>IF($D1203&gt;0,IFERROR(Параметры!$D$42*$H1203/$H$2408,0),0)</f>
        <v>0</v>
      </c>
      <c r="K1203" s="87">
        <f>IFERROR(ROUND($N1203*Параметры!$D$36,2),0)</f>
        <v>0</v>
      </c>
      <c r="L1203" s="87">
        <f t="shared" si="131"/>
        <v>0</v>
      </c>
      <c r="M1203" s="87">
        <f t="shared" si="132"/>
        <v>0</v>
      </c>
      <c r="N1203" s="107" t="str">
        <f t="shared" si="133"/>
        <v/>
      </c>
    </row>
    <row r="1204" spans="2:14" x14ac:dyDescent="0.25">
      <c r="B1204" s="82">
        <f>SUBTOTAL(103,$D$8:D1204)</f>
        <v>1197</v>
      </c>
      <c r="C1204" s="83" t="s">
        <v>1210</v>
      </c>
      <c r="D1204" s="84">
        <v>0</v>
      </c>
      <c r="E1204" s="85" t="str">
        <f t="shared" si="128"/>
        <v/>
      </c>
      <c r="F1204" s="106" t="str">
        <f t="shared" si="134"/>
        <v/>
      </c>
      <c r="G1204" s="86"/>
      <c r="H1204" s="107">
        <f t="shared" si="129"/>
        <v>0</v>
      </c>
      <c r="I1204" s="107">
        <f t="shared" si="130"/>
        <v>0</v>
      </c>
      <c r="J1204" s="87">
        <f>IF($D1204&gt;0,IFERROR(Параметры!$D$42*$H1204/$H$2408,0),0)</f>
        <v>0</v>
      </c>
      <c r="K1204" s="87">
        <f>IFERROR(ROUND($N1204*Параметры!$D$36,2),0)</f>
        <v>0</v>
      </c>
      <c r="L1204" s="87">
        <f t="shared" si="131"/>
        <v>0</v>
      </c>
      <c r="M1204" s="87">
        <f t="shared" si="132"/>
        <v>0</v>
      </c>
      <c r="N1204" s="107" t="str">
        <f t="shared" si="133"/>
        <v/>
      </c>
    </row>
    <row r="1205" spans="2:14" x14ac:dyDescent="0.25">
      <c r="B1205" s="82">
        <f>SUBTOTAL(103,$D$8:D1205)</f>
        <v>1198</v>
      </c>
      <c r="C1205" s="83" t="s">
        <v>1211</v>
      </c>
      <c r="D1205" s="84">
        <v>0</v>
      </c>
      <c r="E1205" s="85" t="str">
        <f t="shared" si="128"/>
        <v/>
      </c>
      <c r="F1205" s="106" t="str">
        <f t="shared" si="134"/>
        <v/>
      </c>
      <c r="G1205" s="86"/>
      <c r="H1205" s="107">
        <f t="shared" si="129"/>
        <v>0</v>
      </c>
      <c r="I1205" s="107">
        <f t="shared" si="130"/>
        <v>0</v>
      </c>
      <c r="J1205" s="87">
        <f>IF($D1205&gt;0,IFERROR(Параметры!$D$42*$H1205/$H$2408,0),0)</f>
        <v>0</v>
      </c>
      <c r="K1205" s="87">
        <f>IFERROR(ROUND($N1205*Параметры!$D$36,2),0)</f>
        <v>0</v>
      </c>
      <c r="L1205" s="87">
        <f t="shared" si="131"/>
        <v>0</v>
      </c>
      <c r="M1205" s="87">
        <f t="shared" si="132"/>
        <v>0</v>
      </c>
      <c r="N1205" s="107" t="str">
        <f t="shared" si="133"/>
        <v/>
      </c>
    </row>
    <row r="1206" spans="2:14" x14ac:dyDescent="0.25">
      <c r="B1206" s="82">
        <f>SUBTOTAL(103,$D$8:D1206)</f>
        <v>1199</v>
      </c>
      <c r="C1206" s="83" t="s">
        <v>1212</v>
      </c>
      <c r="D1206" s="84">
        <v>0</v>
      </c>
      <c r="E1206" s="85" t="str">
        <f t="shared" si="128"/>
        <v/>
      </c>
      <c r="F1206" s="106" t="str">
        <f t="shared" si="134"/>
        <v/>
      </c>
      <c r="G1206" s="86"/>
      <c r="H1206" s="107">
        <f t="shared" si="129"/>
        <v>0</v>
      </c>
      <c r="I1206" s="107">
        <f t="shared" si="130"/>
        <v>0</v>
      </c>
      <c r="J1206" s="87">
        <f>IF($D1206&gt;0,IFERROR(Параметры!$D$42*$H1206/$H$2408,0),0)</f>
        <v>0</v>
      </c>
      <c r="K1206" s="87">
        <f>IFERROR(ROUND($N1206*Параметры!$D$36,2),0)</f>
        <v>0</v>
      </c>
      <c r="L1206" s="87">
        <f t="shared" si="131"/>
        <v>0</v>
      </c>
      <c r="M1206" s="87">
        <f t="shared" si="132"/>
        <v>0</v>
      </c>
      <c r="N1206" s="107" t="str">
        <f t="shared" si="133"/>
        <v/>
      </c>
    </row>
    <row r="1207" spans="2:14" x14ac:dyDescent="0.25">
      <c r="B1207" s="82">
        <f>SUBTOTAL(103,$D$8:D1207)</f>
        <v>1200</v>
      </c>
      <c r="C1207" s="83" t="s">
        <v>1213</v>
      </c>
      <c r="D1207" s="84">
        <v>0</v>
      </c>
      <c r="E1207" s="85" t="str">
        <f t="shared" si="128"/>
        <v/>
      </c>
      <c r="F1207" s="106" t="str">
        <f t="shared" si="134"/>
        <v/>
      </c>
      <c r="G1207" s="86"/>
      <c r="H1207" s="107">
        <f t="shared" si="129"/>
        <v>0</v>
      </c>
      <c r="I1207" s="107">
        <f t="shared" si="130"/>
        <v>0</v>
      </c>
      <c r="J1207" s="87">
        <f>IF($D1207&gt;0,IFERROR(Параметры!$D$42*$H1207/$H$2408,0),0)</f>
        <v>0</v>
      </c>
      <c r="K1207" s="87">
        <f>IFERROR(ROUND($N1207*Параметры!$D$36,2),0)</f>
        <v>0</v>
      </c>
      <c r="L1207" s="87">
        <f t="shared" si="131"/>
        <v>0</v>
      </c>
      <c r="M1207" s="87">
        <f t="shared" si="132"/>
        <v>0</v>
      </c>
      <c r="N1207" s="107" t="str">
        <f t="shared" si="133"/>
        <v/>
      </c>
    </row>
    <row r="1208" spans="2:14" x14ac:dyDescent="0.25">
      <c r="B1208" s="82">
        <f>SUBTOTAL(103,$D$8:D1208)</f>
        <v>1201</v>
      </c>
      <c r="C1208" s="83" t="s">
        <v>1214</v>
      </c>
      <c r="D1208" s="84">
        <f t="array" ref="D1208:D1267">TRANSPOSE('Зарядная карта'!$C$25:$BJ$25)</f>
        <v>4</v>
      </c>
      <c r="E1208" s="85">
        <f t="shared" si="128"/>
        <v>62.814700000000002</v>
      </c>
      <c r="F1208" s="106">
        <f t="shared" si="134"/>
        <v>2</v>
      </c>
      <c r="G1208" s="86"/>
      <c r="H1208" s="107">
        <f t="shared" si="129"/>
        <v>3.44</v>
      </c>
      <c r="I1208" s="107">
        <f t="shared" si="130"/>
        <v>0.56000000000000005</v>
      </c>
      <c r="J1208" s="87">
        <f>IF($D1208&gt;0,IFERROR(Параметры!$D$42*$H1208/$H$2408,0),0)</f>
        <v>60.103959390862947</v>
      </c>
      <c r="K1208" s="87">
        <f>IFERROR(ROUND($N1208*Параметры!$D$36,2),0)</f>
        <v>59.54</v>
      </c>
      <c r="L1208" s="87">
        <f t="shared" si="131"/>
        <v>3.2747000000000002</v>
      </c>
      <c r="M1208" s="87">
        <f t="shared" si="132"/>
        <v>3.8420790191534921</v>
      </c>
      <c r="N1208" s="107">
        <f t="shared" si="133"/>
        <v>2</v>
      </c>
    </row>
    <row r="1209" spans="2:14" x14ac:dyDescent="0.25">
      <c r="B1209" s="82">
        <f>SUBTOTAL(103,$D$8:D1209)</f>
        <v>1202</v>
      </c>
      <c r="C1209" s="83" t="s">
        <v>1215</v>
      </c>
      <c r="D1209" s="84">
        <v>4</v>
      </c>
      <c r="E1209" s="85">
        <f t="shared" si="128"/>
        <v>62.814700000000002</v>
      </c>
      <c r="F1209" s="106">
        <f t="shared" si="134"/>
        <v>2</v>
      </c>
      <c r="G1209" s="86"/>
      <c r="H1209" s="107">
        <f t="shared" si="129"/>
        <v>3.44</v>
      </c>
      <c r="I1209" s="107">
        <f t="shared" si="130"/>
        <v>0.56000000000000005</v>
      </c>
      <c r="J1209" s="87">
        <f>IF($D1209&gt;0,IFERROR(Параметры!$D$42*$H1209/$H$2408,0),0)</f>
        <v>60.103959390862947</v>
      </c>
      <c r="K1209" s="87">
        <f>IFERROR(ROUND($N1209*Параметры!$D$36,2),0)</f>
        <v>59.54</v>
      </c>
      <c r="L1209" s="87">
        <f t="shared" si="131"/>
        <v>3.2747000000000002</v>
      </c>
      <c r="M1209" s="87">
        <f t="shared" si="132"/>
        <v>3.8420790191534921</v>
      </c>
      <c r="N1209" s="107">
        <f t="shared" si="133"/>
        <v>2</v>
      </c>
    </row>
    <row r="1210" spans="2:14" x14ac:dyDescent="0.25">
      <c r="B1210" s="82">
        <f>SUBTOTAL(103,$D$8:D1210)</f>
        <v>1203</v>
      </c>
      <c r="C1210" s="83" t="s">
        <v>1216</v>
      </c>
      <c r="D1210" s="84">
        <v>8</v>
      </c>
      <c r="E1210" s="85">
        <f t="shared" si="128"/>
        <v>188.44409999999999</v>
      </c>
      <c r="F1210" s="106">
        <f t="shared" si="134"/>
        <v>2</v>
      </c>
      <c r="G1210" s="86"/>
      <c r="H1210" s="107">
        <f t="shared" si="129"/>
        <v>6.88</v>
      </c>
      <c r="I1210" s="107">
        <f t="shared" si="130"/>
        <v>1.1200000000000001</v>
      </c>
      <c r="J1210" s="87">
        <f>IF($D1210&gt;0,IFERROR(Параметры!$D$42*$H1210/$H$2408,0),0)</f>
        <v>120.20791878172589</v>
      </c>
      <c r="K1210" s="87">
        <f>IFERROR(ROUND($N1210*Параметры!$D$36,2),0)</f>
        <v>178.62</v>
      </c>
      <c r="L1210" s="87">
        <f t="shared" si="131"/>
        <v>9.8240999999999996</v>
      </c>
      <c r="M1210" s="87">
        <f t="shared" si="132"/>
        <v>11.526237057460476</v>
      </c>
      <c r="N1210" s="107">
        <f t="shared" si="133"/>
        <v>6</v>
      </c>
    </row>
    <row r="1211" spans="2:14" x14ac:dyDescent="0.25">
      <c r="B1211" s="82">
        <f>SUBTOTAL(103,$D$8:D1211)</f>
        <v>1204</v>
      </c>
      <c r="C1211" s="83" t="s">
        <v>1217</v>
      </c>
      <c r="D1211" s="84">
        <v>8</v>
      </c>
      <c r="E1211" s="85">
        <f t="shared" si="128"/>
        <v>188.44409999999999</v>
      </c>
      <c r="F1211" s="106">
        <f t="shared" si="134"/>
        <v>2</v>
      </c>
      <c r="G1211" s="86"/>
      <c r="H1211" s="107">
        <f t="shared" si="129"/>
        <v>6.88</v>
      </c>
      <c r="I1211" s="107">
        <f t="shared" si="130"/>
        <v>1.1200000000000001</v>
      </c>
      <c r="J1211" s="87">
        <f>IF($D1211&gt;0,IFERROR(Параметры!$D$42*$H1211/$H$2408,0),0)</f>
        <v>120.20791878172589</v>
      </c>
      <c r="K1211" s="87">
        <f>IFERROR(ROUND($N1211*Параметры!$D$36,2),0)</f>
        <v>178.62</v>
      </c>
      <c r="L1211" s="87">
        <f t="shared" si="131"/>
        <v>9.8240999999999996</v>
      </c>
      <c r="M1211" s="87">
        <f t="shared" si="132"/>
        <v>11.526237057460476</v>
      </c>
      <c r="N1211" s="107">
        <f t="shared" si="133"/>
        <v>6</v>
      </c>
    </row>
    <row r="1212" spans="2:14" x14ac:dyDescent="0.25">
      <c r="B1212" s="82">
        <f>SUBTOTAL(103,$D$8:D1212)</f>
        <v>1205</v>
      </c>
      <c r="C1212" s="83" t="s">
        <v>1218</v>
      </c>
      <c r="D1212" s="84">
        <v>8</v>
      </c>
      <c r="E1212" s="85">
        <f t="shared" si="128"/>
        <v>188.44409999999999</v>
      </c>
      <c r="F1212" s="106">
        <f t="shared" si="134"/>
        <v>2</v>
      </c>
      <c r="G1212" s="86"/>
      <c r="H1212" s="107">
        <f t="shared" si="129"/>
        <v>6.88</v>
      </c>
      <c r="I1212" s="107">
        <f t="shared" si="130"/>
        <v>1.1200000000000001</v>
      </c>
      <c r="J1212" s="87">
        <f>IF($D1212&gt;0,IFERROR(Параметры!$D$42*$H1212/$H$2408,0),0)</f>
        <v>120.20791878172589</v>
      </c>
      <c r="K1212" s="87">
        <f>IFERROR(ROUND($N1212*Параметры!$D$36,2),0)</f>
        <v>178.62</v>
      </c>
      <c r="L1212" s="87">
        <f t="shared" si="131"/>
        <v>9.8240999999999996</v>
      </c>
      <c r="M1212" s="87">
        <f t="shared" si="132"/>
        <v>11.526237057460476</v>
      </c>
      <c r="N1212" s="107">
        <f t="shared" si="133"/>
        <v>6</v>
      </c>
    </row>
    <row r="1213" spans="2:14" x14ac:dyDescent="0.25">
      <c r="B1213" s="82">
        <f>SUBTOTAL(103,$D$8:D1213)</f>
        <v>1206</v>
      </c>
      <c r="C1213" s="83" t="s">
        <v>1219</v>
      </c>
      <c r="D1213" s="84">
        <v>8</v>
      </c>
      <c r="E1213" s="85">
        <f t="shared" si="128"/>
        <v>188.44409999999999</v>
      </c>
      <c r="F1213" s="106">
        <f t="shared" si="134"/>
        <v>2</v>
      </c>
      <c r="G1213" s="86"/>
      <c r="H1213" s="107">
        <f t="shared" si="129"/>
        <v>6.88</v>
      </c>
      <c r="I1213" s="107">
        <f t="shared" si="130"/>
        <v>1.1200000000000001</v>
      </c>
      <c r="J1213" s="87">
        <f>IF($D1213&gt;0,IFERROR(Параметры!$D$42*$H1213/$H$2408,0),0)</f>
        <v>120.20791878172589</v>
      </c>
      <c r="K1213" s="87">
        <f>IFERROR(ROUND($N1213*Параметры!$D$36,2),0)</f>
        <v>178.62</v>
      </c>
      <c r="L1213" s="87">
        <f t="shared" si="131"/>
        <v>9.8240999999999996</v>
      </c>
      <c r="M1213" s="87">
        <f t="shared" si="132"/>
        <v>11.526237057460476</v>
      </c>
      <c r="N1213" s="107">
        <f t="shared" si="133"/>
        <v>6</v>
      </c>
    </row>
    <row r="1214" spans="2:14" x14ac:dyDescent="0.25">
      <c r="B1214" s="82">
        <f>SUBTOTAL(103,$D$8:D1214)</f>
        <v>1207</v>
      </c>
      <c r="C1214" s="83" t="s">
        <v>1220</v>
      </c>
      <c r="D1214" s="84">
        <v>8</v>
      </c>
      <c r="E1214" s="85">
        <f t="shared" si="128"/>
        <v>188.44409999999999</v>
      </c>
      <c r="F1214" s="106">
        <f t="shared" si="134"/>
        <v>2</v>
      </c>
      <c r="G1214" s="86"/>
      <c r="H1214" s="107">
        <f t="shared" si="129"/>
        <v>6.88</v>
      </c>
      <c r="I1214" s="107">
        <f t="shared" si="130"/>
        <v>1.1200000000000001</v>
      </c>
      <c r="J1214" s="87">
        <f>IF($D1214&gt;0,IFERROR(Параметры!$D$42*$H1214/$H$2408,0),0)</f>
        <v>120.20791878172589</v>
      </c>
      <c r="K1214" s="87">
        <f>IFERROR(ROUND($N1214*Параметры!$D$36,2),0)</f>
        <v>178.62</v>
      </c>
      <c r="L1214" s="87">
        <f t="shared" si="131"/>
        <v>9.8240999999999996</v>
      </c>
      <c r="M1214" s="87">
        <f t="shared" si="132"/>
        <v>11.526237057460476</v>
      </c>
      <c r="N1214" s="107">
        <f t="shared" si="133"/>
        <v>6</v>
      </c>
    </row>
    <row r="1215" spans="2:14" x14ac:dyDescent="0.25">
      <c r="B1215" s="82">
        <f>SUBTOTAL(103,$D$8:D1215)</f>
        <v>1208</v>
      </c>
      <c r="C1215" s="83" t="s">
        <v>1221</v>
      </c>
      <c r="D1215" s="84">
        <v>8</v>
      </c>
      <c r="E1215" s="85">
        <f t="shared" si="128"/>
        <v>188.44409999999999</v>
      </c>
      <c r="F1215" s="106">
        <f t="shared" si="134"/>
        <v>2</v>
      </c>
      <c r="G1215" s="86"/>
      <c r="H1215" s="107">
        <f t="shared" si="129"/>
        <v>6.88</v>
      </c>
      <c r="I1215" s="107">
        <f t="shared" si="130"/>
        <v>1.1200000000000001</v>
      </c>
      <c r="J1215" s="87">
        <f>IF($D1215&gt;0,IFERROR(Параметры!$D$42*$H1215/$H$2408,0),0)</f>
        <v>120.20791878172589</v>
      </c>
      <c r="K1215" s="87">
        <f>IFERROR(ROUND($N1215*Параметры!$D$36,2),0)</f>
        <v>178.62</v>
      </c>
      <c r="L1215" s="87">
        <f t="shared" si="131"/>
        <v>9.8240999999999996</v>
      </c>
      <c r="M1215" s="87">
        <f t="shared" si="132"/>
        <v>11.526237057460476</v>
      </c>
      <c r="N1215" s="107">
        <f t="shared" si="133"/>
        <v>6</v>
      </c>
    </row>
    <row r="1216" spans="2:14" x14ac:dyDescent="0.25">
      <c r="B1216" s="82">
        <f>SUBTOTAL(103,$D$8:D1216)</f>
        <v>1209</v>
      </c>
      <c r="C1216" s="83" t="s">
        <v>1222</v>
      </c>
      <c r="D1216" s="84">
        <v>8</v>
      </c>
      <c r="E1216" s="85">
        <f t="shared" si="128"/>
        <v>188.44409999999999</v>
      </c>
      <c r="F1216" s="106">
        <f t="shared" si="134"/>
        <v>2</v>
      </c>
      <c r="G1216" s="86"/>
      <c r="H1216" s="107">
        <f t="shared" si="129"/>
        <v>6.88</v>
      </c>
      <c r="I1216" s="107">
        <f t="shared" si="130"/>
        <v>1.1200000000000001</v>
      </c>
      <c r="J1216" s="87">
        <f>IF($D1216&gt;0,IFERROR(Параметры!$D$42*$H1216/$H$2408,0),0)</f>
        <v>120.20791878172589</v>
      </c>
      <c r="K1216" s="87">
        <f>IFERROR(ROUND($N1216*Параметры!$D$36,2),0)</f>
        <v>178.62</v>
      </c>
      <c r="L1216" s="87">
        <f t="shared" si="131"/>
        <v>9.8240999999999996</v>
      </c>
      <c r="M1216" s="87">
        <f t="shared" si="132"/>
        <v>11.526237057460476</v>
      </c>
      <c r="N1216" s="107">
        <f t="shared" si="133"/>
        <v>6</v>
      </c>
    </row>
    <row r="1217" spans="2:14" x14ac:dyDescent="0.25">
      <c r="B1217" s="82">
        <f>SUBTOTAL(103,$D$8:D1217)</f>
        <v>1210</v>
      </c>
      <c r="C1217" s="83" t="s">
        <v>1223</v>
      </c>
      <c r="D1217" s="84">
        <v>4</v>
      </c>
      <c r="E1217" s="85">
        <f t="shared" si="128"/>
        <v>62.814700000000002</v>
      </c>
      <c r="F1217" s="106">
        <f t="shared" si="134"/>
        <v>2</v>
      </c>
      <c r="G1217" s="86"/>
      <c r="H1217" s="107">
        <f t="shared" si="129"/>
        <v>3.44</v>
      </c>
      <c r="I1217" s="107">
        <f t="shared" si="130"/>
        <v>0.56000000000000005</v>
      </c>
      <c r="J1217" s="87">
        <f>IF($D1217&gt;0,IFERROR(Параметры!$D$42*$H1217/$H$2408,0),0)</f>
        <v>60.103959390862947</v>
      </c>
      <c r="K1217" s="87">
        <f>IFERROR(ROUND($N1217*Параметры!$D$36,2),0)</f>
        <v>59.54</v>
      </c>
      <c r="L1217" s="87">
        <f t="shared" si="131"/>
        <v>3.2747000000000002</v>
      </c>
      <c r="M1217" s="87">
        <f t="shared" si="132"/>
        <v>3.8420790191534921</v>
      </c>
      <c r="N1217" s="107">
        <f t="shared" si="133"/>
        <v>2</v>
      </c>
    </row>
    <row r="1218" spans="2:14" x14ac:dyDescent="0.25">
      <c r="B1218" s="82">
        <f>SUBTOTAL(103,$D$8:D1218)</f>
        <v>1211</v>
      </c>
      <c r="C1218" s="83" t="s">
        <v>1224</v>
      </c>
      <c r="D1218" s="84">
        <v>0</v>
      </c>
      <c r="E1218" s="85" t="str">
        <f t="shared" si="128"/>
        <v/>
      </c>
      <c r="F1218" s="106" t="str">
        <f t="shared" si="134"/>
        <v/>
      </c>
      <c r="G1218" s="86"/>
      <c r="H1218" s="107">
        <f t="shared" si="129"/>
        <v>0</v>
      </c>
      <c r="I1218" s="107">
        <f t="shared" si="130"/>
        <v>0</v>
      </c>
      <c r="J1218" s="87">
        <f>IF($D1218&gt;0,IFERROR(Параметры!$D$42*$H1218/$H$2408,0),0)</f>
        <v>0</v>
      </c>
      <c r="K1218" s="87">
        <f>IFERROR(ROUND($N1218*Параметры!$D$36,2),0)</f>
        <v>0</v>
      </c>
      <c r="L1218" s="87">
        <f t="shared" si="131"/>
        <v>0</v>
      </c>
      <c r="M1218" s="87">
        <f t="shared" si="132"/>
        <v>0</v>
      </c>
      <c r="N1218" s="107" t="str">
        <f t="shared" si="133"/>
        <v/>
      </c>
    </row>
    <row r="1219" spans="2:14" x14ac:dyDescent="0.25">
      <c r="B1219" s="82">
        <f>SUBTOTAL(103,$D$8:D1219)</f>
        <v>1212</v>
      </c>
      <c r="C1219" s="83" t="s">
        <v>1225</v>
      </c>
      <c r="D1219" s="84">
        <v>0</v>
      </c>
      <c r="E1219" s="85" t="str">
        <f t="shared" si="128"/>
        <v/>
      </c>
      <c r="F1219" s="106" t="str">
        <f t="shared" si="134"/>
        <v/>
      </c>
      <c r="G1219" s="86"/>
      <c r="H1219" s="107">
        <f t="shared" si="129"/>
        <v>0</v>
      </c>
      <c r="I1219" s="107">
        <f t="shared" si="130"/>
        <v>0</v>
      </c>
      <c r="J1219" s="87">
        <f>IF($D1219&gt;0,IFERROR(Параметры!$D$42*$H1219/$H$2408,0),0)</f>
        <v>0</v>
      </c>
      <c r="K1219" s="87">
        <f>IFERROR(ROUND($N1219*Параметры!$D$36,2),0)</f>
        <v>0</v>
      </c>
      <c r="L1219" s="87">
        <f t="shared" si="131"/>
        <v>0</v>
      </c>
      <c r="M1219" s="87">
        <f t="shared" si="132"/>
        <v>0</v>
      </c>
      <c r="N1219" s="107" t="str">
        <f t="shared" si="133"/>
        <v/>
      </c>
    </row>
    <row r="1220" spans="2:14" x14ac:dyDescent="0.25">
      <c r="B1220" s="82">
        <f>SUBTOTAL(103,$D$8:D1220)</f>
        <v>1213</v>
      </c>
      <c r="C1220" s="83" t="s">
        <v>1226</v>
      </c>
      <c r="D1220" s="84">
        <v>0</v>
      </c>
      <c r="E1220" s="85" t="str">
        <f t="shared" si="128"/>
        <v/>
      </c>
      <c r="F1220" s="106" t="str">
        <f t="shared" si="134"/>
        <v/>
      </c>
      <c r="G1220" s="86"/>
      <c r="H1220" s="107">
        <f t="shared" si="129"/>
        <v>0</v>
      </c>
      <c r="I1220" s="107">
        <f t="shared" si="130"/>
        <v>0</v>
      </c>
      <c r="J1220" s="87">
        <f>IF($D1220&gt;0,IFERROR(Параметры!$D$42*$H1220/$H$2408,0),0)</f>
        <v>0</v>
      </c>
      <c r="K1220" s="87">
        <f>IFERROR(ROUND($N1220*Параметры!$D$36,2),0)</f>
        <v>0</v>
      </c>
      <c r="L1220" s="87">
        <f t="shared" si="131"/>
        <v>0</v>
      </c>
      <c r="M1220" s="87">
        <f t="shared" si="132"/>
        <v>0</v>
      </c>
      <c r="N1220" s="107" t="str">
        <f t="shared" si="133"/>
        <v/>
      </c>
    </row>
    <row r="1221" spans="2:14" x14ac:dyDescent="0.25">
      <c r="B1221" s="82">
        <f>SUBTOTAL(103,$D$8:D1221)</f>
        <v>1214</v>
      </c>
      <c r="C1221" s="83" t="s">
        <v>1227</v>
      </c>
      <c r="D1221" s="84">
        <v>0</v>
      </c>
      <c r="E1221" s="85" t="str">
        <f t="shared" si="128"/>
        <v/>
      </c>
      <c r="F1221" s="106" t="str">
        <f t="shared" si="134"/>
        <v/>
      </c>
      <c r="G1221" s="86"/>
      <c r="H1221" s="107">
        <f t="shared" si="129"/>
        <v>0</v>
      </c>
      <c r="I1221" s="107">
        <f t="shared" si="130"/>
        <v>0</v>
      </c>
      <c r="J1221" s="87">
        <f>IF($D1221&gt;0,IFERROR(Параметры!$D$42*$H1221/$H$2408,0),0)</f>
        <v>0</v>
      </c>
      <c r="K1221" s="87">
        <f>IFERROR(ROUND($N1221*Параметры!$D$36,2),0)</f>
        <v>0</v>
      </c>
      <c r="L1221" s="87">
        <f t="shared" si="131"/>
        <v>0</v>
      </c>
      <c r="M1221" s="87">
        <f t="shared" si="132"/>
        <v>0</v>
      </c>
      <c r="N1221" s="107" t="str">
        <f t="shared" si="133"/>
        <v/>
      </c>
    </row>
    <row r="1222" spans="2:14" x14ac:dyDescent="0.25">
      <c r="B1222" s="82">
        <f>SUBTOTAL(103,$D$8:D1222)</f>
        <v>1215</v>
      </c>
      <c r="C1222" s="83" t="s">
        <v>1228</v>
      </c>
      <c r="D1222" s="84">
        <v>0</v>
      </c>
      <c r="E1222" s="85" t="str">
        <f t="shared" si="128"/>
        <v/>
      </c>
      <c r="F1222" s="106" t="str">
        <f t="shared" si="134"/>
        <v/>
      </c>
      <c r="G1222" s="86"/>
      <c r="H1222" s="107">
        <f t="shared" si="129"/>
        <v>0</v>
      </c>
      <c r="I1222" s="107">
        <f t="shared" si="130"/>
        <v>0</v>
      </c>
      <c r="J1222" s="87">
        <f>IF($D1222&gt;0,IFERROR(Параметры!$D$42*$H1222/$H$2408,0),0)</f>
        <v>0</v>
      </c>
      <c r="K1222" s="87">
        <f>IFERROR(ROUND($N1222*Параметры!$D$36,2),0)</f>
        <v>0</v>
      </c>
      <c r="L1222" s="87">
        <f t="shared" si="131"/>
        <v>0</v>
      </c>
      <c r="M1222" s="87">
        <f t="shared" si="132"/>
        <v>0</v>
      </c>
      <c r="N1222" s="107" t="str">
        <f t="shared" si="133"/>
        <v/>
      </c>
    </row>
    <row r="1223" spans="2:14" x14ac:dyDescent="0.25">
      <c r="B1223" s="82">
        <f>SUBTOTAL(103,$D$8:D1223)</f>
        <v>1216</v>
      </c>
      <c r="C1223" s="83" t="s">
        <v>1229</v>
      </c>
      <c r="D1223" s="84">
        <v>0</v>
      </c>
      <c r="E1223" s="85" t="str">
        <f t="shared" si="128"/>
        <v/>
      </c>
      <c r="F1223" s="106" t="str">
        <f t="shared" si="134"/>
        <v/>
      </c>
      <c r="G1223" s="86"/>
      <c r="H1223" s="107">
        <f t="shared" si="129"/>
        <v>0</v>
      </c>
      <c r="I1223" s="107">
        <f t="shared" si="130"/>
        <v>0</v>
      </c>
      <c r="J1223" s="87">
        <f>IF($D1223&gt;0,IFERROR(Параметры!$D$42*$H1223/$H$2408,0),0)</f>
        <v>0</v>
      </c>
      <c r="K1223" s="87">
        <f>IFERROR(ROUND($N1223*Параметры!$D$36,2),0)</f>
        <v>0</v>
      </c>
      <c r="L1223" s="87">
        <f t="shared" si="131"/>
        <v>0</v>
      </c>
      <c r="M1223" s="87">
        <f t="shared" si="132"/>
        <v>0</v>
      </c>
      <c r="N1223" s="107" t="str">
        <f t="shared" si="133"/>
        <v/>
      </c>
    </row>
    <row r="1224" spans="2:14" x14ac:dyDescent="0.25">
      <c r="B1224" s="82">
        <f>SUBTOTAL(103,$D$8:D1224)</f>
        <v>1217</v>
      </c>
      <c r="C1224" s="83" t="s">
        <v>1230</v>
      </c>
      <c r="D1224" s="84">
        <v>0</v>
      </c>
      <c r="E1224" s="85" t="str">
        <f t="shared" ref="E1224:E1287" si="135">IF($D1224&lt;1,"",$K1224+$L1224)</f>
        <v/>
      </c>
      <c r="F1224" s="106" t="str">
        <f t="shared" si="134"/>
        <v/>
      </c>
      <c r="G1224" s="86"/>
      <c r="H1224" s="107">
        <f t="shared" ref="H1224:H1287" si="136">IF($D1224&gt;0,$D1224*КИС,0)</f>
        <v>0</v>
      </c>
      <c r="I1224" s="107">
        <f t="shared" ref="I1224:I1287" si="137">IF($D1224&gt;0,$D1224-$H1224,0)</f>
        <v>0</v>
      </c>
      <c r="J1224" s="87">
        <f>IF($D1224&gt;0,IFERROR(Параметры!$D$42*$H1224/$H$2408,0),0)</f>
        <v>0</v>
      </c>
      <c r="K1224" s="87">
        <f>IFERROR(ROUND($N1224*Параметры!$D$36,2),0)</f>
        <v>0</v>
      </c>
      <c r="L1224" s="87">
        <f t="shared" ref="L1224:L1287" si="138">IF($K1224&gt;0,$K1224*0.055,0)</f>
        <v>0</v>
      </c>
      <c r="M1224" s="87">
        <f t="shared" ref="M1224:M1287" si="139">IFERROR($L1224/Плотность_ДТ,0)</f>
        <v>0</v>
      </c>
      <c r="N1224" s="107" t="str">
        <f t="shared" ref="N1224:N1287" si="140">IF($D1224&gt;0,MAX(0,$D1224-IF($F1224="",0,$F1224)),"")</f>
        <v/>
      </c>
    </row>
    <row r="1225" spans="2:14" x14ac:dyDescent="0.25">
      <c r="B1225" s="82">
        <f>SUBTOTAL(103,$D$8:D1225)</f>
        <v>1218</v>
      </c>
      <c r="C1225" s="83" t="s">
        <v>1231</v>
      </c>
      <c r="D1225" s="84">
        <v>0</v>
      </c>
      <c r="E1225" s="85" t="str">
        <f t="shared" si="135"/>
        <v/>
      </c>
      <c r="F1225" s="106" t="str">
        <f t="shared" si="134"/>
        <v/>
      </c>
      <c r="G1225" s="86"/>
      <c r="H1225" s="107">
        <f t="shared" si="136"/>
        <v>0</v>
      </c>
      <c r="I1225" s="107">
        <f t="shared" si="137"/>
        <v>0</v>
      </c>
      <c r="J1225" s="87">
        <f>IF($D1225&gt;0,IFERROR(Параметры!$D$42*$H1225/$H$2408,0),0)</f>
        <v>0</v>
      </c>
      <c r="K1225" s="87">
        <f>IFERROR(ROUND($N1225*Параметры!$D$36,2),0)</f>
        <v>0</v>
      </c>
      <c r="L1225" s="87">
        <f t="shared" si="138"/>
        <v>0</v>
      </c>
      <c r="M1225" s="87">
        <f t="shared" si="139"/>
        <v>0</v>
      </c>
      <c r="N1225" s="107" t="str">
        <f t="shared" si="140"/>
        <v/>
      </c>
    </row>
    <row r="1226" spans="2:14" x14ac:dyDescent="0.25">
      <c r="B1226" s="82">
        <f>SUBTOTAL(103,$D$8:D1226)</f>
        <v>1219</v>
      </c>
      <c r="C1226" s="83" t="s">
        <v>1232</v>
      </c>
      <c r="D1226" s="84">
        <v>0</v>
      </c>
      <c r="E1226" s="85" t="str">
        <f t="shared" si="135"/>
        <v/>
      </c>
      <c r="F1226" s="106" t="str">
        <f t="shared" si="134"/>
        <v/>
      </c>
      <c r="G1226" s="86"/>
      <c r="H1226" s="107">
        <f t="shared" si="136"/>
        <v>0</v>
      </c>
      <c r="I1226" s="107">
        <f t="shared" si="137"/>
        <v>0</v>
      </c>
      <c r="J1226" s="87">
        <f>IF($D1226&gt;0,IFERROR(Параметры!$D$42*$H1226/$H$2408,0),0)</f>
        <v>0</v>
      </c>
      <c r="K1226" s="87">
        <f>IFERROR(ROUND($N1226*Параметры!$D$36,2),0)</f>
        <v>0</v>
      </c>
      <c r="L1226" s="87">
        <f t="shared" si="138"/>
        <v>0</v>
      </c>
      <c r="M1226" s="87">
        <f t="shared" si="139"/>
        <v>0</v>
      </c>
      <c r="N1226" s="107" t="str">
        <f t="shared" si="140"/>
        <v/>
      </c>
    </row>
    <row r="1227" spans="2:14" x14ac:dyDescent="0.25">
      <c r="B1227" s="82">
        <f>SUBTOTAL(103,$D$8:D1227)</f>
        <v>1220</v>
      </c>
      <c r="C1227" s="83" t="s">
        <v>1233</v>
      </c>
      <c r="D1227" s="84">
        <v>0</v>
      </c>
      <c r="E1227" s="85" t="str">
        <f t="shared" si="135"/>
        <v/>
      </c>
      <c r="F1227" s="106" t="str">
        <f t="shared" ref="F1227:F1290" si="141">IF(D1227&gt;0,2,"")</f>
        <v/>
      </c>
      <c r="G1227" s="86"/>
      <c r="H1227" s="107">
        <f t="shared" si="136"/>
        <v>0</v>
      </c>
      <c r="I1227" s="107">
        <f t="shared" si="137"/>
        <v>0</v>
      </c>
      <c r="J1227" s="87">
        <f>IF($D1227&gt;0,IFERROR(Параметры!$D$42*$H1227/$H$2408,0),0)</f>
        <v>0</v>
      </c>
      <c r="K1227" s="87">
        <f>IFERROR(ROUND($N1227*Параметры!$D$36,2),0)</f>
        <v>0</v>
      </c>
      <c r="L1227" s="87">
        <f t="shared" si="138"/>
        <v>0</v>
      </c>
      <c r="M1227" s="87">
        <f t="shared" si="139"/>
        <v>0</v>
      </c>
      <c r="N1227" s="107" t="str">
        <f t="shared" si="140"/>
        <v/>
      </c>
    </row>
    <row r="1228" spans="2:14" x14ac:dyDescent="0.25">
      <c r="B1228" s="82">
        <f>SUBTOTAL(103,$D$8:D1228)</f>
        <v>1221</v>
      </c>
      <c r="C1228" s="83" t="s">
        <v>1231</v>
      </c>
      <c r="D1228" s="84">
        <v>0</v>
      </c>
      <c r="E1228" s="85" t="str">
        <f t="shared" si="135"/>
        <v/>
      </c>
      <c r="F1228" s="106" t="str">
        <f t="shared" si="141"/>
        <v/>
      </c>
      <c r="G1228" s="86"/>
      <c r="H1228" s="107">
        <f t="shared" si="136"/>
        <v>0</v>
      </c>
      <c r="I1228" s="107">
        <f t="shared" si="137"/>
        <v>0</v>
      </c>
      <c r="J1228" s="87">
        <f>IF($D1228&gt;0,IFERROR(Параметры!$D$42*$H1228/$H$2408,0),0)</f>
        <v>0</v>
      </c>
      <c r="K1228" s="87">
        <f>IFERROR(ROUND($N1228*Параметры!$D$36,2),0)</f>
        <v>0</v>
      </c>
      <c r="L1228" s="87">
        <f t="shared" si="138"/>
        <v>0</v>
      </c>
      <c r="M1228" s="87">
        <f t="shared" si="139"/>
        <v>0</v>
      </c>
      <c r="N1228" s="107" t="str">
        <f t="shared" si="140"/>
        <v/>
      </c>
    </row>
    <row r="1229" spans="2:14" x14ac:dyDescent="0.25">
      <c r="B1229" s="82">
        <f>SUBTOTAL(103,$D$8:D1229)</f>
        <v>1222</v>
      </c>
      <c r="C1229" s="83" t="s">
        <v>1234</v>
      </c>
      <c r="D1229" s="84">
        <v>0</v>
      </c>
      <c r="E1229" s="85" t="str">
        <f t="shared" si="135"/>
        <v/>
      </c>
      <c r="F1229" s="106" t="str">
        <f t="shared" si="141"/>
        <v/>
      </c>
      <c r="G1229" s="86"/>
      <c r="H1229" s="107">
        <f t="shared" si="136"/>
        <v>0</v>
      </c>
      <c r="I1229" s="107">
        <f t="shared" si="137"/>
        <v>0</v>
      </c>
      <c r="J1229" s="87">
        <f>IF($D1229&gt;0,IFERROR(Параметры!$D$42*$H1229/$H$2408,0),0)</f>
        <v>0</v>
      </c>
      <c r="K1229" s="87">
        <f>IFERROR(ROUND($N1229*Параметры!$D$36,2),0)</f>
        <v>0</v>
      </c>
      <c r="L1229" s="87">
        <f t="shared" si="138"/>
        <v>0</v>
      </c>
      <c r="M1229" s="87">
        <f t="shared" si="139"/>
        <v>0</v>
      </c>
      <c r="N1229" s="107" t="str">
        <f t="shared" si="140"/>
        <v/>
      </c>
    </row>
    <row r="1230" spans="2:14" x14ac:dyDescent="0.25">
      <c r="B1230" s="82">
        <f>SUBTOTAL(103,$D$8:D1230)</f>
        <v>1223</v>
      </c>
      <c r="C1230" s="83" t="s">
        <v>1235</v>
      </c>
      <c r="D1230" s="84">
        <v>0</v>
      </c>
      <c r="E1230" s="85" t="str">
        <f t="shared" si="135"/>
        <v/>
      </c>
      <c r="F1230" s="106" t="str">
        <f t="shared" si="141"/>
        <v/>
      </c>
      <c r="G1230" s="86"/>
      <c r="H1230" s="107">
        <f t="shared" si="136"/>
        <v>0</v>
      </c>
      <c r="I1230" s="107">
        <f t="shared" si="137"/>
        <v>0</v>
      </c>
      <c r="J1230" s="87">
        <f>IF($D1230&gt;0,IFERROR(Параметры!$D$42*$H1230/$H$2408,0),0)</f>
        <v>0</v>
      </c>
      <c r="K1230" s="87">
        <f>IFERROR(ROUND($N1230*Параметры!$D$36,2),0)</f>
        <v>0</v>
      </c>
      <c r="L1230" s="87">
        <f t="shared" si="138"/>
        <v>0</v>
      </c>
      <c r="M1230" s="87">
        <f t="shared" si="139"/>
        <v>0</v>
      </c>
      <c r="N1230" s="107" t="str">
        <f t="shared" si="140"/>
        <v/>
      </c>
    </row>
    <row r="1231" spans="2:14" x14ac:dyDescent="0.25">
      <c r="B1231" s="82">
        <f>SUBTOTAL(103,$D$8:D1231)</f>
        <v>1224</v>
      </c>
      <c r="C1231" s="83" t="s">
        <v>1236</v>
      </c>
      <c r="D1231" s="84">
        <v>0</v>
      </c>
      <c r="E1231" s="85" t="str">
        <f t="shared" si="135"/>
        <v/>
      </c>
      <c r="F1231" s="106" t="str">
        <f t="shared" si="141"/>
        <v/>
      </c>
      <c r="G1231" s="86"/>
      <c r="H1231" s="107">
        <f t="shared" si="136"/>
        <v>0</v>
      </c>
      <c r="I1231" s="107">
        <f t="shared" si="137"/>
        <v>0</v>
      </c>
      <c r="J1231" s="87">
        <f>IF($D1231&gt;0,IFERROR(Параметры!$D$42*$H1231/$H$2408,0),0)</f>
        <v>0</v>
      </c>
      <c r="K1231" s="87">
        <f>IFERROR(ROUND($N1231*Параметры!$D$36,2),0)</f>
        <v>0</v>
      </c>
      <c r="L1231" s="87">
        <f t="shared" si="138"/>
        <v>0</v>
      </c>
      <c r="M1231" s="87">
        <f t="shared" si="139"/>
        <v>0</v>
      </c>
      <c r="N1231" s="107" t="str">
        <f t="shared" si="140"/>
        <v/>
      </c>
    </row>
    <row r="1232" spans="2:14" x14ac:dyDescent="0.25">
      <c r="B1232" s="82">
        <f>SUBTOTAL(103,$D$8:D1232)</f>
        <v>1225</v>
      </c>
      <c r="C1232" s="83" t="s">
        <v>1237</v>
      </c>
      <c r="D1232" s="84">
        <v>0</v>
      </c>
      <c r="E1232" s="85" t="str">
        <f t="shared" si="135"/>
        <v/>
      </c>
      <c r="F1232" s="106" t="str">
        <f t="shared" si="141"/>
        <v/>
      </c>
      <c r="G1232" s="86"/>
      <c r="H1232" s="107">
        <f t="shared" si="136"/>
        <v>0</v>
      </c>
      <c r="I1232" s="107">
        <f t="shared" si="137"/>
        <v>0</v>
      </c>
      <c r="J1232" s="87">
        <f>IF($D1232&gt;0,IFERROR(Параметры!$D$42*$H1232/$H$2408,0),0)</f>
        <v>0</v>
      </c>
      <c r="K1232" s="87">
        <f>IFERROR(ROUND($N1232*Параметры!$D$36,2),0)</f>
        <v>0</v>
      </c>
      <c r="L1232" s="87">
        <f t="shared" si="138"/>
        <v>0</v>
      </c>
      <c r="M1232" s="87">
        <f t="shared" si="139"/>
        <v>0</v>
      </c>
      <c r="N1232" s="107" t="str">
        <f t="shared" si="140"/>
        <v/>
      </c>
    </row>
    <row r="1233" spans="2:14" x14ac:dyDescent="0.25">
      <c r="B1233" s="82">
        <f>SUBTOTAL(103,$D$8:D1233)</f>
        <v>1226</v>
      </c>
      <c r="C1233" s="83" t="s">
        <v>1238</v>
      </c>
      <c r="D1233" s="84">
        <v>0</v>
      </c>
      <c r="E1233" s="85" t="str">
        <f t="shared" si="135"/>
        <v/>
      </c>
      <c r="F1233" s="106" t="str">
        <f t="shared" si="141"/>
        <v/>
      </c>
      <c r="G1233" s="86"/>
      <c r="H1233" s="107">
        <f t="shared" si="136"/>
        <v>0</v>
      </c>
      <c r="I1233" s="107">
        <f t="shared" si="137"/>
        <v>0</v>
      </c>
      <c r="J1233" s="87">
        <f>IF($D1233&gt;0,IFERROR(Параметры!$D$42*$H1233/$H$2408,0),0)</f>
        <v>0</v>
      </c>
      <c r="K1233" s="87">
        <f>IFERROR(ROUND($N1233*Параметры!$D$36,2),0)</f>
        <v>0</v>
      </c>
      <c r="L1233" s="87">
        <f t="shared" si="138"/>
        <v>0</v>
      </c>
      <c r="M1233" s="87">
        <f t="shared" si="139"/>
        <v>0</v>
      </c>
      <c r="N1233" s="107" t="str">
        <f t="shared" si="140"/>
        <v/>
      </c>
    </row>
    <row r="1234" spans="2:14" x14ac:dyDescent="0.25">
      <c r="B1234" s="82">
        <f>SUBTOTAL(103,$D$8:D1234)</f>
        <v>1227</v>
      </c>
      <c r="C1234" s="83" t="s">
        <v>1239</v>
      </c>
      <c r="D1234" s="84">
        <v>0</v>
      </c>
      <c r="E1234" s="85" t="str">
        <f t="shared" si="135"/>
        <v/>
      </c>
      <c r="F1234" s="106" t="str">
        <f t="shared" si="141"/>
        <v/>
      </c>
      <c r="G1234" s="86"/>
      <c r="H1234" s="107">
        <f t="shared" si="136"/>
        <v>0</v>
      </c>
      <c r="I1234" s="107">
        <f t="shared" si="137"/>
        <v>0</v>
      </c>
      <c r="J1234" s="87">
        <f>IF($D1234&gt;0,IFERROR(Параметры!$D$42*$H1234/$H$2408,0),0)</f>
        <v>0</v>
      </c>
      <c r="K1234" s="87">
        <f>IFERROR(ROUND($N1234*Параметры!$D$36,2),0)</f>
        <v>0</v>
      </c>
      <c r="L1234" s="87">
        <f t="shared" si="138"/>
        <v>0</v>
      </c>
      <c r="M1234" s="87">
        <f t="shared" si="139"/>
        <v>0</v>
      </c>
      <c r="N1234" s="107" t="str">
        <f t="shared" si="140"/>
        <v/>
      </c>
    </row>
    <row r="1235" spans="2:14" x14ac:dyDescent="0.25">
      <c r="B1235" s="82">
        <f>SUBTOTAL(103,$D$8:D1235)</f>
        <v>1228</v>
      </c>
      <c r="C1235" s="83" t="s">
        <v>1240</v>
      </c>
      <c r="D1235" s="84">
        <v>0</v>
      </c>
      <c r="E1235" s="85" t="str">
        <f t="shared" si="135"/>
        <v/>
      </c>
      <c r="F1235" s="106" t="str">
        <f t="shared" si="141"/>
        <v/>
      </c>
      <c r="G1235" s="86"/>
      <c r="H1235" s="107">
        <f t="shared" si="136"/>
        <v>0</v>
      </c>
      <c r="I1235" s="107">
        <f t="shared" si="137"/>
        <v>0</v>
      </c>
      <c r="J1235" s="87">
        <f>IF($D1235&gt;0,IFERROR(Параметры!$D$42*$H1235/$H$2408,0),0)</f>
        <v>0</v>
      </c>
      <c r="K1235" s="87">
        <f>IFERROR(ROUND($N1235*Параметры!$D$36,2),0)</f>
        <v>0</v>
      </c>
      <c r="L1235" s="87">
        <f t="shared" si="138"/>
        <v>0</v>
      </c>
      <c r="M1235" s="87">
        <f t="shared" si="139"/>
        <v>0</v>
      </c>
      <c r="N1235" s="107" t="str">
        <f t="shared" si="140"/>
        <v/>
      </c>
    </row>
    <row r="1236" spans="2:14" x14ac:dyDescent="0.25">
      <c r="B1236" s="82">
        <f>SUBTOTAL(103,$D$8:D1236)</f>
        <v>1229</v>
      </c>
      <c r="C1236" s="83" t="s">
        <v>1241</v>
      </c>
      <c r="D1236" s="84">
        <v>0</v>
      </c>
      <c r="E1236" s="85" t="str">
        <f t="shared" si="135"/>
        <v/>
      </c>
      <c r="F1236" s="106" t="str">
        <f t="shared" si="141"/>
        <v/>
      </c>
      <c r="G1236" s="86"/>
      <c r="H1236" s="107">
        <f t="shared" si="136"/>
        <v>0</v>
      </c>
      <c r="I1236" s="107">
        <f t="shared" si="137"/>
        <v>0</v>
      </c>
      <c r="J1236" s="87">
        <f>IF($D1236&gt;0,IFERROR(Параметры!$D$42*$H1236/$H$2408,0),0)</f>
        <v>0</v>
      </c>
      <c r="K1236" s="87">
        <f>IFERROR(ROUND($N1236*Параметры!$D$36,2),0)</f>
        <v>0</v>
      </c>
      <c r="L1236" s="87">
        <f t="shared" si="138"/>
        <v>0</v>
      </c>
      <c r="M1236" s="87">
        <f t="shared" si="139"/>
        <v>0</v>
      </c>
      <c r="N1236" s="107" t="str">
        <f t="shared" si="140"/>
        <v/>
      </c>
    </row>
    <row r="1237" spans="2:14" x14ac:dyDescent="0.25">
      <c r="B1237" s="82">
        <f>SUBTOTAL(103,$D$8:D1237)</f>
        <v>1230</v>
      </c>
      <c r="C1237" s="83" t="s">
        <v>1242</v>
      </c>
      <c r="D1237" s="84">
        <v>0</v>
      </c>
      <c r="E1237" s="85" t="str">
        <f t="shared" si="135"/>
        <v/>
      </c>
      <c r="F1237" s="106" t="str">
        <f t="shared" si="141"/>
        <v/>
      </c>
      <c r="G1237" s="86"/>
      <c r="H1237" s="107">
        <f t="shared" si="136"/>
        <v>0</v>
      </c>
      <c r="I1237" s="107">
        <f t="shared" si="137"/>
        <v>0</v>
      </c>
      <c r="J1237" s="87">
        <f>IF($D1237&gt;0,IFERROR(Параметры!$D$42*$H1237/$H$2408,0),0)</f>
        <v>0</v>
      </c>
      <c r="K1237" s="87">
        <f>IFERROR(ROUND($N1237*Параметры!$D$36,2),0)</f>
        <v>0</v>
      </c>
      <c r="L1237" s="87">
        <f t="shared" si="138"/>
        <v>0</v>
      </c>
      <c r="M1237" s="87">
        <f t="shared" si="139"/>
        <v>0</v>
      </c>
      <c r="N1237" s="107" t="str">
        <f t="shared" si="140"/>
        <v/>
      </c>
    </row>
    <row r="1238" spans="2:14" x14ac:dyDescent="0.25">
      <c r="B1238" s="82">
        <f>SUBTOTAL(103,$D$8:D1238)</f>
        <v>1231</v>
      </c>
      <c r="C1238" s="83" t="s">
        <v>1243</v>
      </c>
      <c r="D1238" s="84">
        <v>0</v>
      </c>
      <c r="E1238" s="85" t="str">
        <f t="shared" si="135"/>
        <v/>
      </c>
      <c r="F1238" s="106" t="str">
        <f t="shared" si="141"/>
        <v/>
      </c>
      <c r="G1238" s="86"/>
      <c r="H1238" s="107">
        <f t="shared" si="136"/>
        <v>0</v>
      </c>
      <c r="I1238" s="107">
        <f t="shared" si="137"/>
        <v>0</v>
      </c>
      <c r="J1238" s="87">
        <f>IF($D1238&gt;0,IFERROR(Параметры!$D$42*$H1238/$H$2408,0),0)</f>
        <v>0</v>
      </c>
      <c r="K1238" s="87">
        <f>IFERROR(ROUND($N1238*Параметры!$D$36,2),0)</f>
        <v>0</v>
      </c>
      <c r="L1238" s="87">
        <f t="shared" si="138"/>
        <v>0</v>
      </c>
      <c r="M1238" s="87">
        <f t="shared" si="139"/>
        <v>0</v>
      </c>
      <c r="N1238" s="107" t="str">
        <f t="shared" si="140"/>
        <v/>
      </c>
    </row>
    <row r="1239" spans="2:14" x14ac:dyDescent="0.25">
      <c r="B1239" s="82">
        <f>SUBTOTAL(103,$D$8:D1239)</f>
        <v>1232</v>
      </c>
      <c r="C1239" s="83" t="s">
        <v>1244</v>
      </c>
      <c r="D1239" s="84">
        <v>0</v>
      </c>
      <c r="E1239" s="85" t="str">
        <f t="shared" si="135"/>
        <v/>
      </c>
      <c r="F1239" s="106" t="str">
        <f t="shared" si="141"/>
        <v/>
      </c>
      <c r="G1239" s="86"/>
      <c r="H1239" s="107">
        <f t="shared" si="136"/>
        <v>0</v>
      </c>
      <c r="I1239" s="107">
        <f t="shared" si="137"/>
        <v>0</v>
      </c>
      <c r="J1239" s="87">
        <f>IF($D1239&gt;0,IFERROR(Параметры!$D$42*$H1239/$H$2408,0),0)</f>
        <v>0</v>
      </c>
      <c r="K1239" s="87">
        <f>IFERROR(ROUND($N1239*Параметры!$D$36,2),0)</f>
        <v>0</v>
      </c>
      <c r="L1239" s="87">
        <f t="shared" si="138"/>
        <v>0</v>
      </c>
      <c r="M1239" s="87">
        <f t="shared" si="139"/>
        <v>0</v>
      </c>
      <c r="N1239" s="107" t="str">
        <f t="shared" si="140"/>
        <v/>
      </c>
    </row>
    <row r="1240" spans="2:14" x14ac:dyDescent="0.25">
      <c r="B1240" s="82">
        <f>SUBTOTAL(103,$D$8:D1240)</f>
        <v>1233</v>
      </c>
      <c r="C1240" s="83" t="s">
        <v>1245</v>
      </c>
      <c r="D1240" s="84">
        <v>0</v>
      </c>
      <c r="E1240" s="85" t="str">
        <f t="shared" si="135"/>
        <v/>
      </c>
      <c r="F1240" s="106" t="str">
        <f t="shared" si="141"/>
        <v/>
      </c>
      <c r="G1240" s="86"/>
      <c r="H1240" s="107">
        <f t="shared" si="136"/>
        <v>0</v>
      </c>
      <c r="I1240" s="107">
        <f t="shared" si="137"/>
        <v>0</v>
      </c>
      <c r="J1240" s="87">
        <f>IF($D1240&gt;0,IFERROR(Параметры!$D$42*$H1240/$H$2408,0),0)</f>
        <v>0</v>
      </c>
      <c r="K1240" s="87">
        <f>IFERROR(ROUND($N1240*Параметры!$D$36,2),0)</f>
        <v>0</v>
      </c>
      <c r="L1240" s="87">
        <f t="shared" si="138"/>
        <v>0</v>
      </c>
      <c r="M1240" s="87">
        <f t="shared" si="139"/>
        <v>0</v>
      </c>
      <c r="N1240" s="107" t="str">
        <f t="shared" si="140"/>
        <v/>
      </c>
    </row>
    <row r="1241" spans="2:14" x14ac:dyDescent="0.25">
      <c r="B1241" s="82">
        <f>SUBTOTAL(103,$D$8:D1241)</f>
        <v>1234</v>
      </c>
      <c r="C1241" s="83" t="s">
        <v>1246</v>
      </c>
      <c r="D1241" s="84">
        <v>0</v>
      </c>
      <c r="E1241" s="85" t="str">
        <f t="shared" si="135"/>
        <v/>
      </c>
      <c r="F1241" s="106" t="str">
        <f t="shared" si="141"/>
        <v/>
      </c>
      <c r="G1241" s="86"/>
      <c r="H1241" s="107">
        <f t="shared" si="136"/>
        <v>0</v>
      </c>
      <c r="I1241" s="107">
        <f t="shared" si="137"/>
        <v>0</v>
      </c>
      <c r="J1241" s="87">
        <f>IF($D1241&gt;0,IFERROR(Параметры!$D$42*$H1241/$H$2408,0),0)</f>
        <v>0</v>
      </c>
      <c r="K1241" s="87">
        <f>IFERROR(ROUND($N1241*Параметры!$D$36,2),0)</f>
        <v>0</v>
      </c>
      <c r="L1241" s="87">
        <f t="shared" si="138"/>
        <v>0</v>
      </c>
      <c r="M1241" s="87">
        <f t="shared" si="139"/>
        <v>0</v>
      </c>
      <c r="N1241" s="107" t="str">
        <f t="shared" si="140"/>
        <v/>
      </c>
    </row>
    <row r="1242" spans="2:14" x14ac:dyDescent="0.25">
      <c r="B1242" s="82">
        <f>SUBTOTAL(103,$D$8:D1242)</f>
        <v>1235</v>
      </c>
      <c r="C1242" s="83" t="s">
        <v>1247</v>
      </c>
      <c r="D1242" s="84">
        <v>0</v>
      </c>
      <c r="E1242" s="85" t="str">
        <f t="shared" si="135"/>
        <v/>
      </c>
      <c r="F1242" s="106" t="str">
        <f t="shared" si="141"/>
        <v/>
      </c>
      <c r="G1242" s="86"/>
      <c r="H1242" s="107">
        <f t="shared" si="136"/>
        <v>0</v>
      </c>
      <c r="I1242" s="107">
        <f t="shared" si="137"/>
        <v>0</v>
      </c>
      <c r="J1242" s="87">
        <f>IF($D1242&gt;0,IFERROR(Параметры!$D$42*$H1242/$H$2408,0),0)</f>
        <v>0</v>
      </c>
      <c r="K1242" s="87">
        <f>IFERROR(ROUND($N1242*Параметры!$D$36,2),0)</f>
        <v>0</v>
      </c>
      <c r="L1242" s="87">
        <f t="shared" si="138"/>
        <v>0</v>
      </c>
      <c r="M1242" s="87">
        <f t="shared" si="139"/>
        <v>0</v>
      </c>
      <c r="N1242" s="107" t="str">
        <f t="shared" si="140"/>
        <v/>
      </c>
    </row>
    <row r="1243" spans="2:14" x14ac:dyDescent="0.25">
      <c r="B1243" s="82">
        <f>SUBTOTAL(103,$D$8:D1243)</f>
        <v>1236</v>
      </c>
      <c r="C1243" s="83" t="s">
        <v>1248</v>
      </c>
      <c r="D1243" s="84">
        <v>0</v>
      </c>
      <c r="E1243" s="85" t="str">
        <f t="shared" si="135"/>
        <v/>
      </c>
      <c r="F1243" s="106" t="str">
        <f t="shared" si="141"/>
        <v/>
      </c>
      <c r="G1243" s="86"/>
      <c r="H1243" s="107">
        <f t="shared" si="136"/>
        <v>0</v>
      </c>
      <c r="I1243" s="107">
        <f t="shared" si="137"/>
        <v>0</v>
      </c>
      <c r="J1243" s="87">
        <f>IF($D1243&gt;0,IFERROR(Параметры!$D$42*$H1243/$H$2408,0),0)</f>
        <v>0</v>
      </c>
      <c r="K1243" s="87">
        <f>IFERROR(ROUND($N1243*Параметры!$D$36,2),0)</f>
        <v>0</v>
      </c>
      <c r="L1243" s="87">
        <f t="shared" si="138"/>
        <v>0</v>
      </c>
      <c r="M1243" s="87">
        <f t="shared" si="139"/>
        <v>0</v>
      </c>
      <c r="N1243" s="107" t="str">
        <f t="shared" si="140"/>
        <v/>
      </c>
    </row>
    <row r="1244" spans="2:14" x14ac:dyDescent="0.25">
      <c r="B1244" s="82">
        <f>SUBTOTAL(103,$D$8:D1244)</f>
        <v>1237</v>
      </c>
      <c r="C1244" s="83" t="s">
        <v>1249</v>
      </c>
      <c r="D1244" s="84">
        <v>0</v>
      </c>
      <c r="E1244" s="85" t="str">
        <f t="shared" si="135"/>
        <v/>
      </c>
      <c r="F1244" s="106" t="str">
        <f t="shared" si="141"/>
        <v/>
      </c>
      <c r="G1244" s="86"/>
      <c r="H1244" s="107">
        <f t="shared" si="136"/>
        <v>0</v>
      </c>
      <c r="I1244" s="107">
        <f t="shared" si="137"/>
        <v>0</v>
      </c>
      <c r="J1244" s="87">
        <f>IF($D1244&gt;0,IFERROR(Параметры!$D$42*$H1244/$H$2408,0),0)</f>
        <v>0</v>
      </c>
      <c r="K1244" s="87">
        <f>IFERROR(ROUND($N1244*Параметры!$D$36,2),0)</f>
        <v>0</v>
      </c>
      <c r="L1244" s="87">
        <f t="shared" si="138"/>
        <v>0</v>
      </c>
      <c r="M1244" s="87">
        <f t="shared" si="139"/>
        <v>0</v>
      </c>
      <c r="N1244" s="107" t="str">
        <f t="shared" si="140"/>
        <v/>
      </c>
    </row>
    <row r="1245" spans="2:14" x14ac:dyDescent="0.25">
      <c r="B1245" s="82">
        <f>SUBTOTAL(103,$D$8:D1245)</f>
        <v>1238</v>
      </c>
      <c r="C1245" s="83" t="s">
        <v>1250</v>
      </c>
      <c r="D1245" s="84">
        <v>0</v>
      </c>
      <c r="E1245" s="85" t="str">
        <f t="shared" si="135"/>
        <v/>
      </c>
      <c r="F1245" s="106" t="str">
        <f t="shared" si="141"/>
        <v/>
      </c>
      <c r="G1245" s="86"/>
      <c r="H1245" s="107">
        <f t="shared" si="136"/>
        <v>0</v>
      </c>
      <c r="I1245" s="107">
        <f t="shared" si="137"/>
        <v>0</v>
      </c>
      <c r="J1245" s="87">
        <f>IF($D1245&gt;0,IFERROR(Параметры!$D$42*$H1245/$H$2408,0),0)</f>
        <v>0</v>
      </c>
      <c r="K1245" s="87">
        <f>IFERROR(ROUND($N1245*Параметры!$D$36,2),0)</f>
        <v>0</v>
      </c>
      <c r="L1245" s="87">
        <f t="shared" si="138"/>
        <v>0</v>
      </c>
      <c r="M1245" s="87">
        <f t="shared" si="139"/>
        <v>0</v>
      </c>
      <c r="N1245" s="107" t="str">
        <f t="shared" si="140"/>
        <v/>
      </c>
    </row>
    <row r="1246" spans="2:14" x14ac:dyDescent="0.25">
      <c r="B1246" s="82">
        <f>SUBTOTAL(103,$D$8:D1246)</f>
        <v>1239</v>
      </c>
      <c r="C1246" s="83" t="s">
        <v>1251</v>
      </c>
      <c r="D1246" s="84">
        <v>0</v>
      </c>
      <c r="E1246" s="85" t="str">
        <f t="shared" si="135"/>
        <v/>
      </c>
      <c r="F1246" s="106" t="str">
        <f t="shared" si="141"/>
        <v/>
      </c>
      <c r="G1246" s="86"/>
      <c r="H1246" s="107">
        <f t="shared" si="136"/>
        <v>0</v>
      </c>
      <c r="I1246" s="107">
        <f t="shared" si="137"/>
        <v>0</v>
      </c>
      <c r="J1246" s="87">
        <f>IF($D1246&gt;0,IFERROR(Параметры!$D$42*$H1246/$H$2408,0),0)</f>
        <v>0</v>
      </c>
      <c r="K1246" s="87">
        <f>IFERROR(ROUND($N1246*Параметры!$D$36,2),0)</f>
        <v>0</v>
      </c>
      <c r="L1246" s="87">
        <f t="shared" si="138"/>
        <v>0</v>
      </c>
      <c r="M1246" s="87">
        <f t="shared" si="139"/>
        <v>0</v>
      </c>
      <c r="N1246" s="107" t="str">
        <f t="shared" si="140"/>
        <v/>
      </c>
    </row>
    <row r="1247" spans="2:14" x14ac:dyDescent="0.25">
      <c r="B1247" s="82">
        <f>SUBTOTAL(103,$D$8:D1247)</f>
        <v>1240</v>
      </c>
      <c r="C1247" s="83" t="s">
        <v>1252</v>
      </c>
      <c r="D1247" s="84">
        <v>0</v>
      </c>
      <c r="E1247" s="85" t="str">
        <f t="shared" si="135"/>
        <v/>
      </c>
      <c r="F1247" s="106" t="str">
        <f t="shared" si="141"/>
        <v/>
      </c>
      <c r="G1247" s="86"/>
      <c r="H1247" s="107">
        <f t="shared" si="136"/>
        <v>0</v>
      </c>
      <c r="I1247" s="107">
        <f t="shared" si="137"/>
        <v>0</v>
      </c>
      <c r="J1247" s="87">
        <f>IF($D1247&gt;0,IFERROR(Параметры!$D$42*$H1247/$H$2408,0),0)</f>
        <v>0</v>
      </c>
      <c r="K1247" s="87">
        <f>IFERROR(ROUND($N1247*Параметры!$D$36,2),0)</f>
        <v>0</v>
      </c>
      <c r="L1247" s="87">
        <f t="shared" si="138"/>
        <v>0</v>
      </c>
      <c r="M1247" s="87">
        <f t="shared" si="139"/>
        <v>0</v>
      </c>
      <c r="N1247" s="107" t="str">
        <f t="shared" si="140"/>
        <v/>
      </c>
    </row>
    <row r="1248" spans="2:14" x14ac:dyDescent="0.25">
      <c r="B1248" s="82">
        <f>SUBTOTAL(103,$D$8:D1248)</f>
        <v>1241</v>
      </c>
      <c r="C1248" s="83" t="s">
        <v>1253</v>
      </c>
      <c r="D1248" s="84">
        <v>0</v>
      </c>
      <c r="E1248" s="85" t="str">
        <f t="shared" si="135"/>
        <v/>
      </c>
      <c r="F1248" s="106" t="str">
        <f t="shared" si="141"/>
        <v/>
      </c>
      <c r="G1248" s="86"/>
      <c r="H1248" s="107">
        <f t="shared" si="136"/>
        <v>0</v>
      </c>
      <c r="I1248" s="107">
        <f t="shared" si="137"/>
        <v>0</v>
      </c>
      <c r="J1248" s="87">
        <f>IF($D1248&gt;0,IFERROR(Параметры!$D$42*$H1248/$H$2408,0),0)</f>
        <v>0</v>
      </c>
      <c r="K1248" s="87">
        <f>IFERROR(ROUND($N1248*Параметры!$D$36,2),0)</f>
        <v>0</v>
      </c>
      <c r="L1248" s="87">
        <f t="shared" si="138"/>
        <v>0</v>
      </c>
      <c r="M1248" s="87">
        <f t="shared" si="139"/>
        <v>0</v>
      </c>
      <c r="N1248" s="107" t="str">
        <f t="shared" si="140"/>
        <v/>
      </c>
    </row>
    <row r="1249" spans="2:14" x14ac:dyDescent="0.25">
      <c r="B1249" s="82">
        <f>SUBTOTAL(103,$D$8:D1249)</f>
        <v>1242</v>
      </c>
      <c r="C1249" s="83" t="s">
        <v>1254</v>
      </c>
      <c r="D1249" s="84">
        <v>0</v>
      </c>
      <c r="E1249" s="85" t="str">
        <f t="shared" si="135"/>
        <v/>
      </c>
      <c r="F1249" s="106" t="str">
        <f t="shared" si="141"/>
        <v/>
      </c>
      <c r="G1249" s="86"/>
      <c r="H1249" s="107">
        <f t="shared" si="136"/>
        <v>0</v>
      </c>
      <c r="I1249" s="107">
        <f t="shared" si="137"/>
        <v>0</v>
      </c>
      <c r="J1249" s="87">
        <f>IF($D1249&gt;0,IFERROR(Параметры!$D$42*$H1249/$H$2408,0),0)</f>
        <v>0</v>
      </c>
      <c r="K1249" s="87">
        <f>IFERROR(ROUND($N1249*Параметры!$D$36,2),0)</f>
        <v>0</v>
      </c>
      <c r="L1249" s="87">
        <f t="shared" si="138"/>
        <v>0</v>
      </c>
      <c r="M1249" s="87">
        <f t="shared" si="139"/>
        <v>0</v>
      </c>
      <c r="N1249" s="107" t="str">
        <f t="shared" si="140"/>
        <v/>
      </c>
    </row>
    <row r="1250" spans="2:14" x14ac:dyDescent="0.25">
      <c r="B1250" s="82">
        <f>SUBTOTAL(103,$D$8:D1250)</f>
        <v>1243</v>
      </c>
      <c r="C1250" s="83" t="s">
        <v>1255</v>
      </c>
      <c r="D1250" s="84">
        <v>0</v>
      </c>
      <c r="E1250" s="85" t="str">
        <f t="shared" si="135"/>
        <v/>
      </c>
      <c r="F1250" s="106" t="str">
        <f t="shared" si="141"/>
        <v/>
      </c>
      <c r="G1250" s="86"/>
      <c r="H1250" s="107">
        <f t="shared" si="136"/>
        <v>0</v>
      </c>
      <c r="I1250" s="107">
        <f t="shared" si="137"/>
        <v>0</v>
      </c>
      <c r="J1250" s="87">
        <f>IF($D1250&gt;0,IFERROR(Параметры!$D$42*$H1250/$H$2408,0),0)</f>
        <v>0</v>
      </c>
      <c r="K1250" s="87">
        <f>IFERROR(ROUND($N1250*Параметры!$D$36,2),0)</f>
        <v>0</v>
      </c>
      <c r="L1250" s="87">
        <f t="shared" si="138"/>
        <v>0</v>
      </c>
      <c r="M1250" s="87">
        <f t="shared" si="139"/>
        <v>0</v>
      </c>
      <c r="N1250" s="107" t="str">
        <f t="shared" si="140"/>
        <v/>
      </c>
    </row>
    <row r="1251" spans="2:14" x14ac:dyDescent="0.25">
      <c r="B1251" s="82">
        <f>SUBTOTAL(103,$D$8:D1251)</f>
        <v>1244</v>
      </c>
      <c r="C1251" s="83" t="s">
        <v>1256</v>
      </c>
      <c r="D1251" s="84">
        <v>0</v>
      </c>
      <c r="E1251" s="85" t="str">
        <f t="shared" si="135"/>
        <v/>
      </c>
      <c r="F1251" s="106" t="str">
        <f t="shared" si="141"/>
        <v/>
      </c>
      <c r="G1251" s="86"/>
      <c r="H1251" s="107">
        <f t="shared" si="136"/>
        <v>0</v>
      </c>
      <c r="I1251" s="107">
        <f t="shared" si="137"/>
        <v>0</v>
      </c>
      <c r="J1251" s="87">
        <f>IF($D1251&gt;0,IFERROR(Параметры!$D$42*$H1251/$H$2408,0),0)</f>
        <v>0</v>
      </c>
      <c r="K1251" s="87">
        <f>IFERROR(ROUND($N1251*Параметры!$D$36,2),0)</f>
        <v>0</v>
      </c>
      <c r="L1251" s="87">
        <f t="shared" si="138"/>
        <v>0</v>
      </c>
      <c r="M1251" s="87">
        <f t="shared" si="139"/>
        <v>0</v>
      </c>
      <c r="N1251" s="107" t="str">
        <f t="shared" si="140"/>
        <v/>
      </c>
    </row>
    <row r="1252" spans="2:14" x14ac:dyDescent="0.25">
      <c r="B1252" s="82">
        <f>SUBTOTAL(103,$D$8:D1252)</f>
        <v>1245</v>
      </c>
      <c r="C1252" s="83" t="s">
        <v>1257</v>
      </c>
      <c r="D1252" s="84">
        <v>0</v>
      </c>
      <c r="E1252" s="85" t="str">
        <f t="shared" si="135"/>
        <v/>
      </c>
      <c r="F1252" s="106" t="str">
        <f t="shared" si="141"/>
        <v/>
      </c>
      <c r="G1252" s="86"/>
      <c r="H1252" s="107">
        <f t="shared" si="136"/>
        <v>0</v>
      </c>
      <c r="I1252" s="107">
        <f t="shared" si="137"/>
        <v>0</v>
      </c>
      <c r="J1252" s="87">
        <f>IF($D1252&gt;0,IFERROR(Параметры!$D$42*$H1252/$H$2408,0),0)</f>
        <v>0</v>
      </c>
      <c r="K1252" s="87">
        <f>IFERROR(ROUND($N1252*Параметры!$D$36,2),0)</f>
        <v>0</v>
      </c>
      <c r="L1252" s="87">
        <f t="shared" si="138"/>
        <v>0</v>
      </c>
      <c r="M1252" s="87">
        <f t="shared" si="139"/>
        <v>0</v>
      </c>
      <c r="N1252" s="107" t="str">
        <f t="shared" si="140"/>
        <v/>
      </c>
    </row>
    <row r="1253" spans="2:14" x14ac:dyDescent="0.25">
      <c r="B1253" s="82">
        <f>SUBTOTAL(103,$D$8:D1253)</f>
        <v>1246</v>
      </c>
      <c r="C1253" s="83" t="s">
        <v>1258</v>
      </c>
      <c r="D1253" s="84">
        <v>0</v>
      </c>
      <c r="E1253" s="85" t="str">
        <f t="shared" si="135"/>
        <v/>
      </c>
      <c r="F1253" s="106" t="str">
        <f t="shared" si="141"/>
        <v/>
      </c>
      <c r="G1253" s="86"/>
      <c r="H1253" s="107">
        <f t="shared" si="136"/>
        <v>0</v>
      </c>
      <c r="I1253" s="107">
        <f t="shared" si="137"/>
        <v>0</v>
      </c>
      <c r="J1253" s="87">
        <f>IF($D1253&gt;0,IFERROR(Параметры!$D$42*$H1253/$H$2408,0),0)</f>
        <v>0</v>
      </c>
      <c r="K1253" s="87">
        <f>IFERROR(ROUND($N1253*Параметры!$D$36,2),0)</f>
        <v>0</v>
      </c>
      <c r="L1253" s="87">
        <f t="shared" si="138"/>
        <v>0</v>
      </c>
      <c r="M1253" s="87">
        <f t="shared" si="139"/>
        <v>0</v>
      </c>
      <c r="N1253" s="107" t="str">
        <f t="shared" si="140"/>
        <v/>
      </c>
    </row>
    <row r="1254" spans="2:14" x14ac:dyDescent="0.25">
      <c r="B1254" s="82">
        <f>SUBTOTAL(103,$D$8:D1254)</f>
        <v>1247</v>
      </c>
      <c r="C1254" s="83" t="s">
        <v>1259</v>
      </c>
      <c r="D1254" s="84">
        <v>0</v>
      </c>
      <c r="E1254" s="85" t="str">
        <f t="shared" si="135"/>
        <v/>
      </c>
      <c r="F1254" s="106" t="str">
        <f t="shared" si="141"/>
        <v/>
      </c>
      <c r="G1254" s="86"/>
      <c r="H1254" s="107">
        <f t="shared" si="136"/>
        <v>0</v>
      </c>
      <c r="I1254" s="107">
        <f t="shared" si="137"/>
        <v>0</v>
      </c>
      <c r="J1254" s="87">
        <f>IF($D1254&gt;0,IFERROR(Параметры!$D$42*$H1254/$H$2408,0),0)</f>
        <v>0</v>
      </c>
      <c r="K1254" s="87">
        <f>IFERROR(ROUND($N1254*Параметры!$D$36,2),0)</f>
        <v>0</v>
      </c>
      <c r="L1254" s="87">
        <f t="shared" si="138"/>
        <v>0</v>
      </c>
      <c r="M1254" s="87">
        <f t="shared" si="139"/>
        <v>0</v>
      </c>
      <c r="N1254" s="107" t="str">
        <f t="shared" si="140"/>
        <v/>
      </c>
    </row>
    <row r="1255" spans="2:14" x14ac:dyDescent="0.25">
      <c r="B1255" s="82">
        <f>SUBTOTAL(103,$D$8:D1255)</f>
        <v>1248</v>
      </c>
      <c r="C1255" s="83" t="s">
        <v>1260</v>
      </c>
      <c r="D1255" s="84">
        <v>0</v>
      </c>
      <c r="E1255" s="85" t="str">
        <f t="shared" si="135"/>
        <v/>
      </c>
      <c r="F1255" s="106" t="str">
        <f t="shared" si="141"/>
        <v/>
      </c>
      <c r="G1255" s="86"/>
      <c r="H1255" s="107">
        <f t="shared" si="136"/>
        <v>0</v>
      </c>
      <c r="I1255" s="107">
        <f t="shared" si="137"/>
        <v>0</v>
      </c>
      <c r="J1255" s="87">
        <f>IF($D1255&gt;0,IFERROR(Параметры!$D$42*$H1255/$H$2408,0),0)</f>
        <v>0</v>
      </c>
      <c r="K1255" s="87">
        <f>IFERROR(ROUND($N1255*Параметры!$D$36,2),0)</f>
        <v>0</v>
      </c>
      <c r="L1255" s="87">
        <f t="shared" si="138"/>
        <v>0</v>
      </c>
      <c r="M1255" s="87">
        <f t="shared" si="139"/>
        <v>0</v>
      </c>
      <c r="N1255" s="107" t="str">
        <f t="shared" si="140"/>
        <v/>
      </c>
    </row>
    <row r="1256" spans="2:14" x14ac:dyDescent="0.25">
      <c r="B1256" s="82">
        <f>SUBTOTAL(103,$D$8:D1256)</f>
        <v>1249</v>
      </c>
      <c r="C1256" s="83" t="s">
        <v>1261</v>
      </c>
      <c r="D1256" s="84">
        <v>0</v>
      </c>
      <c r="E1256" s="85" t="str">
        <f t="shared" si="135"/>
        <v/>
      </c>
      <c r="F1256" s="106" t="str">
        <f t="shared" si="141"/>
        <v/>
      </c>
      <c r="G1256" s="86"/>
      <c r="H1256" s="107">
        <f t="shared" si="136"/>
        <v>0</v>
      </c>
      <c r="I1256" s="107">
        <f t="shared" si="137"/>
        <v>0</v>
      </c>
      <c r="J1256" s="87">
        <f>IF($D1256&gt;0,IFERROR(Параметры!$D$42*$H1256/$H$2408,0),0)</f>
        <v>0</v>
      </c>
      <c r="K1256" s="87">
        <f>IFERROR(ROUND($N1256*Параметры!$D$36,2),0)</f>
        <v>0</v>
      </c>
      <c r="L1256" s="87">
        <f t="shared" si="138"/>
        <v>0</v>
      </c>
      <c r="M1256" s="87">
        <f t="shared" si="139"/>
        <v>0</v>
      </c>
      <c r="N1256" s="107" t="str">
        <f t="shared" si="140"/>
        <v/>
      </c>
    </row>
    <row r="1257" spans="2:14" x14ac:dyDescent="0.25">
      <c r="B1257" s="82">
        <f>SUBTOTAL(103,$D$8:D1257)</f>
        <v>1250</v>
      </c>
      <c r="C1257" s="83" t="s">
        <v>1262</v>
      </c>
      <c r="D1257" s="84">
        <v>0</v>
      </c>
      <c r="E1257" s="85" t="str">
        <f t="shared" si="135"/>
        <v/>
      </c>
      <c r="F1257" s="106" t="str">
        <f t="shared" si="141"/>
        <v/>
      </c>
      <c r="G1257" s="86"/>
      <c r="H1257" s="107">
        <f t="shared" si="136"/>
        <v>0</v>
      </c>
      <c r="I1257" s="107">
        <f t="shared" si="137"/>
        <v>0</v>
      </c>
      <c r="J1257" s="87">
        <f>IF($D1257&gt;0,IFERROR(Параметры!$D$42*$H1257/$H$2408,0),0)</f>
        <v>0</v>
      </c>
      <c r="K1257" s="87">
        <f>IFERROR(ROUND($N1257*Параметры!$D$36,2),0)</f>
        <v>0</v>
      </c>
      <c r="L1257" s="87">
        <f t="shared" si="138"/>
        <v>0</v>
      </c>
      <c r="M1257" s="87">
        <f t="shared" si="139"/>
        <v>0</v>
      </c>
      <c r="N1257" s="107" t="str">
        <f t="shared" si="140"/>
        <v/>
      </c>
    </row>
    <row r="1258" spans="2:14" x14ac:dyDescent="0.25">
      <c r="B1258" s="82">
        <f>SUBTOTAL(103,$D$8:D1258)</f>
        <v>1251</v>
      </c>
      <c r="C1258" s="83" t="s">
        <v>1263</v>
      </c>
      <c r="D1258" s="84">
        <v>0</v>
      </c>
      <c r="E1258" s="85" t="str">
        <f t="shared" si="135"/>
        <v/>
      </c>
      <c r="F1258" s="106" t="str">
        <f t="shared" si="141"/>
        <v/>
      </c>
      <c r="G1258" s="86"/>
      <c r="H1258" s="107">
        <f t="shared" si="136"/>
        <v>0</v>
      </c>
      <c r="I1258" s="107">
        <f t="shared" si="137"/>
        <v>0</v>
      </c>
      <c r="J1258" s="87">
        <f>IF($D1258&gt;0,IFERROR(Параметры!$D$42*$H1258/$H$2408,0),0)</f>
        <v>0</v>
      </c>
      <c r="K1258" s="87">
        <f>IFERROR(ROUND($N1258*Параметры!$D$36,2),0)</f>
        <v>0</v>
      </c>
      <c r="L1258" s="87">
        <f t="shared" si="138"/>
        <v>0</v>
      </c>
      <c r="M1258" s="87">
        <f t="shared" si="139"/>
        <v>0</v>
      </c>
      <c r="N1258" s="107" t="str">
        <f t="shared" si="140"/>
        <v/>
      </c>
    </row>
    <row r="1259" spans="2:14" x14ac:dyDescent="0.25">
      <c r="B1259" s="82">
        <f>SUBTOTAL(103,$D$8:D1259)</f>
        <v>1252</v>
      </c>
      <c r="C1259" s="83" t="s">
        <v>1264</v>
      </c>
      <c r="D1259" s="84">
        <v>0</v>
      </c>
      <c r="E1259" s="85" t="str">
        <f t="shared" si="135"/>
        <v/>
      </c>
      <c r="F1259" s="106" t="str">
        <f t="shared" si="141"/>
        <v/>
      </c>
      <c r="G1259" s="86"/>
      <c r="H1259" s="107">
        <f t="shared" si="136"/>
        <v>0</v>
      </c>
      <c r="I1259" s="107">
        <f t="shared" si="137"/>
        <v>0</v>
      </c>
      <c r="J1259" s="87">
        <f>IF($D1259&gt;0,IFERROR(Параметры!$D$42*$H1259/$H$2408,0),0)</f>
        <v>0</v>
      </c>
      <c r="K1259" s="87">
        <f>IFERROR(ROUND($N1259*Параметры!$D$36,2),0)</f>
        <v>0</v>
      </c>
      <c r="L1259" s="87">
        <f t="shared" si="138"/>
        <v>0</v>
      </c>
      <c r="M1259" s="87">
        <f t="shared" si="139"/>
        <v>0</v>
      </c>
      <c r="N1259" s="107" t="str">
        <f t="shared" si="140"/>
        <v/>
      </c>
    </row>
    <row r="1260" spans="2:14" x14ac:dyDescent="0.25">
      <c r="B1260" s="82">
        <f>SUBTOTAL(103,$D$8:D1260)</f>
        <v>1253</v>
      </c>
      <c r="C1260" s="83" t="s">
        <v>1265</v>
      </c>
      <c r="D1260" s="84">
        <v>0</v>
      </c>
      <c r="E1260" s="85" t="str">
        <f t="shared" si="135"/>
        <v/>
      </c>
      <c r="F1260" s="106" t="str">
        <f t="shared" si="141"/>
        <v/>
      </c>
      <c r="G1260" s="86"/>
      <c r="H1260" s="107">
        <f t="shared" si="136"/>
        <v>0</v>
      </c>
      <c r="I1260" s="107">
        <f t="shared" si="137"/>
        <v>0</v>
      </c>
      <c r="J1260" s="87">
        <f>IF($D1260&gt;0,IFERROR(Параметры!$D$42*$H1260/$H$2408,0),0)</f>
        <v>0</v>
      </c>
      <c r="K1260" s="87">
        <f>IFERROR(ROUND($N1260*Параметры!$D$36,2),0)</f>
        <v>0</v>
      </c>
      <c r="L1260" s="87">
        <f t="shared" si="138"/>
        <v>0</v>
      </c>
      <c r="M1260" s="87">
        <f t="shared" si="139"/>
        <v>0</v>
      </c>
      <c r="N1260" s="107" t="str">
        <f t="shared" si="140"/>
        <v/>
      </c>
    </row>
    <row r="1261" spans="2:14" x14ac:dyDescent="0.25">
      <c r="B1261" s="82">
        <f>SUBTOTAL(103,$D$8:D1261)</f>
        <v>1254</v>
      </c>
      <c r="C1261" s="83" t="s">
        <v>1266</v>
      </c>
      <c r="D1261" s="84">
        <v>0</v>
      </c>
      <c r="E1261" s="85" t="str">
        <f t="shared" si="135"/>
        <v/>
      </c>
      <c r="F1261" s="106" t="str">
        <f t="shared" si="141"/>
        <v/>
      </c>
      <c r="G1261" s="86"/>
      <c r="H1261" s="107">
        <f t="shared" si="136"/>
        <v>0</v>
      </c>
      <c r="I1261" s="107">
        <f t="shared" si="137"/>
        <v>0</v>
      </c>
      <c r="J1261" s="87">
        <f>IF($D1261&gt;0,IFERROR(Параметры!$D$42*$H1261/$H$2408,0),0)</f>
        <v>0</v>
      </c>
      <c r="K1261" s="87">
        <f>IFERROR(ROUND($N1261*Параметры!$D$36,2),0)</f>
        <v>0</v>
      </c>
      <c r="L1261" s="87">
        <f t="shared" si="138"/>
        <v>0</v>
      </c>
      <c r="M1261" s="87">
        <f t="shared" si="139"/>
        <v>0</v>
      </c>
      <c r="N1261" s="107" t="str">
        <f t="shared" si="140"/>
        <v/>
      </c>
    </row>
    <row r="1262" spans="2:14" x14ac:dyDescent="0.25">
      <c r="B1262" s="82">
        <f>SUBTOTAL(103,$D$8:D1262)</f>
        <v>1255</v>
      </c>
      <c r="C1262" s="83" t="s">
        <v>1267</v>
      </c>
      <c r="D1262" s="84">
        <v>0</v>
      </c>
      <c r="E1262" s="85" t="str">
        <f t="shared" si="135"/>
        <v/>
      </c>
      <c r="F1262" s="106" t="str">
        <f t="shared" si="141"/>
        <v/>
      </c>
      <c r="G1262" s="86"/>
      <c r="H1262" s="107">
        <f t="shared" si="136"/>
        <v>0</v>
      </c>
      <c r="I1262" s="107">
        <f t="shared" si="137"/>
        <v>0</v>
      </c>
      <c r="J1262" s="87">
        <f>IF($D1262&gt;0,IFERROR(Параметры!$D$42*$H1262/$H$2408,0),0)</f>
        <v>0</v>
      </c>
      <c r="K1262" s="87">
        <f>IFERROR(ROUND($N1262*Параметры!$D$36,2),0)</f>
        <v>0</v>
      </c>
      <c r="L1262" s="87">
        <f t="shared" si="138"/>
        <v>0</v>
      </c>
      <c r="M1262" s="87">
        <f t="shared" si="139"/>
        <v>0</v>
      </c>
      <c r="N1262" s="107" t="str">
        <f t="shared" si="140"/>
        <v/>
      </c>
    </row>
    <row r="1263" spans="2:14" x14ac:dyDescent="0.25">
      <c r="B1263" s="82">
        <f>SUBTOTAL(103,$D$8:D1263)</f>
        <v>1256</v>
      </c>
      <c r="C1263" s="83" t="s">
        <v>1268</v>
      </c>
      <c r="D1263" s="84">
        <v>0</v>
      </c>
      <c r="E1263" s="85" t="str">
        <f t="shared" si="135"/>
        <v/>
      </c>
      <c r="F1263" s="106" t="str">
        <f t="shared" si="141"/>
        <v/>
      </c>
      <c r="G1263" s="86"/>
      <c r="H1263" s="107">
        <f t="shared" si="136"/>
        <v>0</v>
      </c>
      <c r="I1263" s="107">
        <f t="shared" si="137"/>
        <v>0</v>
      </c>
      <c r="J1263" s="87">
        <f>IF($D1263&gt;0,IFERROR(Параметры!$D$42*$H1263/$H$2408,0),0)</f>
        <v>0</v>
      </c>
      <c r="K1263" s="87">
        <f>IFERROR(ROUND($N1263*Параметры!$D$36,2),0)</f>
        <v>0</v>
      </c>
      <c r="L1263" s="87">
        <f t="shared" si="138"/>
        <v>0</v>
      </c>
      <c r="M1263" s="87">
        <f t="shared" si="139"/>
        <v>0</v>
      </c>
      <c r="N1263" s="107" t="str">
        <f t="shared" si="140"/>
        <v/>
      </c>
    </row>
    <row r="1264" spans="2:14" x14ac:dyDescent="0.25">
      <c r="B1264" s="82">
        <f>SUBTOTAL(103,$D$8:D1264)</f>
        <v>1257</v>
      </c>
      <c r="C1264" s="83" t="s">
        <v>1269</v>
      </c>
      <c r="D1264" s="84">
        <v>0</v>
      </c>
      <c r="E1264" s="85" t="str">
        <f t="shared" si="135"/>
        <v/>
      </c>
      <c r="F1264" s="106" t="str">
        <f t="shared" si="141"/>
        <v/>
      </c>
      <c r="G1264" s="86"/>
      <c r="H1264" s="107">
        <f t="shared" si="136"/>
        <v>0</v>
      </c>
      <c r="I1264" s="107">
        <f t="shared" si="137"/>
        <v>0</v>
      </c>
      <c r="J1264" s="87">
        <f>IF($D1264&gt;0,IFERROR(Параметры!$D$42*$H1264/$H$2408,0),0)</f>
        <v>0</v>
      </c>
      <c r="K1264" s="87">
        <f>IFERROR(ROUND($N1264*Параметры!$D$36,2),0)</f>
        <v>0</v>
      </c>
      <c r="L1264" s="87">
        <f t="shared" si="138"/>
        <v>0</v>
      </c>
      <c r="M1264" s="87">
        <f t="shared" si="139"/>
        <v>0</v>
      </c>
      <c r="N1264" s="107" t="str">
        <f t="shared" si="140"/>
        <v/>
      </c>
    </row>
    <row r="1265" spans="2:14" x14ac:dyDescent="0.25">
      <c r="B1265" s="82">
        <f>SUBTOTAL(103,$D$8:D1265)</f>
        <v>1258</v>
      </c>
      <c r="C1265" s="83" t="s">
        <v>1270</v>
      </c>
      <c r="D1265" s="84">
        <v>0</v>
      </c>
      <c r="E1265" s="85" t="str">
        <f t="shared" si="135"/>
        <v/>
      </c>
      <c r="F1265" s="106" t="str">
        <f t="shared" si="141"/>
        <v/>
      </c>
      <c r="G1265" s="86"/>
      <c r="H1265" s="107">
        <f t="shared" si="136"/>
        <v>0</v>
      </c>
      <c r="I1265" s="107">
        <f t="shared" si="137"/>
        <v>0</v>
      </c>
      <c r="J1265" s="87">
        <f>IF($D1265&gt;0,IFERROR(Параметры!$D$42*$H1265/$H$2408,0),0)</f>
        <v>0</v>
      </c>
      <c r="K1265" s="87">
        <f>IFERROR(ROUND($N1265*Параметры!$D$36,2),0)</f>
        <v>0</v>
      </c>
      <c r="L1265" s="87">
        <f t="shared" si="138"/>
        <v>0</v>
      </c>
      <c r="M1265" s="87">
        <f t="shared" si="139"/>
        <v>0</v>
      </c>
      <c r="N1265" s="107" t="str">
        <f t="shared" si="140"/>
        <v/>
      </c>
    </row>
    <row r="1266" spans="2:14" x14ac:dyDescent="0.25">
      <c r="B1266" s="82">
        <f>SUBTOTAL(103,$D$8:D1266)</f>
        <v>1259</v>
      </c>
      <c r="C1266" s="83" t="s">
        <v>1271</v>
      </c>
      <c r="D1266" s="84">
        <v>0</v>
      </c>
      <c r="E1266" s="85" t="str">
        <f t="shared" si="135"/>
        <v/>
      </c>
      <c r="F1266" s="106" t="str">
        <f t="shared" si="141"/>
        <v/>
      </c>
      <c r="G1266" s="86"/>
      <c r="H1266" s="107">
        <f t="shared" si="136"/>
        <v>0</v>
      </c>
      <c r="I1266" s="107">
        <f t="shared" si="137"/>
        <v>0</v>
      </c>
      <c r="J1266" s="87">
        <f>IF($D1266&gt;0,IFERROR(Параметры!$D$42*$H1266/$H$2408,0),0)</f>
        <v>0</v>
      </c>
      <c r="K1266" s="87">
        <f>IFERROR(ROUND($N1266*Параметры!$D$36,2),0)</f>
        <v>0</v>
      </c>
      <c r="L1266" s="87">
        <f t="shared" si="138"/>
        <v>0</v>
      </c>
      <c r="M1266" s="87">
        <f t="shared" si="139"/>
        <v>0</v>
      </c>
      <c r="N1266" s="107" t="str">
        <f t="shared" si="140"/>
        <v/>
      </c>
    </row>
    <row r="1267" spans="2:14" x14ac:dyDescent="0.25">
      <c r="B1267" s="82">
        <f>SUBTOTAL(103,$D$8:D1267)</f>
        <v>1260</v>
      </c>
      <c r="C1267" s="83" t="s">
        <v>1272</v>
      </c>
      <c r="D1267" s="84">
        <v>0</v>
      </c>
      <c r="E1267" s="85" t="str">
        <f t="shared" si="135"/>
        <v/>
      </c>
      <c r="F1267" s="106" t="str">
        <f t="shared" si="141"/>
        <v/>
      </c>
      <c r="G1267" s="86"/>
      <c r="H1267" s="107">
        <f t="shared" si="136"/>
        <v>0</v>
      </c>
      <c r="I1267" s="107">
        <f t="shared" si="137"/>
        <v>0</v>
      </c>
      <c r="J1267" s="87">
        <f>IF($D1267&gt;0,IFERROR(Параметры!$D$42*$H1267/$H$2408,0),0)</f>
        <v>0</v>
      </c>
      <c r="K1267" s="87">
        <f>IFERROR(ROUND($N1267*Параметры!$D$36,2),0)</f>
        <v>0</v>
      </c>
      <c r="L1267" s="87">
        <f t="shared" si="138"/>
        <v>0</v>
      </c>
      <c r="M1267" s="87">
        <f t="shared" si="139"/>
        <v>0</v>
      </c>
      <c r="N1267" s="107" t="str">
        <f t="shared" si="140"/>
        <v/>
      </c>
    </row>
    <row r="1268" spans="2:14" x14ac:dyDescent="0.25">
      <c r="B1268" s="82">
        <f>SUBTOTAL(103,$D$8:D1268)</f>
        <v>1261</v>
      </c>
      <c r="C1268" s="83" t="s">
        <v>1273</v>
      </c>
      <c r="D1268" s="84">
        <f t="array" ref="D1268:D1327">TRANSPOSE('Зарядная карта'!$C$26:$BJ$26)</f>
        <v>4</v>
      </c>
      <c r="E1268" s="85">
        <f t="shared" si="135"/>
        <v>62.814700000000002</v>
      </c>
      <c r="F1268" s="106">
        <f t="shared" si="141"/>
        <v>2</v>
      </c>
      <c r="G1268" s="86"/>
      <c r="H1268" s="107">
        <f t="shared" si="136"/>
        <v>3.44</v>
      </c>
      <c r="I1268" s="107">
        <f t="shared" si="137"/>
        <v>0.56000000000000005</v>
      </c>
      <c r="J1268" s="87">
        <f>IF($D1268&gt;0,IFERROR(Параметры!$D$42*$H1268/$H$2408,0),0)</f>
        <v>60.103959390862947</v>
      </c>
      <c r="K1268" s="87">
        <f>IFERROR(ROUND($N1268*Параметры!$D$36,2),0)</f>
        <v>59.54</v>
      </c>
      <c r="L1268" s="87">
        <f t="shared" si="138"/>
        <v>3.2747000000000002</v>
      </c>
      <c r="M1268" s="87">
        <f t="shared" si="139"/>
        <v>3.8420790191534921</v>
      </c>
      <c r="N1268" s="107">
        <f t="shared" si="140"/>
        <v>2</v>
      </c>
    </row>
    <row r="1269" spans="2:14" x14ac:dyDescent="0.25">
      <c r="B1269" s="82">
        <f>SUBTOTAL(103,$D$8:D1269)</f>
        <v>1262</v>
      </c>
      <c r="C1269" s="83" t="s">
        <v>1274</v>
      </c>
      <c r="D1269" s="84">
        <v>4</v>
      </c>
      <c r="E1269" s="85">
        <f t="shared" si="135"/>
        <v>62.814700000000002</v>
      </c>
      <c r="F1269" s="106">
        <f t="shared" si="141"/>
        <v>2</v>
      </c>
      <c r="G1269" s="86"/>
      <c r="H1269" s="107">
        <f t="shared" si="136"/>
        <v>3.44</v>
      </c>
      <c r="I1269" s="107">
        <f t="shared" si="137"/>
        <v>0.56000000000000005</v>
      </c>
      <c r="J1269" s="87">
        <f>IF($D1269&gt;0,IFERROR(Параметры!$D$42*$H1269/$H$2408,0),0)</f>
        <v>60.103959390862947</v>
      </c>
      <c r="K1269" s="87">
        <f>IFERROR(ROUND($N1269*Параметры!$D$36,2),0)</f>
        <v>59.54</v>
      </c>
      <c r="L1269" s="87">
        <f t="shared" si="138"/>
        <v>3.2747000000000002</v>
      </c>
      <c r="M1269" s="87">
        <f t="shared" si="139"/>
        <v>3.8420790191534921</v>
      </c>
      <c r="N1269" s="107">
        <f t="shared" si="140"/>
        <v>2</v>
      </c>
    </row>
    <row r="1270" spans="2:14" x14ac:dyDescent="0.25">
      <c r="B1270" s="82">
        <f>SUBTOTAL(103,$D$8:D1270)</f>
        <v>1263</v>
      </c>
      <c r="C1270" s="83" t="s">
        <v>1275</v>
      </c>
      <c r="D1270" s="84">
        <v>4</v>
      </c>
      <c r="E1270" s="85">
        <f t="shared" si="135"/>
        <v>62.814700000000002</v>
      </c>
      <c r="F1270" s="106">
        <f t="shared" si="141"/>
        <v>2</v>
      </c>
      <c r="G1270" s="86"/>
      <c r="H1270" s="107">
        <f t="shared" si="136"/>
        <v>3.44</v>
      </c>
      <c r="I1270" s="107">
        <f t="shared" si="137"/>
        <v>0.56000000000000005</v>
      </c>
      <c r="J1270" s="87">
        <f>IF($D1270&gt;0,IFERROR(Параметры!$D$42*$H1270/$H$2408,0),0)</f>
        <v>60.103959390862947</v>
      </c>
      <c r="K1270" s="87">
        <f>IFERROR(ROUND($N1270*Параметры!$D$36,2),0)</f>
        <v>59.54</v>
      </c>
      <c r="L1270" s="87">
        <f t="shared" si="138"/>
        <v>3.2747000000000002</v>
      </c>
      <c r="M1270" s="87">
        <f t="shared" si="139"/>
        <v>3.8420790191534921</v>
      </c>
      <c r="N1270" s="107">
        <f t="shared" si="140"/>
        <v>2</v>
      </c>
    </row>
    <row r="1271" spans="2:14" x14ac:dyDescent="0.25">
      <c r="B1271" s="82">
        <f>SUBTOTAL(103,$D$8:D1271)</f>
        <v>1264</v>
      </c>
      <c r="C1271" s="83" t="s">
        <v>1276</v>
      </c>
      <c r="D1271" s="84">
        <v>4</v>
      </c>
      <c r="E1271" s="85">
        <f t="shared" si="135"/>
        <v>62.814700000000002</v>
      </c>
      <c r="F1271" s="106">
        <f t="shared" si="141"/>
        <v>2</v>
      </c>
      <c r="G1271" s="86"/>
      <c r="H1271" s="107">
        <f t="shared" si="136"/>
        <v>3.44</v>
      </c>
      <c r="I1271" s="107">
        <f t="shared" si="137"/>
        <v>0.56000000000000005</v>
      </c>
      <c r="J1271" s="87">
        <f>IF($D1271&gt;0,IFERROR(Параметры!$D$42*$H1271/$H$2408,0),0)</f>
        <v>60.103959390862947</v>
      </c>
      <c r="K1271" s="87">
        <f>IFERROR(ROUND($N1271*Параметры!$D$36,2),0)</f>
        <v>59.54</v>
      </c>
      <c r="L1271" s="87">
        <f t="shared" si="138"/>
        <v>3.2747000000000002</v>
      </c>
      <c r="M1271" s="87">
        <f t="shared" si="139"/>
        <v>3.8420790191534921</v>
      </c>
      <c r="N1271" s="107">
        <f t="shared" si="140"/>
        <v>2</v>
      </c>
    </row>
    <row r="1272" spans="2:14" x14ac:dyDescent="0.25">
      <c r="B1272" s="82">
        <f>SUBTOTAL(103,$D$8:D1272)</f>
        <v>1265</v>
      </c>
      <c r="C1272" s="83" t="s">
        <v>1277</v>
      </c>
      <c r="D1272" s="84">
        <v>8</v>
      </c>
      <c r="E1272" s="85">
        <f t="shared" si="135"/>
        <v>188.44409999999999</v>
      </c>
      <c r="F1272" s="106">
        <f t="shared" si="141"/>
        <v>2</v>
      </c>
      <c r="G1272" s="86"/>
      <c r="H1272" s="107">
        <f t="shared" si="136"/>
        <v>6.88</v>
      </c>
      <c r="I1272" s="107">
        <f t="shared" si="137"/>
        <v>1.1200000000000001</v>
      </c>
      <c r="J1272" s="87">
        <f>IF($D1272&gt;0,IFERROR(Параметры!$D$42*$H1272/$H$2408,0),0)</f>
        <v>120.20791878172589</v>
      </c>
      <c r="K1272" s="87">
        <f>IFERROR(ROUND($N1272*Параметры!$D$36,2),0)</f>
        <v>178.62</v>
      </c>
      <c r="L1272" s="87">
        <f t="shared" si="138"/>
        <v>9.8240999999999996</v>
      </c>
      <c r="M1272" s="87">
        <f t="shared" si="139"/>
        <v>11.526237057460476</v>
      </c>
      <c r="N1272" s="107">
        <f t="shared" si="140"/>
        <v>6</v>
      </c>
    </row>
    <row r="1273" spans="2:14" x14ac:dyDescent="0.25">
      <c r="B1273" s="82">
        <f>SUBTOTAL(103,$D$8:D1273)</f>
        <v>1266</v>
      </c>
      <c r="C1273" s="83" t="s">
        <v>1278</v>
      </c>
      <c r="D1273" s="84">
        <v>8</v>
      </c>
      <c r="E1273" s="85">
        <f t="shared" si="135"/>
        <v>188.44409999999999</v>
      </c>
      <c r="F1273" s="106">
        <f t="shared" si="141"/>
        <v>2</v>
      </c>
      <c r="G1273" s="86"/>
      <c r="H1273" s="107">
        <f t="shared" si="136"/>
        <v>6.88</v>
      </c>
      <c r="I1273" s="107">
        <f t="shared" si="137"/>
        <v>1.1200000000000001</v>
      </c>
      <c r="J1273" s="87">
        <f>IF($D1273&gt;0,IFERROR(Параметры!$D$42*$H1273/$H$2408,0),0)</f>
        <v>120.20791878172589</v>
      </c>
      <c r="K1273" s="87">
        <f>IFERROR(ROUND($N1273*Параметры!$D$36,2),0)</f>
        <v>178.62</v>
      </c>
      <c r="L1273" s="87">
        <f t="shared" si="138"/>
        <v>9.8240999999999996</v>
      </c>
      <c r="M1273" s="87">
        <f t="shared" si="139"/>
        <v>11.526237057460476</v>
      </c>
      <c r="N1273" s="107">
        <f t="shared" si="140"/>
        <v>6</v>
      </c>
    </row>
    <row r="1274" spans="2:14" x14ac:dyDescent="0.25">
      <c r="B1274" s="82">
        <f>SUBTOTAL(103,$D$8:D1274)</f>
        <v>1267</v>
      </c>
      <c r="C1274" s="83" t="s">
        <v>1279</v>
      </c>
      <c r="D1274" s="84">
        <v>8</v>
      </c>
      <c r="E1274" s="85">
        <f t="shared" si="135"/>
        <v>188.44409999999999</v>
      </c>
      <c r="F1274" s="106">
        <f t="shared" si="141"/>
        <v>2</v>
      </c>
      <c r="G1274" s="86"/>
      <c r="H1274" s="107">
        <f t="shared" si="136"/>
        <v>6.88</v>
      </c>
      <c r="I1274" s="107">
        <f t="shared" si="137"/>
        <v>1.1200000000000001</v>
      </c>
      <c r="J1274" s="87">
        <f>IF($D1274&gt;0,IFERROR(Параметры!$D$42*$H1274/$H$2408,0),0)</f>
        <v>120.20791878172589</v>
      </c>
      <c r="K1274" s="87">
        <f>IFERROR(ROUND($N1274*Параметры!$D$36,2),0)</f>
        <v>178.62</v>
      </c>
      <c r="L1274" s="87">
        <f t="shared" si="138"/>
        <v>9.8240999999999996</v>
      </c>
      <c r="M1274" s="87">
        <f t="shared" si="139"/>
        <v>11.526237057460476</v>
      </c>
      <c r="N1274" s="107">
        <f t="shared" si="140"/>
        <v>6</v>
      </c>
    </row>
    <row r="1275" spans="2:14" x14ac:dyDescent="0.25">
      <c r="B1275" s="82">
        <f>SUBTOTAL(103,$D$8:D1275)</f>
        <v>1268</v>
      </c>
      <c r="C1275" s="83" t="s">
        <v>1280</v>
      </c>
      <c r="D1275" s="84">
        <v>8</v>
      </c>
      <c r="E1275" s="85">
        <f t="shared" si="135"/>
        <v>188.44409999999999</v>
      </c>
      <c r="F1275" s="106">
        <f t="shared" si="141"/>
        <v>2</v>
      </c>
      <c r="G1275" s="86"/>
      <c r="H1275" s="107">
        <f t="shared" si="136"/>
        <v>6.88</v>
      </c>
      <c r="I1275" s="107">
        <f t="shared" si="137"/>
        <v>1.1200000000000001</v>
      </c>
      <c r="J1275" s="87">
        <f>IF($D1275&gt;0,IFERROR(Параметры!$D$42*$H1275/$H$2408,0),0)</f>
        <v>120.20791878172589</v>
      </c>
      <c r="K1275" s="87">
        <f>IFERROR(ROUND($N1275*Параметры!$D$36,2),0)</f>
        <v>178.62</v>
      </c>
      <c r="L1275" s="87">
        <f t="shared" si="138"/>
        <v>9.8240999999999996</v>
      </c>
      <c r="M1275" s="87">
        <f t="shared" si="139"/>
        <v>11.526237057460476</v>
      </c>
      <c r="N1275" s="107">
        <f t="shared" si="140"/>
        <v>6</v>
      </c>
    </row>
    <row r="1276" spans="2:14" x14ac:dyDescent="0.25">
      <c r="B1276" s="82">
        <f>SUBTOTAL(103,$D$8:D1276)</f>
        <v>1269</v>
      </c>
      <c r="C1276" s="83" t="s">
        <v>1281</v>
      </c>
      <c r="D1276" s="84">
        <v>4</v>
      </c>
      <c r="E1276" s="85">
        <f t="shared" si="135"/>
        <v>62.814700000000002</v>
      </c>
      <c r="F1276" s="106">
        <f t="shared" si="141"/>
        <v>2</v>
      </c>
      <c r="G1276" s="86"/>
      <c r="H1276" s="107">
        <f t="shared" si="136"/>
        <v>3.44</v>
      </c>
      <c r="I1276" s="107">
        <f t="shared" si="137"/>
        <v>0.56000000000000005</v>
      </c>
      <c r="J1276" s="87">
        <f>IF($D1276&gt;0,IFERROR(Параметры!$D$42*$H1276/$H$2408,0),0)</f>
        <v>60.103959390862947</v>
      </c>
      <c r="K1276" s="87">
        <f>IFERROR(ROUND($N1276*Параметры!$D$36,2),0)</f>
        <v>59.54</v>
      </c>
      <c r="L1276" s="87">
        <f t="shared" si="138"/>
        <v>3.2747000000000002</v>
      </c>
      <c r="M1276" s="87">
        <f t="shared" si="139"/>
        <v>3.8420790191534921</v>
      </c>
      <c r="N1276" s="107">
        <f t="shared" si="140"/>
        <v>2</v>
      </c>
    </row>
    <row r="1277" spans="2:14" x14ac:dyDescent="0.25">
      <c r="B1277" s="82">
        <f>SUBTOTAL(103,$D$8:D1277)</f>
        <v>1270</v>
      </c>
      <c r="C1277" s="83" t="s">
        <v>1282</v>
      </c>
      <c r="D1277" s="84">
        <v>0</v>
      </c>
      <c r="E1277" s="85" t="str">
        <f t="shared" si="135"/>
        <v/>
      </c>
      <c r="F1277" s="106" t="str">
        <f t="shared" si="141"/>
        <v/>
      </c>
      <c r="G1277" s="86"/>
      <c r="H1277" s="107">
        <f t="shared" si="136"/>
        <v>0</v>
      </c>
      <c r="I1277" s="107">
        <f t="shared" si="137"/>
        <v>0</v>
      </c>
      <c r="J1277" s="87">
        <f>IF($D1277&gt;0,IFERROR(Параметры!$D$42*$H1277/$H$2408,0),0)</f>
        <v>0</v>
      </c>
      <c r="K1277" s="87">
        <f>IFERROR(ROUND($N1277*Параметры!$D$36,2),0)</f>
        <v>0</v>
      </c>
      <c r="L1277" s="87">
        <f t="shared" si="138"/>
        <v>0</v>
      </c>
      <c r="M1277" s="87">
        <f t="shared" si="139"/>
        <v>0</v>
      </c>
      <c r="N1277" s="107" t="str">
        <f t="shared" si="140"/>
        <v/>
      </c>
    </row>
    <row r="1278" spans="2:14" x14ac:dyDescent="0.25">
      <c r="B1278" s="82">
        <f>SUBTOTAL(103,$D$8:D1278)</f>
        <v>1271</v>
      </c>
      <c r="C1278" s="83" t="s">
        <v>1283</v>
      </c>
      <c r="D1278" s="84">
        <v>0</v>
      </c>
      <c r="E1278" s="85" t="str">
        <f t="shared" si="135"/>
        <v/>
      </c>
      <c r="F1278" s="106" t="str">
        <f t="shared" si="141"/>
        <v/>
      </c>
      <c r="G1278" s="86"/>
      <c r="H1278" s="107">
        <f t="shared" si="136"/>
        <v>0</v>
      </c>
      <c r="I1278" s="107">
        <f t="shared" si="137"/>
        <v>0</v>
      </c>
      <c r="J1278" s="87">
        <f>IF($D1278&gt;0,IFERROR(Параметры!$D$42*$H1278/$H$2408,0),0)</f>
        <v>0</v>
      </c>
      <c r="K1278" s="87">
        <f>IFERROR(ROUND($N1278*Параметры!$D$36,2),0)</f>
        <v>0</v>
      </c>
      <c r="L1278" s="87">
        <f t="shared" si="138"/>
        <v>0</v>
      </c>
      <c r="M1278" s="87">
        <f t="shared" si="139"/>
        <v>0</v>
      </c>
      <c r="N1278" s="107" t="str">
        <f t="shared" si="140"/>
        <v/>
      </c>
    </row>
    <row r="1279" spans="2:14" x14ac:dyDescent="0.25">
      <c r="B1279" s="82">
        <f>SUBTOTAL(103,$D$8:D1279)</f>
        <v>1272</v>
      </c>
      <c r="C1279" s="83" t="s">
        <v>1284</v>
      </c>
      <c r="D1279" s="84">
        <v>0</v>
      </c>
      <c r="E1279" s="85" t="str">
        <f t="shared" si="135"/>
        <v/>
      </c>
      <c r="F1279" s="106" t="str">
        <f t="shared" si="141"/>
        <v/>
      </c>
      <c r="G1279" s="86"/>
      <c r="H1279" s="107">
        <f t="shared" si="136"/>
        <v>0</v>
      </c>
      <c r="I1279" s="107">
        <f t="shared" si="137"/>
        <v>0</v>
      </c>
      <c r="J1279" s="87">
        <f>IF($D1279&gt;0,IFERROR(Параметры!$D$42*$H1279/$H$2408,0),0)</f>
        <v>0</v>
      </c>
      <c r="K1279" s="87">
        <f>IFERROR(ROUND($N1279*Параметры!$D$36,2),0)</f>
        <v>0</v>
      </c>
      <c r="L1279" s="87">
        <f t="shared" si="138"/>
        <v>0</v>
      </c>
      <c r="M1279" s="87">
        <f t="shared" si="139"/>
        <v>0</v>
      </c>
      <c r="N1279" s="107" t="str">
        <f t="shared" si="140"/>
        <v/>
      </c>
    </row>
    <row r="1280" spans="2:14" x14ac:dyDescent="0.25">
      <c r="B1280" s="82">
        <f>SUBTOTAL(103,$D$8:D1280)</f>
        <v>1273</v>
      </c>
      <c r="C1280" s="83" t="s">
        <v>1285</v>
      </c>
      <c r="D1280" s="84">
        <v>0</v>
      </c>
      <c r="E1280" s="85" t="str">
        <f t="shared" si="135"/>
        <v/>
      </c>
      <c r="F1280" s="106" t="str">
        <f t="shared" si="141"/>
        <v/>
      </c>
      <c r="G1280" s="86"/>
      <c r="H1280" s="107">
        <f t="shared" si="136"/>
        <v>0</v>
      </c>
      <c r="I1280" s="107">
        <f t="shared" si="137"/>
        <v>0</v>
      </c>
      <c r="J1280" s="87">
        <f>IF($D1280&gt;0,IFERROR(Параметры!$D$42*$H1280/$H$2408,0),0)</f>
        <v>0</v>
      </c>
      <c r="K1280" s="87">
        <f>IFERROR(ROUND($N1280*Параметры!$D$36,2),0)</f>
        <v>0</v>
      </c>
      <c r="L1280" s="87">
        <f t="shared" si="138"/>
        <v>0</v>
      </c>
      <c r="M1280" s="87">
        <f t="shared" si="139"/>
        <v>0</v>
      </c>
      <c r="N1280" s="107" t="str">
        <f t="shared" si="140"/>
        <v/>
      </c>
    </row>
    <row r="1281" spans="2:14" x14ac:dyDescent="0.25">
      <c r="B1281" s="82">
        <f>SUBTOTAL(103,$D$8:D1281)</f>
        <v>1274</v>
      </c>
      <c r="C1281" s="83" t="s">
        <v>1286</v>
      </c>
      <c r="D1281" s="84">
        <v>0</v>
      </c>
      <c r="E1281" s="85" t="str">
        <f t="shared" si="135"/>
        <v/>
      </c>
      <c r="F1281" s="106" t="str">
        <f t="shared" si="141"/>
        <v/>
      </c>
      <c r="G1281" s="86"/>
      <c r="H1281" s="107">
        <f t="shared" si="136"/>
        <v>0</v>
      </c>
      <c r="I1281" s="107">
        <f t="shared" si="137"/>
        <v>0</v>
      </c>
      <c r="J1281" s="87">
        <f>IF($D1281&gt;0,IFERROR(Параметры!$D$42*$H1281/$H$2408,0),0)</f>
        <v>0</v>
      </c>
      <c r="K1281" s="87">
        <f>IFERROR(ROUND($N1281*Параметры!$D$36,2),0)</f>
        <v>0</v>
      </c>
      <c r="L1281" s="87">
        <f t="shared" si="138"/>
        <v>0</v>
      </c>
      <c r="M1281" s="87">
        <f t="shared" si="139"/>
        <v>0</v>
      </c>
      <c r="N1281" s="107" t="str">
        <f t="shared" si="140"/>
        <v/>
      </c>
    </row>
    <row r="1282" spans="2:14" x14ac:dyDescent="0.25">
      <c r="B1282" s="82">
        <f>SUBTOTAL(103,$D$8:D1282)</f>
        <v>1275</v>
      </c>
      <c r="C1282" s="83" t="s">
        <v>1287</v>
      </c>
      <c r="D1282" s="84">
        <v>0</v>
      </c>
      <c r="E1282" s="85" t="str">
        <f t="shared" si="135"/>
        <v/>
      </c>
      <c r="F1282" s="106" t="str">
        <f t="shared" si="141"/>
        <v/>
      </c>
      <c r="G1282" s="86"/>
      <c r="H1282" s="107">
        <f t="shared" si="136"/>
        <v>0</v>
      </c>
      <c r="I1282" s="107">
        <f t="shared" si="137"/>
        <v>0</v>
      </c>
      <c r="J1282" s="87">
        <f>IF($D1282&gt;0,IFERROR(Параметры!$D$42*$H1282/$H$2408,0),0)</f>
        <v>0</v>
      </c>
      <c r="K1282" s="87">
        <f>IFERROR(ROUND($N1282*Параметры!$D$36,2),0)</f>
        <v>0</v>
      </c>
      <c r="L1282" s="87">
        <f t="shared" si="138"/>
        <v>0</v>
      </c>
      <c r="M1282" s="87">
        <f t="shared" si="139"/>
        <v>0</v>
      </c>
      <c r="N1282" s="107" t="str">
        <f t="shared" si="140"/>
        <v/>
      </c>
    </row>
    <row r="1283" spans="2:14" x14ac:dyDescent="0.25">
      <c r="B1283" s="82">
        <f>SUBTOTAL(103,$D$8:D1283)</f>
        <v>1276</v>
      </c>
      <c r="C1283" s="83" t="s">
        <v>1288</v>
      </c>
      <c r="D1283" s="84">
        <v>0</v>
      </c>
      <c r="E1283" s="85" t="str">
        <f t="shared" si="135"/>
        <v/>
      </c>
      <c r="F1283" s="106" t="str">
        <f t="shared" si="141"/>
        <v/>
      </c>
      <c r="G1283" s="86"/>
      <c r="H1283" s="107">
        <f t="shared" si="136"/>
        <v>0</v>
      </c>
      <c r="I1283" s="107">
        <f t="shared" si="137"/>
        <v>0</v>
      </c>
      <c r="J1283" s="87">
        <f>IF($D1283&gt;0,IFERROR(Параметры!$D$42*$H1283/$H$2408,0),0)</f>
        <v>0</v>
      </c>
      <c r="K1283" s="87">
        <f>IFERROR(ROUND($N1283*Параметры!$D$36,2),0)</f>
        <v>0</v>
      </c>
      <c r="L1283" s="87">
        <f t="shared" si="138"/>
        <v>0</v>
      </c>
      <c r="M1283" s="87">
        <f t="shared" si="139"/>
        <v>0</v>
      </c>
      <c r="N1283" s="107" t="str">
        <f t="shared" si="140"/>
        <v/>
      </c>
    </row>
    <row r="1284" spans="2:14" x14ac:dyDescent="0.25">
      <c r="B1284" s="82">
        <f>SUBTOTAL(103,$D$8:D1284)</f>
        <v>1277</v>
      </c>
      <c r="C1284" s="83" t="s">
        <v>1289</v>
      </c>
      <c r="D1284" s="84">
        <v>0</v>
      </c>
      <c r="E1284" s="85" t="str">
        <f t="shared" si="135"/>
        <v/>
      </c>
      <c r="F1284" s="106" t="str">
        <f t="shared" si="141"/>
        <v/>
      </c>
      <c r="G1284" s="86"/>
      <c r="H1284" s="107">
        <f t="shared" si="136"/>
        <v>0</v>
      </c>
      <c r="I1284" s="107">
        <f t="shared" si="137"/>
        <v>0</v>
      </c>
      <c r="J1284" s="87">
        <f>IF($D1284&gt;0,IFERROR(Параметры!$D$42*$H1284/$H$2408,0),0)</f>
        <v>0</v>
      </c>
      <c r="K1284" s="87">
        <f>IFERROR(ROUND($N1284*Параметры!$D$36,2),0)</f>
        <v>0</v>
      </c>
      <c r="L1284" s="87">
        <f t="shared" si="138"/>
        <v>0</v>
      </c>
      <c r="M1284" s="87">
        <f t="shared" si="139"/>
        <v>0</v>
      </c>
      <c r="N1284" s="107" t="str">
        <f t="shared" si="140"/>
        <v/>
      </c>
    </row>
    <row r="1285" spans="2:14" x14ac:dyDescent="0.25">
      <c r="B1285" s="82">
        <f>SUBTOTAL(103,$D$8:D1285)</f>
        <v>1278</v>
      </c>
      <c r="C1285" s="83" t="s">
        <v>1290</v>
      </c>
      <c r="D1285" s="84">
        <v>0</v>
      </c>
      <c r="E1285" s="85" t="str">
        <f t="shared" si="135"/>
        <v/>
      </c>
      <c r="F1285" s="106" t="str">
        <f t="shared" si="141"/>
        <v/>
      </c>
      <c r="G1285" s="86"/>
      <c r="H1285" s="107">
        <f t="shared" si="136"/>
        <v>0</v>
      </c>
      <c r="I1285" s="107">
        <f t="shared" si="137"/>
        <v>0</v>
      </c>
      <c r="J1285" s="87">
        <f>IF($D1285&gt;0,IFERROR(Параметры!$D$42*$H1285/$H$2408,0),0)</f>
        <v>0</v>
      </c>
      <c r="K1285" s="87">
        <f>IFERROR(ROUND($N1285*Параметры!$D$36,2),0)</f>
        <v>0</v>
      </c>
      <c r="L1285" s="87">
        <f t="shared" si="138"/>
        <v>0</v>
      </c>
      <c r="M1285" s="87">
        <f t="shared" si="139"/>
        <v>0</v>
      </c>
      <c r="N1285" s="107" t="str">
        <f t="shared" si="140"/>
        <v/>
      </c>
    </row>
    <row r="1286" spans="2:14" x14ac:dyDescent="0.25">
      <c r="B1286" s="82">
        <f>SUBTOTAL(103,$D$8:D1286)</f>
        <v>1279</v>
      </c>
      <c r="C1286" s="83" t="s">
        <v>1291</v>
      </c>
      <c r="D1286" s="84">
        <v>0</v>
      </c>
      <c r="E1286" s="85" t="str">
        <f t="shared" si="135"/>
        <v/>
      </c>
      <c r="F1286" s="106" t="str">
        <f t="shared" si="141"/>
        <v/>
      </c>
      <c r="G1286" s="86"/>
      <c r="H1286" s="107">
        <f t="shared" si="136"/>
        <v>0</v>
      </c>
      <c r="I1286" s="107">
        <f t="shared" si="137"/>
        <v>0</v>
      </c>
      <c r="J1286" s="87">
        <f>IF($D1286&gt;0,IFERROR(Параметры!$D$42*$H1286/$H$2408,0),0)</f>
        <v>0</v>
      </c>
      <c r="K1286" s="87">
        <f>IFERROR(ROUND($N1286*Параметры!$D$36,2),0)</f>
        <v>0</v>
      </c>
      <c r="L1286" s="87">
        <f t="shared" si="138"/>
        <v>0</v>
      </c>
      <c r="M1286" s="87">
        <f t="shared" si="139"/>
        <v>0</v>
      </c>
      <c r="N1286" s="107" t="str">
        <f t="shared" si="140"/>
        <v/>
      </c>
    </row>
    <row r="1287" spans="2:14" x14ac:dyDescent="0.25">
      <c r="B1287" s="82">
        <f>SUBTOTAL(103,$D$8:D1287)</f>
        <v>1280</v>
      </c>
      <c r="C1287" s="83" t="s">
        <v>1292</v>
      </c>
      <c r="D1287" s="84">
        <v>0</v>
      </c>
      <c r="E1287" s="85" t="str">
        <f t="shared" si="135"/>
        <v/>
      </c>
      <c r="F1287" s="106" t="str">
        <f t="shared" si="141"/>
        <v/>
      </c>
      <c r="G1287" s="86"/>
      <c r="H1287" s="107">
        <f t="shared" si="136"/>
        <v>0</v>
      </c>
      <c r="I1287" s="107">
        <f t="shared" si="137"/>
        <v>0</v>
      </c>
      <c r="J1287" s="87">
        <f>IF($D1287&gt;0,IFERROR(Параметры!$D$42*$H1287/$H$2408,0),0)</f>
        <v>0</v>
      </c>
      <c r="K1287" s="87">
        <f>IFERROR(ROUND($N1287*Параметры!$D$36,2),0)</f>
        <v>0</v>
      </c>
      <c r="L1287" s="87">
        <f t="shared" si="138"/>
        <v>0</v>
      </c>
      <c r="M1287" s="87">
        <f t="shared" si="139"/>
        <v>0</v>
      </c>
      <c r="N1287" s="107" t="str">
        <f t="shared" si="140"/>
        <v/>
      </c>
    </row>
    <row r="1288" spans="2:14" x14ac:dyDescent="0.25">
      <c r="B1288" s="82">
        <f>SUBTOTAL(103,$D$8:D1288)</f>
        <v>1281</v>
      </c>
      <c r="C1288" s="83" t="s">
        <v>1293</v>
      </c>
      <c r="D1288" s="84">
        <v>0</v>
      </c>
      <c r="E1288" s="85" t="str">
        <f t="shared" ref="E1288:E1351" si="142">IF($D1288&lt;1,"",$K1288+$L1288)</f>
        <v/>
      </c>
      <c r="F1288" s="106" t="str">
        <f t="shared" si="141"/>
        <v/>
      </c>
      <c r="G1288" s="86"/>
      <c r="H1288" s="107">
        <f t="shared" ref="H1288:H1351" si="143">IF($D1288&gt;0,$D1288*КИС,0)</f>
        <v>0</v>
      </c>
      <c r="I1288" s="107">
        <f t="shared" ref="I1288:I1351" si="144">IF($D1288&gt;0,$D1288-$H1288,0)</f>
        <v>0</v>
      </c>
      <c r="J1288" s="87">
        <f>IF($D1288&gt;0,IFERROR(Параметры!$D$42*$H1288/$H$2408,0),0)</f>
        <v>0</v>
      </c>
      <c r="K1288" s="87">
        <f>IFERROR(ROUND($N1288*Параметры!$D$36,2),0)</f>
        <v>0</v>
      </c>
      <c r="L1288" s="87">
        <f t="shared" ref="L1288:L1351" si="145">IF($K1288&gt;0,$K1288*0.055,0)</f>
        <v>0</v>
      </c>
      <c r="M1288" s="87">
        <f t="shared" ref="M1288:M1351" si="146">IFERROR($L1288/Плотность_ДТ,0)</f>
        <v>0</v>
      </c>
      <c r="N1288" s="107" t="str">
        <f t="shared" ref="N1288:N1351" si="147">IF($D1288&gt;0,MAX(0,$D1288-IF($F1288="",0,$F1288)),"")</f>
        <v/>
      </c>
    </row>
    <row r="1289" spans="2:14" x14ac:dyDescent="0.25">
      <c r="B1289" s="82">
        <f>SUBTOTAL(103,$D$8:D1289)</f>
        <v>1282</v>
      </c>
      <c r="C1289" s="83" t="s">
        <v>1290</v>
      </c>
      <c r="D1289" s="84">
        <v>0</v>
      </c>
      <c r="E1289" s="85" t="str">
        <f t="shared" si="142"/>
        <v/>
      </c>
      <c r="F1289" s="106" t="str">
        <f t="shared" si="141"/>
        <v/>
      </c>
      <c r="G1289" s="86"/>
      <c r="H1289" s="107">
        <f t="shared" si="143"/>
        <v>0</v>
      </c>
      <c r="I1289" s="107">
        <f t="shared" si="144"/>
        <v>0</v>
      </c>
      <c r="J1289" s="87">
        <f>IF($D1289&gt;0,IFERROR(Параметры!$D$42*$H1289/$H$2408,0),0)</f>
        <v>0</v>
      </c>
      <c r="K1289" s="87">
        <f>IFERROR(ROUND($N1289*Параметры!$D$36,2),0)</f>
        <v>0</v>
      </c>
      <c r="L1289" s="87">
        <f t="shared" si="145"/>
        <v>0</v>
      </c>
      <c r="M1289" s="87">
        <f t="shared" si="146"/>
        <v>0</v>
      </c>
      <c r="N1289" s="107" t="str">
        <f t="shared" si="147"/>
        <v/>
      </c>
    </row>
    <row r="1290" spans="2:14" x14ac:dyDescent="0.25">
      <c r="B1290" s="82">
        <f>SUBTOTAL(103,$D$8:D1290)</f>
        <v>1283</v>
      </c>
      <c r="C1290" s="83" t="s">
        <v>1294</v>
      </c>
      <c r="D1290" s="84">
        <v>0</v>
      </c>
      <c r="E1290" s="85" t="str">
        <f t="shared" si="142"/>
        <v/>
      </c>
      <c r="F1290" s="106" t="str">
        <f t="shared" si="141"/>
        <v/>
      </c>
      <c r="G1290" s="86"/>
      <c r="H1290" s="107">
        <f t="shared" si="143"/>
        <v>0</v>
      </c>
      <c r="I1290" s="107">
        <f t="shared" si="144"/>
        <v>0</v>
      </c>
      <c r="J1290" s="87">
        <f>IF($D1290&gt;0,IFERROR(Параметры!$D$42*$H1290/$H$2408,0),0)</f>
        <v>0</v>
      </c>
      <c r="K1290" s="87">
        <f>IFERROR(ROUND($N1290*Параметры!$D$36,2),0)</f>
        <v>0</v>
      </c>
      <c r="L1290" s="87">
        <f t="shared" si="145"/>
        <v>0</v>
      </c>
      <c r="M1290" s="87">
        <f t="shared" si="146"/>
        <v>0</v>
      </c>
      <c r="N1290" s="107" t="str">
        <f t="shared" si="147"/>
        <v/>
      </c>
    </row>
    <row r="1291" spans="2:14" x14ac:dyDescent="0.25">
      <c r="B1291" s="82">
        <f>SUBTOTAL(103,$D$8:D1291)</f>
        <v>1284</v>
      </c>
      <c r="C1291" s="83" t="s">
        <v>1295</v>
      </c>
      <c r="D1291" s="84">
        <v>0</v>
      </c>
      <c r="E1291" s="85" t="str">
        <f t="shared" si="142"/>
        <v/>
      </c>
      <c r="F1291" s="106" t="str">
        <f t="shared" ref="F1291:F1354" si="148">IF(D1291&gt;0,2,"")</f>
        <v/>
      </c>
      <c r="G1291" s="86"/>
      <c r="H1291" s="107">
        <f t="shared" si="143"/>
        <v>0</v>
      </c>
      <c r="I1291" s="107">
        <f t="shared" si="144"/>
        <v>0</v>
      </c>
      <c r="J1291" s="87">
        <f>IF($D1291&gt;0,IFERROR(Параметры!$D$42*$H1291/$H$2408,0),0)</f>
        <v>0</v>
      </c>
      <c r="K1291" s="87">
        <f>IFERROR(ROUND($N1291*Параметры!$D$36,2),0)</f>
        <v>0</v>
      </c>
      <c r="L1291" s="87">
        <f t="shared" si="145"/>
        <v>0</v>
      </c>
      <c r="M1291" s="87">
        <f t="shared" si="146"/>
        <v>0</v>
      </c>
      <c r="N1291" s="107" t="str">
        <f t="shared" si="147"/>
        <v/>
      </c>
    </row>
    <row r="1292" spans="2:14" x14ac:dyDescent="0.25">
      <c r="B1292" s="82">
        <f>SUBTOTAL(103,$D$8:D1292)</f>
        <v>1285</v>
      </c>
      <c r="C1292" s="83" t="s">
        <v>1296</v>
      </c>
      <c r="D1292" s="84">
        <v>0</v>
      </c>
      <c r="E1292" s="85" t="str">
        <f t="shared" si="142"/>
        <v/>
      </c>
      <c r="F1292" s="106" t="str">
        <f t="shared" si="148"/>
        <v/>
      </c>
      <c r="G1292" s="86"/>
      <c r="H1292" s="107">
        <f t="shared" si="143"/>
        <v>0</v>
      </c>
      <c r="I1292" s="107">
        <f t="shared" si="144"/>
        <v>0</v>
      </c>
      <c r="J1292" s="87">
        <f>IF($D1292&gt;0,IFERROR(Параметры!$D$42*$H1292/$H$2408,0),0)</f>
        <v>0</v>
      </c>
      <c r="K1292" s="87">
        <f>IFERROR(ROUND($N1292*Параметры!$D$36,2),0)</f>
        <v>0</v>
      </c>
      <c r="L1292" s="87">
        <f t="shared" si="145"/>
        <v>0</v>
      </c>
      <c r="M1292" s="87">
        <f t="shared" si="146"/>
        <v>0</v>
      </c>
      <c r="N1292" s="107" t="str">
        <f t="shared" si="147"/>
        <v/>
      </c>
    </row>
    <row r="1293" spans="2:14" x14ac:dyDescent="0.25">
      <c r="B1293" s="82">
        <f>SUBTOTAL(103,$D$8:D1293)</f>
        <v>1286</v>
      </c>
      <c r="C1293" s="83" t="s">
        <v>1297</v>
      </c>
      <c r="D1293" s="84">
        <v>0</v>
      </c>
      <c r="E1293" s="85" t="str">
        <f t="shared" si="142"/>
        <v/>
      </c>
      <c r="F1293" s="106" t="str">
        <f t="shared" si="148"/>
        <v/>
      </c>
      <c r="G1293" s="86"/>
      <c r="H1293" s="107">
        <f t="shared" si="143"/>
        <v>0</v>
      </c>
      <c r="I1293" s="107">
        <f t="shared" si="144"/>
        <v>0</v>
      </c>
      <c r="J1293" s="87">
        <f>IF($D1293&gt;0,IFERROR(Параметры!$D$42*$H1293/$H$2408,0),0)</f>
        <v>0</v>
      </c>
      <c r="K1293" s="87">
        <f>IFERROR(ROUND($N1293*Параметры!$D$36,2),0)</f>
        <v>0</v>
      </c>
      <c r="L1293" s="87">
        <f t="shared" si="145"/>
        <v>0</v>
      </c>
      <c r="M1293" s="87">
        <f t="shared" si="146"/>
        <v>0</v>
      </c>
      <c r="N1293" s="107" t="str">
        <f t="shared" si="147"/>
        <v/>
      </c>
    </row>
    <row r="1294" spans="2:14" x14ac:dyDescent="0.25">
      <c r="B1294" s="82">
        <f>SUBTOTAL(103,$D$8:D1294)</f>
        <v>1287</v>
      </c>
      <c r="C1294" s="83" t="s">
        <v>1298</v>
      </c>
      <c r="D1294" s="84">
        <v>0</v>
      </c>
      <c r="E1294" s="85" t="str">
        <f t="shared" si="142"/>
        <v/>
      </c>
      <c r="F1294" s="106" t="str">
        <f t="shared" si="148"/>
        <v/>
      </c>
      <c r="G1294" s="86"/>
      <c r="H1294" s="107">
        <f t="shared" si="143"/>
        <v>0</v>
      </c>
      <c r="I1294" s="107">
        <f t="shared" si="144"/>
        <v>0</v>
      </c>
      <c r="J1294" s="87">
        <f>IF($D1294&gt;0,IFERROR(Параметры!$D$42*$H1294/$H$2408,0),0)</f>
        <v>0</v>
      </c>
      <c r="K1294" s="87">
        <f>IFERROR(ROUND($N1294*Параметры!$D$36,2),0)</f>
        <v>0</v>
      </c>
      <c r="L1294" s="87">
        <f t="shared" si="145"/>
        <v>0</v>
      </c>
      <c r="M1294" s="87">
        <f t="shared" si="146"/>
        <v>0</v>
      </c>
      <c r="N1294" s="107" t="str">
        <f t="shared" si="147"/>
        <v/>
      </c>
    </row>
    <row r="1295" spans="2:14" x14ac:dyDescent="0.25">
      <c r="B1295" s="82">
        <f>SUBTOTAL(103,$D$8:D1295)</f>
        <v>1288</v>
      </c>
      <c r="C1295" s="83" t="s">
        <v>1299</v>
      </c>
      <c r="D1295" s="84">
        <v>0</v>
      </c>
      <c r="E1295" s="85" t="str">
        <f t="shared" si="142"/>
        <v/>
      </c>
      <c r="F1295" s="106" t="str">
        <f t="shared" si="148"/>
        <v/>
      </c>
      <c r="G1295" s="86"/>
      <c r="H1295" s="107">
        <f t="shared" si="143"/>
        <v>0</v>
      </c>
      <c r="I1295" s="107">
        <f t="shared" si="144"/>
        <v>0</v>
      </c>
      <c r="J1295" s="87">
        <f>IF($D1295&gt;0,IFERROR(Параметры!$D$42*$H1295/$H$2408,0),0)</f>
        <v>0</v>
      </c>
      <c r="K1295" s="87">
        <f>IFERROR(ROUND($N1295*Параметры!$D$36,2),0)</f>
        <v>0</v>
      </c>
      <c r="L1295" s="87">
        <f t="shared" si="145"/>
        <v>0</v>
      </c>
      <c r="M1295" s="87">
        <f t="shared" si="146"/>
        <v>0</v>
      </c>
      <c r="N1295" s="107" t="str">
        <f t="shared" si="147"/>
        <v/>
      </c>
    </row>
    <row r="1296" spans="2:14" x14ac:dyDescent="0.25">
      <c r="B1296" s="82">
        <f>SUBTOTAL(103,$D$8:D1296)</f>
        <v>1289</v>
      </c>
      <c r="C1296" s="83" t="s">
        <v>1300</v>
      </c>
      <c r="D1296" s="84">
        <v>0</v>
      </c>
      <c r="E1296" s="85" t="str">
        <f t="shared" si="142"/>
        <v/>
      </c>
      <c r="F1296" s="106" t="str">
        <f t="shared" si="148"/>
        <v/>
      </c>
      <c r="G1296" s="86"/>
      <c r="H1296" s="107">
        <f t="shared" si="143"/>
        <v>0</v>
      </c>
      <c r="I1296" s="107">
        <f t="shared" si="144"/>
        <v>0</v>
      </c>
      <c r="J1296" s="87">
        <f>IF($D1296&gt;0,IFERROR(Параметры!$D$42*$H1296/$H$2408,0),0)</f>
        <v>0</v>
      </c>
      <c r="K1296" s="87">
        <f>IFERROR(ROUND($N1296*Параметры!$D$36,2),0)</f>
        <v>0</v>
      </c>
      <c r="L1296" s="87">
        <f t="shared" si="145"/>
        <v>0</v>
      </c>
      <c r="M1296" s="87">
        <f t="shared" si="146"/>
        <v>0</v>
      </c>
      <c r="N1296" s="107" t="str">
        <f t="shared" si="147"/>
        <v/>
      </c>
    </row>
    <row r="1297" spans="2:14" x14ac:dyDescent="0.25">
      <c r="B1297" s="82">
        <f>SUBTOTAL(103,$D$8:D1297)</f>
        <v>1290</v>
      </c>
      <c r="C1297" s="83" t="s">
        <v>1301</v>
      </c>
      <c r="D1297" s="84">
        <v>0</v>
      </c>
      <c r="E1297" s="85" t="str">
        <f t="shared" si="142"/>
        <v/>
      </c>
      <c r="F1297" s="106" t="str">
        <f t="shared" si="148"/>
        <v/>
      </c>
      <c r="G1297" s="86"/>
      <c r="H1297" s="107">
        <f t="shared" si="143"/>
        <v>0</v>
      </c>
      <c r="I1297" s="107">
        <f t="shared" si="144"/>
        <v>0</v>
      </c>
      <c r="J1297" s="87">
        <f>IF($D1297&gt;0,IFERROR(Параметры!$D$42*$H1297/$H$2408,0),0)</f>
        <v>0</v>
      </c>
      <c r="K1297" s="87">
        <f>IFERROR(ROUND($N1297*Параметры!$D$36,2),0)</f>
        <v>0</v>
      </c>
      <c r="L1297" s="87">
        <f t="shared" si="145"/>
        <v>0</v>
      </c>
      <c r="M1297" s="87">
        <f t="shared" si="146"/>
        <v>0</v>
      </c>
      <c r="N1297" s="107" t="str">
        <f t="shared" si="147"/>
        <v/>
      </c>
    </row>
    <row r="1298" spans="2:14" x14ac:dyDescent="0.25">
      <c r="B1298" s="82">
        <f>SUBTOTAL(103,$D$8:D1298)</f>
        <v>1291</v>
      </c>
      <c r="C1298" s="83" t="s">
        <v>1302</v>
      </c>
      <c r="D1298" s="84">
        <v>0</v>
      </c>
      <c r="E1298" s="85" t="str">
        <f t="shared" si="142"/>
        <v/>
      </c>
      <c r="F1298" s="106" t="str">
        <f t="shared" si="148"/>
        <v/>
      </c>
      <c r="G1298" s="86"/>
      <c r="H1298" s="107">
        <f t="shared" si="143"/>
        <v>0</v>
      </c>
      <c r="I1298" s="107">
        <f t="shared" si="144"/>
        <v>0</v>
      </c>
      <c r="J1298" s="87">
        <f>IF($D1298&gt;0,IFERROR(Параметры!$D$42*$H1298/$H$2408,0),0)</f>
        <v>0</v>
      </c>
      <c r="K1298" s="87">
        <f>IFERROR(ROUND($N1298*Параметры!$D$36,2),0)</f>
        <v>0</v>
      </c>
      <c r="L1298" s="87">
        <f t="shared" si="145"/>
        <v>0</v>
      </c>
      <c r="M1298" s="87">
        <f t="shared" si="146"/>
        <v>0</v>
      </c>
      <c r="N1298" s="107" t="str">
        <f t="shared" si="147"/>
        <v/>
      </c>
    </row>
    <row r="1299" spans="2:14" x14ac:dyDescent="0.25">
      <c r="B1299" s="82">
        <f>SUBTOTAL(103,$D$8:D1299)</f>
        <v>1292</v>
      </c>
      <c r="C1299" s="83" t="s">
        <v>1303</v>
      </c>
      <c r="D1299" s="84">
        <v>0</v>
      </c>
      <c r="E1299" s="85" t="str">
        <f t="shared" si="142"/>
        <v/>
      </c>
      <c r="F1299" s="106" t="str">
        <f t="shared" si="148"/>
        <v/>
      </c>
      <c r="G1299" s="86"/>
      <c r="H1299" s="107">
        <f t="shared" si="143"/>
        <v>0</v>
      </c>
      <c r="I1299" s="107">
        <f t="shared" si="144"/>
        <v>0</v>
      </c>
      <c r="J1299" s="87">
        <f>IF($D1299&gt;0,IFERROR(Параметры!$D$42*$H1299/$H$2408,0),0)</f>
        <v>0</v>
      </c>
      <c r="K1299" s="87">
        <f>IFERROR(ROUND($N1299*Параметры!$D$36,2),0)</f>
        <v>0</v>
      </c>
      <c r="L1299" s="87">
        <f t="shared" si="145"/>
        <v>0</v>
      </c>
      <c r="M1299" s="87">
        <f t="shared" si="146"/>
        <v>0</v>
      </c>
      <c r="N1299" s="107" t="str">
        <f t="shared" si="147"/>
        <v/>
      </c>
    </row>
    <row r="1300" spans="2:14" x14ac:dyDescent="0.25">
      <c r="B1300" s="82">
        <f>SUBTOTAL(103,$D$8:D1300)</f>
        <v>1293</v>
      </c>
      <c r="C1300" s="83" t="s">
        <v>1304</v>
      </c>
      <c r="D1300" s="84">
        <v>0</v>
      </c>
      <c r="E1300" s="85" t="str">
        <f t="shared" si="142"/>
        <v/>
      </c>
      <c r="F1300" s="106" t="str">
        <f t="shared" si="148"/>
        <v/>
      </c>
      <c r="G1300" s="86"/>
      <c r="H1300" s="107">
        <f t="shared" si="143"/>
        <v>0</v>
      </c>
      <c r="I1300" s="107">
        <f t="shared" si="144"/>
        <v>0</v>
      </c>
      <c r="J1300" s="87">
        <f>IF($D1300&gt;0,IFERROR(Параметры!$D$42*$H1300/$H$2408,0),0)</f>
        <v>0</v>
      </c>
      <c r="K1300" s="87">
        <f>IFERROR(ROUND($N1300*Параметры!$D$36,2),0)</f>
        <v>0</v>
      </c>
      <c r="L1300" s="87">
        <f t="shared" si="145"/>
        <v>0</v>
      </c>
      <c r="M1300" s="87">
        <f t="shared" si="146"/>
        <v>0</v>
      </c>
      <c r="N1300" s="107" t="str">
        <f t="shared" si="147"/>
        <v/>
      </c>
    </row>
    <row r="1301" spans="2:14" x14ac:dyDescent="0.25">
      <c r="B1301" s="82">
        <f>SUBTOTAL(103,$D$8:D1301)</f>
        <v>1294</v>
      </c>
      <c r="C1301" s="83" t="s">
        <v>1305</v>
      </c>
      <c r="D1301" s="84">
        <v>0</v>
      </c>
      <c r="E1301" s="85" t="str">
        <f t="shared" si="142"/>
        <v/>
      </c>
      <c r="F1301" s="106" t="str">
        <f t="shared" si="148"/>
        <v/>
      </c>
      <c r="G1301" s="86"/>
      <c r="H1301" s="107">
        <f t="shared" si="143"/>
        <v>0</v>
      </c>
      <c r="I1301" s="107">
        <f t="shared" si="144"/>
        <v>0</v>
      </c>
      <c r="J1301" s="87">
        <f>IF($D1301&gt;0,IFERROR(Параметры!$D$42*$H1301/$H$2408,0),0)</f>
        <v>0</v>
      </c>
      <c r="K1301" s="87">
        <f>IFERROR(ROUND($N1301*Параметры!$D$36,2),0)</f>
        <v>0</v>
      </c>
      <c r="L1301" s="87">
        <f t="shared" si="145"/>
        <v>0</v>
      </c>
      <c r="M1301" s="87">
        <f t="shared" si="146"/>
        <v>0</v>
      </c>
      <c r="N1301" s="107" t="str">
        <f t="shared" si="147"/>
        <v/>
      </c>
    </row>
    <row r="1302" spans="2:14" x14ac:dyDescent="0.25">
      <c r="B1302" s="82">
        <f>SUBTOTAL(103,$D$8:D1302)</f>
        <v>1295</v>
      </c>
      <c r="C1302" s="83" t="s">
        <v>1306</v>
      </c>
      <c r="D1302" s="84">
        <v>0</v>
      </c>
      <c r="E1302" s="85" t="str">
        <f t="shared" si="142"/>
        <v/>
      </c>
      <c r="F1302" s="106" t="str">
        <f t="shared" si="148"/>
        <v/>
      </c>
      <c r="G1302" s="86"/>
      <c r="H1302" s="107">
        <f t="shared" si="143"/>
        <v>0</v>
      </c>
      <c r="I1302" s="107">
        <f t="shared" si="144"/>
        <v>0</v>
      </c>
      <c r="J1302" s="87">
        <f>IF($D1302&gt;0,IFERROR(Параметры!$D$42*$H1302/$H$2408,0),0)</f>
        <v>0</v>
      </c>
      <c r="K1302" s="87">
        <f>IFERROR(ROUND($N1302*Параметры!$D$36,2),0)</f>
        <v>0</v>
      </c>
      <c r="L1302" s="87">
        <f t="shared" si="145"/>
        <v>0</v>
      </c>
      <c r="M1302" s="87">
        <f t="shared" si="146"/>
        <v>0</v>
      </c>
      <c r="N1302" s="107" t="str">
        <f t="shared" si="147"/>
        <v/>
      </c>
    </row>
    <row r="1303" spans="2:14" x14ac:dyDescent="0.25">
      <c r="B1303" s="82">
        <f>SUBTOTAL(103,$D$8:D1303)</f>
        <v>1296</v>
      </c>
      <c r="C1303" s="83" t="s">
        <v>1307</v>
      </c>
      <c r="D1303" s="84">
        <v>0</v>
      </c>
      <c r="E1303" s="85" t="str">
        <f t="shared" si="142"/>
        <v/>
      </c>
      <c r="F1303" s="106" t="str">
        <f t="shared" si="148"/>
        <v/>
      </c>
      <c r="G1303" s="86"/>
      <c r="H1303" s="107">
        <f t="shared" si="143"/>
        <v>0</v>
      </c>
      <c r="I1303" s="107">
        <f t="shared" si="144"/>
        <v>0</v>
      </c>
      <c r="J1303" s="87">
        <f>IF($D1303&gt;0,IFERROR(Параметры!$D$42*$H1303/$H$2408,0),0)</f>
        <v>0</v>
      </c>
      <c r="K1303" s="87">
        <f>IFERROR(ROUND($N1303*Параметры!$D$36,2),0)</f>
        <v>0</v>
      </c>
      <c r="L1303" s="87">
        <f t="shared" si="145"/>
        <v>0</v>
      </c>
      <c r="M1303" s="87">
        <f t="shared" si="146"/>
        <v>0</v>
      </c>
      <c r="N1303" s="107" t="str">
        <f t="shared" si="147"/>
        <v/>
      </c>
    </row>
    <row r="1304" spans="2:14" x14ac:dyDescent="0.25">
      <c r="B1304" s="82">
        <f>SUBTOTAL(103,$D$8:D1304)</f>
        <v>1297</v>
      </c>
      <c r="C1304" s="83" t="s">
        <v>1308</v>
      </c>
      <c r="D1304" s="84">
        <v>0</v>
      </c>
      <c r="E1304" s="85" t="str">
        <f t="shared" si="142"/>
        <v/>
      </c>
      <c r="F1304" s="106" t="str">
        <f t="shared" si="148"/>
        <v/>
      </c>
      <c r="G1304" s="86"/>
      <c r="H1304" s="107">
        <f t="shared" si="143"/>
        <v>0</v>
      </c>
      <c r="I1304" s="107">
        <f t="shared" si="144"/>
        <v>0</v>
      </c>
      <c r="J1304" s="87">
        <f>IF($D1304&gt;0,IFERROR(Параметры!$D$42*$H1304/$H$2408,0),0)</f>
        <v>0</v>
      </c>
      <c r="K1304" s="87">
        <f>IFERROR(ROUND($N1304*Параметры!$D$36,2),0)</f>
        <v>0</v>
      </c>
      <c r="L1304" s="87">
        <f t="shared" si="145"/>
        <v>0</v>
      </c>
      <c r="M1304" s="87">
        <f t="shared" si="146"/>
        <v>0</v>
      </c>
      <c r="N1304" s="107" t="str">
        <f t="shared" si="147"/>
        <v/>
      </c>
    </row>
    <row r="1305" spans="2:14" x14ac:dyDescent="0.25">
      <c r="B1305" s="82">
        <f>SUBTOTAL(103,$D$8:D1305)</f>
        <v>1298</v>
      </c>
      <c r="C1305" s="83" t="s">
        <v>1309</v>
      </c>
      <c r="D1305" s="84">
        <v>0</v>
      </c>
      <c r="E1305" s="85" t="str">
        <f t="shared" si="142"/>
        <v/>
      </c>
      <c r="F1305" s="106" t="str">
        <f t="shared" si="148"/>
        <v/>
      </c>
      <c r="G1305" s="86"/>
      <c r="H1305" s="107">
        <f t="shared" si="143"/>
        <v>0</v>
      </c>
      <c r="I1305" s="107">
        <f t="shared" si="144"/>
        <v>0</v>
      </c>
      <c r="J1305" s="87">
        <f>IF($D1305&gt;0,IFERROR(Параметры!$D$42*$H1305/$H$2408,0),0)</f>
        <v>0</v>
      </c>
      <c r="K1305" s="87">
        <f>IFERROR(ROUND($N1305*Параметры!$D$36,2),0)</f>
        <v>0</v>
      </c>
      <c r="L1305" s="87">
        <f t="shared" si="145"/>
        <v>0</v>
      </c>
      <c r="M1305" s="87">
        <f t="shared" si="146"/>
        <v>0</v>
      </c>
      <c r="N1305" s="107" t="str">
        <f t="shared" si="147"/>
        <v/>
      </c>
    </row>
    <row r="1306" spans="2:14" x14ac:dyDescent="0.25">
      <c r="B1306" s="82">
        <f>SUBTOTAL(103,$D$8:D1306)</f>
        <v>1299</v>
      </c>
      <c r="C1306" s="83" t="s">
        <v>1310</v>
      </c>
      <c r="D1306" s="84">
        <v>0</v>
      </c>
      <c r="E1306" s="85" t="str">
        <f t="shared" si="142"/>
        <v/>
      </c>
      <c r="F1306" s="106" t="str">
        <f t="shared" si="148"/>
        <v/>
      </c>
      <c r="G1306" s="86"/>
      <c r="H1306" s="107">
        <f t="shared" si="143"/>
        <v>0</v>
      </c>
      <c r="I1306" s="107">
        <f t="shared" si="144"/>
        <v>0</v>
      </c>
      <c r="J1306" s="87">
        <f>IF($D1306&gt;0,IFERROR(Параметры!$D$42*$H1306/$H$2408,0),0)</f>
        <v>0</v>
      </c>
      <c r="K1306" s="87">
        <f>IFERROR(ROUND($N1306*Параметры!$D$36,2),0)</f>
        <v>0</v>
      </c>
      <c r="L1306" s="87">
        <f t="shared" si="145"/>
        <v>0</v>
      </c>
      <c r="M1306" s="87">
        <f t="shared" si="146"/>
        <v>0</v>
      </c>
      <c r="N1306" s="107" t="str">
        <f t="shared" si="147"/>
        <v/>
      </c>
    </row>
    <row r="1307" spans="2:14" x14ac:dyDescent="0.25">
      <c r="B1307" s="82">
        <f>SUBTOTAL(103,$D$8:D1307)</f>
        <v>1300</v>
      </c>
      <c r="C1307" s="83" t="s">
        <v>1311</v>
      </c>
      <c r="D1307" s="84">
        <v>0</v>
      </c>
      <c r="E1307" s="85" t="str">
        <f t="shared" si="142"/>
        <v/>
      </c>
      <c r="F1307" s="106" t="str">
        <f t="shared" si="148"/>
        <v/>
      </c>
      <c r="G1307" s="86"/>
      <c r="H1307" s="107">
        <f t="shared" si="143"/>
        <v>0</v>
      </c>
      <c r="I1307" s="107">
        <f t="shared" si="144"/>
        <v>0</v>
      </c>
      <c r="J1307" s="87">
        <f>IF($D1307&gt;0,IFERROR(Параметры!$D$42*$H1307/$H$2408,0),0)</f>
        <v>0</v>
      </c>
      <c r="K1307" s="87">
        <f>IFERROR(ROUND($N1307*Параметры!$D$36,2),0)</f>
        <v>0</v>
      </c>
      <c r="L1307" s="87">
        <f t="shared" si="145"/>
        <v>0</v>
      </c>
      <c r="M1307" s="87">
        <f t="shared" si="146"/>
        <v>0</v>
      </c>
      <c r="N1307" s="107" t="str">
        <f t="shared" si="147"/>
        <v/>
      </c>
    </row>
    <row r="1308" spans="2:14" x14ac:dyDescent="0.25">
      <c r="B1308" s="82">
        <f>SUBTOTAL(103,$D$8:D1308)</f>
        <v>1301</v>
      </c>
      <c r="C1308" s="83" t="s">
        <v>1312</v>
      </c>
      <c r="D1308" s="84">
        <v>0</v>
      </c>
      <c r="E1308" s="85" t="str">
        <f t="shared" si="142"/>
        <v/>
      </c>
      <c r="F1308" s="106" t="str">
        <f t="shared" si="148"/>
        <v/>
      </c>
      <c r="G1308" s="86"/>
      <c r="H1308" s="107">
        <f t="shared" si="143"/>
        <v>0</v>
      </c>
      <c r="I1308" s="107">
        <f t="shared" si="144"/>
        <v>0</v>
      </c>
      <c r="J1308" s="87">
        <f>IF($D1308&gt;0,IFERROR(Параметры!$D$42*$H1308/$H$2408,0),0)</f>
        <v>0</v>
      </c>
      <c r="K1308" s="87">
        <f>IFERROR(ROUND($N1308*Параметры!$D$36,2),0)</f>
        <v>0</v>
      </c>
      <c r="L1308" s="87">
        <f t="shared" si="145"/>
        <v>0</v>
      </c>
      <c r="M1308" s="87">
        <f t="shared" si="146"/>
        <v>0</v>
      </c>
      <c r="N1308" s="107" t="str">
        <f t="shared" si="147"/>
        <v/>
      </c>
    </row>
    <row r="1309" spans="2:14" x14ac:dyDescent="0.25">
      <c r="B1309" s="82">
        <f>SUBTOTAL(103,$D$8:D1309)</f>
        <v>1302</v>
      </c>
      <c r="C1309" s="83" t="s">
        <v>1313</v>
      </c>
      <c r="D1309" s="84">
        <v>0</v>
      </c>
      <c r="E1309" s="85" t="str">
        <f t="shared" si="142"/>
        <v/>
      </c>
      <c r="F1309" s="106" t="str">
        <f t="shared" si="148"/>
        <v/>
      </c>
      <c r="G1309" s="86"/>
      <c r="H1309" s="107">
        <f t="shared" si="143"/>
        <v>0</v>
      </c>
      <c r="I1309" s="107">
        <f t="shared" si="144"/>
        <v>0</v>
      </c>
      <c r="J1309" s="87">
        <f>IF($D1309&gt;0,IFERROR(Параметры!$D$42*$H1309/$H$2408,0),0)</f>
        <v>0</v>
      </c>
      <c r="K1309" s="87">
        <f>IFERROR(ROUND($N1309*Параметры!$D$36,2),0)</f>
        <v>0</v>
      </c>
      <c r="L1309" s="87">
        <f t="shared" si="145"/>
        <v>0</v>
      </c>
      <c r="M1309" s="87">
        <f t="shared" si="146"/>
        <v>0</v>
      </c>
      <c r="N1309" s="107" t="str">
        <f t="shared" si="147"/>
        <v/>
      </c>
    </row>
    <row r="1310" spans="2:14" x14ac:dyDescent="0.25">
      <c r="B1310" s="82">
        <f>SUBTOTAL(103,$D$8:D1310)</f>
        <v>1303</v>
      </c>
      <c r="C1310" s="83" t="s">
        <v>1314</v>
      </c>
      <c r="D1310" s="84">
        <v>0</v>
      </c>
      <c r="E1310" s="85" t="str">
        <f t="shared" si="142"/>
        <v/>
      </c>
      <c r="F1310" s="106" t="str">
        <f t="shared" si="148"/>
        <v/>
      </c>
      <c r="G1310" s="86"/>
      <c r="H1310" s="107">
        <f t="shared" si="143"/>
        <v>0</v>
      </c>
      <c r="I1310" s="107">
        <f t="shared" si="144"/>
        <v>0</v>
      </c>
      <c r="J1310" s="87">
        <f>IF($D1310&gt;0,IFERROR(Параметры!$D$42*$H1310/$H$2408,0),0)</f>
        <v>0</v>
      </c>
      <c r="K1310" s="87">
        <f>IFERROR(ROUND($N1310*Параметры!$D$36,2),0)</f>
        <v>0</v>
      </c>
      <c r="L1310" s="87">
        <f t="shared" si="145"/>
        <v>0</v>
      </c>
      <c r="M1310" s="87">
        <f t="shared" si="146"/>
        <v>0</v>
      </c>
      <c r="N1310" s="107" t="str">
        <f t="shared" si="147"/>
        <v/>
      </c>
    </row>
    <row r="1311" spans="2:14" x14ac:dyDescent="0.25">
      <c r="B1311" s="82">
        <f>SUBTOTAL(103,$D$8:D1311)</f>
        <v>1304</v>
      </c>
      <c r="C1311" s="83" t="s">
        <v>1315</v>
      </c>
      <c r="D1311" s="84">
        <v>0</v>
      </c>
      <c r="E1311" s="85" t="str">
        <f t="shared" si="142"/>
        <v/>
      </c>
      <c r="F1311" s="106" t="str">
        <f t="shared" si="148"/>
        <v/>
      </c>
      <c r="G1311" s="86"/>
      <c r="H1311" s="107">
        <f t="shared" si="143"/>
        <v>0</v>
      </c>
      <c r="I1311" s="107">
        <f t="shared" si="144"/>
        <v>0</v>
      </c>
      <c r="J1311" s="87">
        <f>IF($D1311&gt;0,IFERROR(Параметры!$D$42*$H1311/$H$2408,0),0)</f>
        <v>0</v>
      </c>
      <c r="K1311" s="87">
        <f>IFERROR(ROUND($N1311*Параметры!$D$36,2),0)</f>
        <v>0</v>
      </c>
      <c r="L1311" s="87">
        <f t="shared" si="145"/>
        <v>0</v>
      </c>
      <c r="M1311" s="87">
        <f t="shared" si="146"/>
        <v>0</v>
      </c>
      <c r="N1311" s="107" t="str">
        <f t="shared" si="147"/>
        <v/>
      </c>
    </row>
    <row r="1312" spans="2:14" x14ac:dyDescent="0.25">
      <c r="B1312" s="82">
        <f>SUBTOTAL(103,$D$8:D1312)</f>
        <v>1305</v>
      </c>
      <c r="C1312" s="83" t="s">
        <v>1316</v>
      </c>
      <c r="D1312" s="84">
        <v>0</v>
      </c>
      <c r="E1312" s="85" t="str">
        <f t="shared" si="142"/>
        <v/>
      </c>
      <c r="F1312" s="106" t="str">
        <f t="shared" si="148"/>
        <v/>
      </c>
      <c r="G1312" s="86"/>
      <c r="H1312" s="107">
        <f t="shared" si="143"/>
        <v>0</v>
      </c>
      <c r="I1312" s="107">
        <f t="shared" si="144"/>
        <v>0</v>
      </c>
      <c r="J1312" s="87">
        <f>IF($D1312&gt;0,IFERROR(Параметры!$D$42*$H1312/$H$2408,0),0)</f>
        <v>0</v>
      </c>
      <c r="K1312" s="87">
        <f>IFERROR(ROUND($N1312*Параметры!$D$36,2),0)</f>
        <v>0</v>
      </c>
      <c r="L1312" s="87">
        <f t="shared" si="145"/>
        <v>0</v>
      </c>
      <c r="M1312" s="87">
        <f t="shared" si="146"/>
        <v>0</v>
      </c>
      <c r="N1312" s="107" t="str">
        <f t="shared" si="147"/>
        <v/>
      </c>
    </row>
    <row r="1313" spans="2:14" x14ac:dyDescent="0.25">
      <c r="B1313" s="82">
        <f>SUBTOTAL(103,$D$8:D1313)</f>
        <v>1306</v>
      </c>
      <c r="C1313" s="83" t="s">
        <v>1317</v>
      </c>
      <c r="D1313" s="84">
        <v>0</v>
      </c>
      <c r="E1313" s="85" t="str">
        <f t="shared" si="142"/>
        <v/>
      </c>
      <c r="F1313" s="106" t="str">
        <f t="shared" si="148"/>
        <v/>
      </c>
      <c r="G1313" s="86"/>
      <c r="H1313" s="107">
        <f t="shared" si="143"/>
        <v>0</v>
      </c>
      <c r="I1313" s="107">
        <f t="shared" si="144"/>
        <v>0</v>
      </c>
      <c r="J1313" s="87">
        <f>IF($D1313&gt;0,IFERROR(Параметры!$D$42*$H1313/$H$2408,0),0)</f>
        <v>0</v>
      </c>
      <c r="K1313" s="87">
        <f>IFERROR(ROUND($N1313*Параметры!$D$36,2),0)</f>
        <v>0</v>
      </c>
      <c r="L1313" s="87">
        <f t="shared" si="145"/>
        <v>0</v>
      </c>
      <c r="M1313" s="87">
        <f t="shared" si="146"/>
        <v>0</v>
      </c>
      <c r="N1313" s="107" t="str">
        <f t="shared" si="147"/>
        <v/>
      </c>
    </row>
    <row r="1314" spans="2:14" x14ac:dyDescent="0.25">
      <c r="B1314" s="82">
        <f>SUBTOTAL(103,$D$8:D1314)</f>
        <v>1307</v>
      </c>
      <c r="C1314" s="83" t="s">
        <v>1318</v>
      </c>
      <c r="D1314" s="84">
        <v>0</v>
      </c>
      <c r="E1314" s="85" t="str">
        <f t="shared" si="142"/>
        <v/>
      </c>
      <c r="F1314" s="106" t="str">
        <f t="shared" si="148"/>
        <v/>
      </c>
      <c r="G1314" s="86"/>
      <c r="H1314" s="107">
        <f t="shared" si="143"/>
        <v>0</v>
      </c>
      <c r="I1314" s="107">
        <f t="shared" si="144"/>
        <v>0</v>
      </c>
      <c r="J1314" s="87">
        <f>IF($D1314&gt;0,IFERROR(Параметры!$D$42*$H1314/$H$2408,0),0)</f>
        <v>0</v>
      </c>
      <c r="K1314" s="87">
        <f>IFERROR(ROUND($N1314*Параметры!$D$36,2),0)</f>
        <v>0</v>
      </c>
      <c r="L1314" s="87">
        <f t="shared" si="145"/>
        <v>0</v>
      </c>
      <c r="M1314" s="87">
        <f t="shared" si="146"/>
        <v>0</v>
      </c>
      <c r="N1314" s="107" t="str">
        <f t="shared" si="147"/>
        <v/>
      </c>
    </row>
    <row r="1315" spans="2:14" x14ac:dyDescent="0.25">
      <c r="B1315" s="82">
        <f>SUBTOTAL(103,$D$8:D1315)</f>
        <v>1308</v>
      </c>
      <c r="C1315" s="83" t="s">
        <v>1319</v>
      </c>
      <c r="D1315" s="84">
        <v>0</v>
      </c>
      <c r="E1315" s="85" t="str">
        <f t="shared" si="142"/>
        <v/>
      </c>
      <c r="F1315" s="106" t="str">
        <f t="shared" si="148"/>
        <v/>
      </c>
      <c r="G1315" s="86"/>
      <c r="H1315" s="107">
        <f t="shared" si="143"/>
        <v>0</v>
      </c>
      <c r="I1315" s="107">
        <f t="shared" si="144"/>
        <v>0</v>
      </c>
      <c r="J1315" s="87">
        <f>IF($D1315&gt;0,IFERROR(Параметры!$D$42*$H1315/$H$2408,0),0)</f>
        <v>0</v>
      </c>
      <c r="K1315" s="87">
        <f>IFERROR(ROUND($N1315*Параметры!$D$36,2),0)</f>
        <v>0</v>
      </c>
      <c r="L1315" s="87">
        <f t="shared" si="145"/>
        <v>0</v>
      </c>
      <c r="M1315" s="87">
        <f t="shared" si="146"/>
        <v>0</v>
      </c>
      <c r="N1315" s="107" t="str">
        <f t="shared" si="147"/>
        <v/>
      </c>
    </row>
    <row r="1316" spans="2:14" x14ac:dyDescent="0.25">
      <c r="B1316" s="82">
        <f>SUBTOTAL(103,$D$8:D1316)</f>
        <v>1309</v>
      </c>
      <c r="C1316" s="83" t="s">
        <v>1320</v>
      </c>
      <c r="D1316" s="84">
        <v>0</v>
      </c>
      <c r="E1316" s="85" t="str">
        <f t="shared" si="142"/>
        <v/>
      </c>
      <c r="F1316" s="106" t="str">
        <f t="shared" si="148"/>
        <v/>
      </c>
      <c r="G1316" s="86"/>
      <c r="H1316" s="107">
        <f t="shared" si="143"/>
        <v>0</v>
      </c>
      <c r="I1316" s="107">
        <f t="shared" si="144"/>
        <v>0</v>
      </c>
      <c r="J1316" s="87">
        <f>IF($D1316&gt;0,IFERROR(Параметры!$D$42*$H1316/$H$2408,0),0)</f>
        <v>0</v>
      </c>
      <c r="K1316" s="87">
        <f>IFERROR(ROUND($N1316*Параметры!$D$36,2),0)</f>
        <v>0</v>
      </c>
      <c r="L1316" s="87">
        <f t="shared" si="145"/>
        <v>0</v>
      </c>
      <c r="M1316" s="87">
        <f t="shared" si="146"/>
        <v>0</v>
      </c>
      <c r="N1316" s="107" t="str">
        <f t="shared" si="147"/>
        <v/>
      </c>
    </row>
    <row r="1317" spans="2:14" x14ac:dyDescent="0.25">
      <c r="B1317" s="82">
        <f>SUBTOTAL(103,$D$8:D1317)</f>
        <v>1310</v>
      </c>
      <c r="C1317" s="83" t="s">
        <v>1321</v>
      </c>
      <c r="D1317" s="84">
        <v>0</v>
      </c>
      <c r="E1317" s="85" t="str">
        <f t="shared" si="142"/>
        <v/>
      </c>
      <c r="F1317" s="106" t="str">
        <f t="shared" si="148"/>
        <v/>
      </c>
      <c r="G1317" s="86"/>
      <c r="H1317" s="107">
        <f t="shared" si="143"/>
        <v>0</v>
      </c>
      <c r="I1317" s="107">
        <f t="shared" si="144"/>
        <v>0</v>
      </c>
      <c r="J1317" s="87">
        <f>IF($D1317&gt;0,IFERROR(Параметры!$D$42*$H1317/$H$2408,0),0)</f>
        <v>0</v>
      </c>
      <c r="K1317" s="87">
        <f>IFERROR(ROUND($N1317*Параметры!$D$36,2),0)</f>
        <v>0</v>
      </c>
      <c r="L1317" s="87">
        <f t="shared" si="145"/>
        <v>0</v>
      </c>
      <c r="M1317" s="87">
        <f t="shared" si="146"/>
        <v>0</v>
      </c>
      <c r="N1317" s="107" t="str">
        <f t="shared" si="147"/>
        <v/>
      </c>
    </row>
    <row r="1318" spans="2:14" x14ac:dyDescent="0.25">
      <c r="B1318" s="82">
        <f>SUBTOTAL(103,$D$8:D1318)</f>
        <v>1311</v>
      </c>
      <c r="C1318" s="83" t="s">
        <v>1322</v>
      </c>
      <c r="D1318" s="84">
        <v>0</v>
      </c>
      <c r="E1318" s="85" t="str">
        <f t="shared" si="142"/>
        <v/>
      </c>
      <c r="F1318" s="106" t="str">
        <f t="shared" si="148"/>
        <v/>
      </c>
      <c r="G1318" s="86"/>
      <c r="H1318" s="107">
        <f t="shared" si="143"/>
        <v>0</v>
      </c>
      <c r="I1318" s="107">
        <f t="shared" si="144"/>
        <v>0</v>
      </c>
      <c r="J1318" s="87">
        <f>IF($D1318&gt;0,IFERROR(Параметры!$D$42*$H1318/$H$2408,0),0)</f>
        <v>0</v>
      </c>
      <c r="K1318" s="87">
        <f>IFERROR(ROUND($N1318*Параметры!$D$36,2),0)</f>
        <v>0</v>
      </c>
      <c r="L1318" s="87">
        <f t="shared" si="145"/>
        <v>0</v>
      </c>
      <c r="M1318" s="87">
        <f t="shared" si="146"/>
        <v>0</v>
      </c>
      <c r="N1318" s="107" t="str">
        <f t="shared" si="147"/>
        <v/>
      </c>
    </row>
    <row r="1319" spans="2:14" x14ac:dyDescent="0.25">
      <c r="B1319" s="82">
        <f>SUBTOTAL(103,$D$8:D1319)</f>
        <v>1312</v>
      </c>
      <c r="C1319" s="83" t="s">
        <v>1323</v>
      </c>
      <c r="D1319" s="84">
        <v>0</v>
      </c>
      <c r="E1319" s="85" t="str">
        <f t="shared" si="142"/>
        <v/>
      </c>
      <c r="F1319" s="106" t="str">
        <f t="shared" si="148"/>
        <v/>
      </c>
      <c r="G1319" s="86"/>
      <c r="H1319" s="107">
        <f t="shared" si="143"/>
        <v>0</v>
      </c>
      <c r="I1319" s="107">
        <f t="shared" si="144"/>
        <v>0</v>
      </c>
      <c r="J1319" s="87">
        <f>IF($D1319&gt;0,IFERROR(Параметры!$D$42*$H1319/$H$2408,0),0)</f>
        <v>0</v>
      </c>
      <c r="K1319" s="87">
        <f>IFERROR(ROUND($N1319*Параметры!$D$36,2),0)</f>
        <v>0</v>
      </c>
      <c r="L1319" s="87">
        <f t="shared" si="145"/>
        <v>0</v>
      </c>
      <c r="M1319" s="87">
        <f t="shared" si="146"/>
        <v>0</v>
      </c>
      <c r="N1319" s="107" t="str">
        <f t="shared" si="147"/>
        <v/>
      </c>
    </row>
    <row r="1320" spans="2:14" x14ac:dyDescent="0.25">
      <c r="B1320" s="82">
        <f>SUBTOTAL(103,$D$8:D1320)</f>
        <v>1313</v>
      </c>
      <c r="C1320" s="83" t="s">
        <v>1324</v>
      </c>
      <c r="D1320" s="84">
        <v>0</v>
      </c>
      <c r="E1320" s="85" t="str">
        <f t="shared" si="142"/>
        <v/>
      </c>
      <c r="F1320" s="106" t="str">
        <f t="shared" si="148"/>
        <v/>
      </c>
      <c r="G1320" s="86"/>
      <c r="H1320" s="107">
        <f t="shared" si="143"/>
        <v>0</v>
      </c>
      <c r="I1320" s="107">
        <f t="shared" si="144"/>
        <v>0</v>
      </c>
      <c r="J1320" s="87">
        <f>IF($D1320&gt;0,IFERROR(Параметры!$D$42*$H1320/$H$2408,0),0)</f>
        <v>0</v>
      </c>
      <c r="K1320" s="87">
        <f>IFERROR(ROUND($N1320*Параметры!$D$36,2),0)</f>
        <v>0</v>
      </c>
      <c r="L1320" s="87">
        <f t="shared" si="145"/>
        <v>0</v>
      </c>
      <c r="M1320" s="87">
        <f t="shared" si="146"/>
        <v>0</v>
      </c>
      <c r="N1320" s="107" t="str">
        <f t="shared" si="147"/>
        <v/>
      </c>
    </row>
    <row r="1321" spans="2:14" x14ac:dyDescent="0.25">
      <c r="B1321" s="82">
        <f>SUBTOTAL(103,$D$8:D1321)</f>
        <v>1314</v>
      </c>
      <c r="C1321" s="83" t="s">
        <v>1325</v>
      </c>
      <c r="D1321" s="84">
        <v>0</v>
      </c>
      <c r="E1321" s="85" t="str">
        <f t="shared" si="142"/>
        <v/>
      </c>
      <c r="F1321" s="106" t="str">
        <f t="shared" si="148"/>
        <v/>
      </c>
      <c r="G1321" s="86"/>
      <c r="H1321" s="107">
        <f t="shared" si="143"/>
        <v>0</v>
      </c>
      <c r="I1321" s="107">
        <f t="shared" si="144"/>
        <v>0</v>
      </c>
      <c r="J1321" s="87">
        <f>IF($D1321&gt;0,IFERROR(Параметры!$D$42*$H1321/$H$2408,0),0)</f>
        <v>0</v>
      </c>
      <c r="K1321" s="87">
        <f>IFERROR(ROUND($N1321*Параметры!$D$36,2),0)</f>
        <v>0</v>
      </c>
      <c r="L1321" s="87">
        <f t="shared" si="145"/>
        <v>0</v>
      </c>
      <c r="M1321" s="87">
        <f t="shared" si="146"/>
        <v>0</v>
      </c>
      <c r="N1321" s="107" t="str">
        <f t="shared" si="147"/>
        <v/>
      </c>
    </row>
    <row r="1322" spans="2:14" x14ac:dyDescent="0.25">
      <c r="B1322" s="82">
        <f>SUBTOTAL(103,$D$8:D1322)</f>
        <v>1315</v>
      </c>
      <c r="C1322" s="83" t="s">
        <v>1326</v>
      </c>
      <c r="D1322" s="84">
        <v>0</v>
      </c>
      <c r="E1322" s="85" t="str">
        <f t="shared" si="142"/>
        <v/>
      </c>
      <c r="F1322" s="106" t="str">
        <f t="shared" si="148"/>
        <v/>
      </c>
      <c r="G1322" s="86"/>
      <c r="H1322" s="107">
        <f t="shared" si="143"/>
        <v>0</v>
      </c>
      <c r="I1322" s="107">
        <f t="shared" si="144"/>
        <v>0</v>
      </c>
      <c r="J1322" s="87">
        <f>IF($D1322&gt;0,IFERROR(Параметры!$D$42*$H1322/$H$2408,0),0)</f>
        <v>0</v>
      </c>
      <c r="K1322" s="87">
        <f>IFERROR(ROUND($N1322*Параметры!$D$36,2),0)</f>
        <v>0</v>
      </c>
      <c r="L1322" s="87">
        <f t="shared" si="145"/>
        <v>0</v>
      </c>
      <c r="M1322" s="87">
        <f t="shared" si="146"/>
        <v>0</v>
      </c>
      <c r="N1322" s="107" t="str">
        <f t="shared" si="147"/>
        <v/>
      </c>
    </row>
    <row r="1323" spans="2:14" x14ac:dyDescent="0.25">
      <c r="B1323" s="82">
        <f>SUBTOTAL(103,$D$8:D1323)</f>
        <v>1316</v>
      </c>
      <c r="C1323" s="83" t="s">
        <v>1327</v>
      </c>
      <c r="D1323" s="84">
        <v>0</v>
      </c>
      <c r="E1323" s="85" t="str">
        <f t="shared" si="142"/>
        <v/>
      </c>
      <c r="F1323" s="106" t="str">
        <f t="shared" si="148"/>
        <v/>
      </c>
      <c r="G1323" s="86"/>
      <c r="H1323" s="107">
        <f t="shared" si="143"/>
        <v>0</v>
      </c>
      <c r="I1323" s="107">
        <f t="shared" si="144"/>
        <v>0</v>
      </c>
      <c r="J1323" s="87">
        <f>IF($D1323&gt;0,IFERROR(Параметры!$D$42*$H1323/$H$2408,0),0)</f>
        <v>0</v>
      </c>
      <c r="K1323" s="87">
        <f>IFERROR(ROUND($N1323*Параметры!$D$36,2),0)</f>
        <v>0</v>
      </c>
      <c r="L1323" s="87">
        <f t="shared" si="145"/>
        <v>0</v>
      </c>
      <c r="M1323" s="87">
        <f t="shared" si="146"/>
        <v>0</v>
      </c>
      <c r="N1323" s="107" t="str">
        <f t="shared" si="147"/>
        <v/>
      </c>
    </row>
    <row r="1324" spans="2:14" x14ac:dyDescent="0.25">
      <c r="B1324" s="82">
        <f>SUBTOTAL(103,$D$8:D1324)</f>
        <v>1317</v>
      </c>
      <c r="C1324" s="83" t="s">
        <v>1328</v>
      </c>
      <c r="D1324" s="84">
        <v>0</v>
      </c>
      <c r="E1324" s="85" t="str">
        <f t="shared" si="142"/>
        <v/>
      </c>
      <c r="F1324" s="106" t="str">
        <f t="shared" si="148"/>
        <v/>
      </c>
      <c r="G1324" s="86"/>
      <c r="H1324" s="107">
        <f t="shared" si="143"/>
        <v>0</v>
      </c>
      <c r="I1324" s="107">
        <f t="shared" si="144"/>
        <v>0</v>
      </c>
      <c r="J1324" s="87">
        <f>IF($D1324&gt;0,IFERROR(Параметры!$D$42*$H1324/$H$2408,0),0)</f>
        <v>0</v>
      </c>
      <c r="K1324" s="87">
        <f>IFERROR(ROUND($N1324*Параметры!$D$36,2),0)</f>
        <v>0</v>
      </c>
      <c r="L1324" s="87">
        <f t="shared" si="145"/>
        <v>0</v>
      </c>
      <c r="M1324" s="87">
        <f t="shared" si="146"/>
        <v>0</v>
      </c>
      <c r="N1324" s="107" t="str">
        <f t="shared" si="147"/>
        <v/>
      </c>
    </row>
    <row r="1325" spans="2:14" x14ac:dyDescent="0.25">
      <c r="B1325" s="82">
        <f>SUBTOTAL(103,$D$8:D1325)</f>
        <v>1318</v>
      </c>
      <c r="C1325" s="83" t="s">
        <v>1329</v>
      </c>
      <c r="D1325" s="84">
        <v>0</v>
      </c>
      <c r="E1325" s="85" t="str">
        <f t="shared" si="142"/>
        <v/>
      </c>
      <c r="F1325" s="106" t="str">
        <f t="shared" si="148"/>
        <v/>
      </c>
      <c r="G1325" s="86"/>
      <c r="H1325" s="107">
        <f t="shared" si="143"/>
        <v>0</v>
      </c>
      <c r="I1325" s="107">
        <f t="shared" si="144"/>
        <v>0</v>
      </c>
      <c r="J1325" s="87">
        <f>IF($D1325&gt;0,IFERROR(Параметры!$D$42*$H1325/$H$2408,0),0)</f>
        <v>0</v>
      </c>
      <c r="K1325" s="87">
        <f>IFERROR(ROUND($N1325*Параметры!$D$36,2),0)</f>
        <v>0</v>
      </c>
      <c r="L1325" s="87">
        <f t="shared" si="145"/>
        <v>0</v>
      </c>
      <c r="M1325" s="87">
        <f t="shared" si="146"/>
        <v>0</v>
      </c>
      <c r="N1325" s="107" t="str">
        <f t="shared" si="147"/>
        <v/>
      </c>
    </row>
    <row r="1326" spans="2:14" x14ac:dyDescent="0.25">
      <c r="B1326" s="82">
        <f>SUBTOTAL(103,$D$8:D1326)</f>
        <v>1319</v>
      </c>
      <c r="C1326" s="83" t="s">
        <v>1330</v>
      </c>
      <c r="D1326" s="84">
        <v>0</v>
      </c>
      <c r="E1326" s="85" t="str">
        <f t="shared" si="142"/>
        <v/>
      </c>
      <c r="F1326" s="106" t="str">
        <f t="shared" si="148"/>
        <v/>
      </c>
      <c r="G1326" s="86"/>
      <c r="H1326" s="107">
        <f t="shared" si="143"/>
        <v>0</v>
      </c>
      <c r="I1326" s="107">
        <f t="shared" si="144"/>
        <v>0</v>
      </c>
      <c r="J1326" s="87">
        <f>IF($D1326&gt;0,IFERROR(Параметры!$D$42*$H1326/$H$2408,0),0)</f>
        <v>0</v>
      </c>
      <c r="K1326" s="87">
        <f>IFERROR(ROUND($N1326*Параметры!$D$36,2),0)</f>
        <v>0</v>
      </c>
      <c r="L1326" s="87">
        <f t="shared" si="145"/>
        <v>0</v>
      </c>
      <c r="M1326" s="87">
        <f t="shared" si="146"/>
        <v>0</v>
      </c>
      <c r="N1326" s="107" t="str">
        <f t="shared" si="147"/>
        <v/>
      </c>
    </row>
    <row r="1327" spans="2:14" x14ac:dyDescent="0.25">
      <c r="B1327" s="82">
        <f>SUBTOTAL(103,$D$8:D1327)</f>
        <v>1320</v>
      </c>
      <c r="C1327" s="83" t="s">
        <v>1331</v>
      </c>
      <c r="D1327" s="84">
        <v>0</v>
      </c>
      <c r="E1327" s="85" t="str">
        <f t="shared" si="142"/>
        <v/>
      </c>
      <c r="F1327" s="106" t="str">
        <f t="shared" si="148"/>
        <v/>
      </c>
      <c r="G1327" s="86"/>
      <c r="H1327" s="107">
        <f t="shared" si="143"/>
        <v>0</v>
      </c>
      <c r="I1327" s="107">
        <f t="shared" si="144"/>
        <v>0</v>
      </c>
      <c r="J1327" s="87">
        <f>IF($D1327&gt;0,IFERROR(Параметры!$D$42*$H1327/$H$2408,0),0)</f>
        <v>0</v>
      </c>
      <c r="K1327" s="87">
        <f>IFERROR(ROUND($N1327*Параметры!$D$36,2),0)</f>
        <v>0</v>
      </c>
      <c r="L1327" s="87">
        <f t="shared" si="145"/>
        <v>0</v>
      </c>
      <c r="M1327" s="87">
        <f t="shared" si="146"/>
        <v>0</v>
      </c>
      <c r="N1327" s="107" t="str">
        <f t="shared" si="147"/>
        <v/>
      </c>
    </row>
    <row r="1328" spans="2:14" x14ac:dyDescent="0.25">
      <c r="B1328" s="82">
        <f>SUBTOTAL(103,$D$8:D1328)</f>
        <v>1321</v>
      </c>
      <c r="C1328" s="83" t="s">
        <v>1332</v>
      </c>
      <c r="D1328" s="84">
        <f t="array" ref="D1328:D1387">TRANSPOSE('Зарядная карта'!$C$27:$BJ$27)</f>
        <v>4</v>
      </c>
      <c r="E1328" s="85">
        <f t="shared" si="142"/>
        <v>62.814700000000002</v>
      </c>
      <c r="F1328" s="106">
        <f t="shared" si="148"/>
        <v>2</v>
      </c>
      <c r="G1328" s="86"/>
      <c r="H1328" s="107">
        <f t="shared" si="143"/>
        <v>3.44</v>
      </c>
      <c r="I1328" s="107">
        <f t="shared" si="144"/>
        <v>0.56000000000000005</v>
      </c>
      <c r="J1328" s="87">
        <f>IF($D1328&gt;0,IFERROR(Параметры!$D$42*$H1328/$H$2408,0),0)</f>
        <v>60.103959390862947</v>
      </c>
      <c r="K1328" s="87">
        <f>IFERROR(ROUND($N1328*Параметры!$D$36,2),0)</f>
        <v>59.54</v>
      </c>
      <c r="L1328" s="87">
        <f t="shared" si="145"/>
        <v>3.2747000000000002</v>
      </c>
      <c r="M1328" s="87">
        <f t="shared" si="146"/>
        <v>3.8420790191534921</v>
      </c>
      <c r="N1328" s="107">
        <f t="shared" si="147"/>
        <v>2</v>
      </c>
    </row>
    <row r="1329" spans="2:14" x14ac:dyDescent="0.25">
      <c r="B1329" s="82">
        <f>SUBTOTAL(103,$D$8:D1329)</f>
        <v>1322</v>
      </c>
      <c r="C1329" s="83" t="s">
        <v>1333</v>
      </c>
      <c r="D1329" s="84">
        <v>8</v>
      </c>
      <c r="E1329" s="85">
        <f t="shared" si="142"/>
        <v>188.44409999999999</v>
      </c>
      <c r="F1329" s="106">
        <f t="shared" si="148"/>
        <v>2</v>
      </c>
      <c r="G1329" s="86"/>
      <c r="H1329" s="107">
        <f t="shared" si="143"/>
        <v>6.88</v>
      </c>
      <c r="I1329" s="107">
        <f t="shared" si="144"/>
        <v>1.1200000000000001</v>
      </c>
      <c r="J1329" s="87">
        <f>IF($D1329&gt;0,IFERROR(Параметры!$D$42*$H1329/$H$2408,0),0)</f>
        <v>120.20791878172589</v>
      </c>
      <c r="K1329" s="87">
        <f>IFERROR(ROUND($N1329*Параметры!$D$36,2),0)</f>
        <v>178.62</v>
      </c>
      <c r="L1329" s="87">
        <f t="shared" si="145"/>
        <v>9.8240999999999996</v>
      </c>
      <c r="M1329" s="87">
        <f t="shared" si="146"/>
        <v>11.526237057460476</v>
      </c>
      <c r="N1329" s="107">
        <f t="shared" si="147"/>
        <v>6</v>
      </c>
    </row>
    <row r="1330" spans="2:14" x14ac:dyDescent="0.25">
      <c r="B1330" s="82">
        <f>SUBTOTAL(103,$D$8:D1330)</f>
        <v>1323</v>
      </c>
      <c r="C1330" s="83" t="s">
        <v>1334</v>
      </c>
      <c r="D1330" s="84">
        <v>8</v>
      </c>
      <c r="E1330" s="85">
        <f t="shared" si="142"/>
        <v>188.44409999999999</v>
      </c>
      <c r="F1330" s="106">
        <f t="shared" si="148"/>
        <v>2</v>
      </c>
      <c r="G1330" s="86"/>
      <c r="H1330" s="107">
        <f t="shared" si="143"/>
        <v>6.88</v>
      </c>
      <c r="I1330" s="107">
        <f t="shared" si="144"/>
        <v>1.1200000000000001</v>
      </c>
      <c r="J1330" s="87">
        <f>IF($D1330&gt;0,IFERROR(Параметры!$D$42*$H1330/$H$2408,0),0)</f>
        <v>120.20791878172589</v>
      </c>
      <c r="K1330" s="87">
        <f>IFERROR(ROUND($N1330*Параметры!$D$36,2),0)</f>
        <v>178.62</v>
      </c>
      <c r="L1330" s="87">
        <f t="shared" si="145"/>
        <v>9.8240999999999996</v>
      </c>
      <c r="M1330" s="87">
        <f t="shared" si="146"/>
        <v>11.526237057460476</v>
      </c>
      <c r="N1330" s="107">
        <f t="shared" si="147"/>
        <v>6</v>
      </c>
    </row>
    <row r="1331" spans="2:14" x14ac:dyDescent="0.25">
      <c r="B1331" s="82">
        <f>SUBTOTAL(103,$D$8:D1331)</f>
        <v>1324</v>
      </c>
      <c r="C1331" s="83" t="s">
        <v>1335</v>
      </c>
      <c r="D1331" s="84">
        <v>4</v>
      </c>
      <c r="E1331" s="85">
        <f t="shared" si="142"/>
        <v>62.814700000000002</v>
      </c>
      <c r="F1331" s="106">
        <f t="shared" si="148"/>
        <v>2</v>
      </c>
      <c r="G1331" s="86"/>
      <c r="H1331" s="107">
        <f t="shared" si="143"/>
        <v>3.44</v>
      </c>
      <c r="I1331" s="107">
        <f t="shared" si="144"/>
        <v>0.56000000000000005</v>
      </c>
      <c r="J1331" s="87">
        <f>IF($D1331&gt;0,IFERROR(Параметры!$D$42*$H1331/$H$2408,0),0)</f>
        <v>60.103959390862947</v>
      </c>
      <c r="K1331" s="87">
        <f>IFERROR(ROUND($N1331*Параметры!$D$36,2),0)</f>
        <v>59.54</v>
      </c>
      <c r="L1331" s="87">
        <f t="shared" si="145"/>
        <v>3.2747000000000002</v>
      </c>
      <c r="M1331" s="87">
        <f t="shared" si="146"/>
        <v>3.8420790191534921</v>
      </c>
      <c r="N1331" s="107">
        <f t="shared" si="147"/>
        <v>2</v>
      </c>
    </row>
    <row r="1332" spans="2:14" x14ac:dyDescent="0.25">
      <c r="B1332" s="82">
        <f>SUBTOTAL(103,$D$8:D1332)</f>
        <v>1325</v>
      </c>
      <c r="C1332" s="83" t="s">
        <v>1336</v>
      </c>
      <c r="D1332" s="84">
        <v>0</v>
      </c>
      <c r="E1332" s="85" t="str">
        <f t="shared" si="142"/>
        <v/>
      </c>
      <c r="F1332" s="106" t="str">
        <f t="shared" si="148"/>
        <v/>
      </c>
      <c r="G1332" s="86"/>
      <c r="H1332" s="107">
        <f t="shared" si="143"/>
        <v>0</v>
      </c>
      <c r="I1332" s="107">
        <f t="shared" si="144"/>
        <v>0</v>
      </c>
      <c r="J1332" s="87">
        <f>IF($D1332&gt;0,IFERROR(Параметры!$D$42*$H1332/$H$2408,0),0)</f>
        <v>0</v>
      </c>
      <c r="K1332" s="87">
        <f>IFERROR(ROUND($N1332*Параметры!$D$36,2),0)</f>
        <v>0</v>
      </c>
      <c r="L1332" s="87">
        <f t="shared" si="145"/>
        <v>0</v>
      </c>
      <c r="M1332" s="87">
        <f t="shared" si="146"/>
        <v>0</v>
      </c>
      <c r="N1332" s="107" t="str">
        <f t="shared" si="147"/>
        <v/>
      </c>
    </row>
    <row r="1333" spans="2:14" x14ac:dyDescent="0.25">
      <c r="B1333" s="82">
        <f>SUBTOTAL(103,$D$8:D1333)</f>
        <v>1326</v>
      </c>
      <c r="C1333" s="83" t="s">
        <v>1337</v>
      </c>
      <c r="D1333" s="84">
        <v>0</v>
      </c>
      <c r="E1333" s="85" t="str">
        <f t="shared" si="142"/>
        <v/>
      </c>
      <c r="F1333" s="106" t="str">
        <f t="shared" si="148"/>
        <v/>
      </c>
      <c r="G1333" s="86"/>
      <c r="H1333" s="107">
        <f t="shared" si="143"/>
        <v>0</v>
      </c>
      <c r="I1333" s="107">
        <f t="shared" si="144"/>
        <v>0</v>
      </c>
      <c r="J1333" s="87">
        <f>IF($D1333&gt;0,IFERROR(Параметры!$D$42*$H1333/$H$2408,0),0)</f>
        <v>0</v>
      </c>
      <c r="K1333" s="87">
        <f>IFERROR(ROUND($N1333*Параметры!$D$36,2),0)</f>
        <v>0</v>
      </c>
      <c r="L1333" s="87">
        <f t="shared" si="145"/>
        <v>0</v>
      </c>
      <c r="M1333" s="87">
        <f t="shared" si="146"/>
        <v>0</v>
      </c>
      <c r="N1333" s="107" t="str">
        <f t="shared" si="147"/>
        <v/>
      </c>
    </row>
    <row r="1334" spans="2:14" x14ac:dyDescent="0.25">
      <c r="B1334" s="82">
        <f>SUBTOTAL(103,$D$8:D1334)</f>
        <v>1327</v>
      </c>
      <c r="C1334" s="83" t="s">
        <v>1338</v>
      </c>
      <c r="D1334" s="84">
        <v>0</v>
      </c>
      <c r="E1334" s="85" t="str">
        <f t="shared" si="142"/>
        <v/>
      </c>
      <c r="F1334" s="106" t="str">
        <f t="shared" si="148"/>
        <v/>
      </c>
      <c r="G1334" s="86"/>
      <c r="H1334" s="107">
        <f t="shared" si="143"/>
        <v>0</v>
      </c>
      <c r="I1334" s="107">
        <f t="shared" si="144"/>
        <v>0</v>
      </c>
      <c r="J1334" s="87">
        <f>IF($D1334&gt;0,IFERROR(Параметры!$D$42*$H1334/$H$2408,0),0)</f>
        <v>0</v>
      </c>
      <c r="K1334" s="87">
        <f>IFERROR(ROUND($N1334*Параметры!$D$36,2),0)</f>
        <v>0</v>
      </c>
      <c r="L1334" s="87">
        <f t="shared" si="145"/>
        <v>0</v>
      </c>
      <c r="M1334" s="87">
        <f t="shared" si="146"/>
        <v>0</v>
      </c>
      <c r="N1334" s="107" t="str">
        <f t="shared" si="147"/>
        <v/>
      </c>
    </row>
    <row r="1335" spans="2:14" x14ac:dyDescent="0.25">
      <c r="B1335" s="82">
        <f>SUBTOTAL(103,$D$8:D1335)</f>
        <v>1328</v>
      </c>
      <c r="C1335" s="83" t="s">
        <v>1339</v>
      </c>
      <c r="D1335" s="84">
        <v>0</v>
      </c>
      <c r="E1335" s="85" t="str">
        <f t="shared" si="142"/>
        <v/>
      </c>
      <c r="F1335" s="106" t="str">
        <f t="shared" si="148"/>
        <v/>
      </c>
      <c r="G1335" s="86"/>
      <c r="H1335" s="107">
        <f t="shared" si="143"/>
        <v>0</v>
      </c>
      <c r="I1335" s="107">
        <f t="shared" si="144"/>
        <v>0</v>
      </c>
      <c r="J1335" s="87">
        <f>IF($D1335&gt;0,IFERROR(Параметры!$D$42*$H1335/$H$2408,0),0)</f>
        <v>0</v>
      </c>
      <c r="K1335" s="87">
        <f>IFERROR(ROUND($N1335*Параметры!$D$36,2),0)</f>
        <v>0</v>
      </c>
      <c r="L1335" s="87">
        <f t="shared" si="145"/>
        <v>0</v>
      </c>
      <c r="M1335" s="87">
        <f t="shared" si="146"/>
        <v>0</v>
      </c>
      <c r="N1335" s="107" t="str">
        <f t="shared" si="147"/>
        <v/>
      </c>
    </row>
    <row r="1336" spans="2:14" x14ac:dyDescent="0.25">
      <c r="B1336" s="82">
        <f>SUBTOTAL(103,$D$8:D1336)</f>
        <v>1329</v>
      </c>
      <c r="C1336" s="83" t="s">
        <v>1340</v>
      </c>
      <c r="D1336" s="84">
        <v>0</v>
      </c>
      <c r="E1336" s="85" t="str">
        <f t="shared" si="142"/>
        <v/>
      </c>
      <c r="F1336" s="106" t="str">
        <f t="shared" si="148"/>
        <v/>
      </c>
      <c r="G1336" s="86"/>
      <c r="H1336" s="107">
        <f t="shared" si="143"/>
        <v>0</v>
      </c>
      <c r="I1336" s="107">
        <f t="shared" si="144"/>
        <v>0</v>
      </c>
      <c r="J1336" s="87">
        <f>IF($D1336&gt;0,IFERROR(Параметры!$D$42*$H1336/$H$2408,0),0)</f>
        <v>0</v>
      </c>
      <c r="K1336" s="87">
        <f>IFERROR(ROUND($N1336*Параметры!$D$36,2),0)</f>
        <v>0</v>
      </c>
      <c r="L1336" s="87">
        <f t="shared" si="145"/>
        <v>0</v>
      </c>
      <c r="M1336" s="87">
        <f t="shared" si="146"/>
        <v>0</v>
      </c>
      <c r="N1336" s="107" t="str">
        <f t="shared" si="147"/>
        <v/>
      </c>
    </row>
    <row r="1337" spans="2:14" x14ac:dyDescent="0.25">
      <c r="B1337" s="82">
        <f>SUBTOTAL(103,$D$8:D1337)</f>
        <v>1330</v>
      </c>
      <c r="C1337" s="83" t="s">
        <v>1341</v>
      </c>
      <c r="D1337" s="84">
        <v>0</v>
      </c>
      <c r="E1337" s="85" t="str">
        <f t="shared" si="142"/>
        <v/>
      </c>
      <c r="F1337" s="106" t="str">
        <f t="shared" si="148"/>
        <v/>
      </c>
      <c r="G1337" s="86"/>
      <c r="H1337" s="107">
        <f t="shared" si="143"/>
        <v>0</v>
      </c>
      <c r="I1337" s="107">
        <f t="shared" si="144"/>
        <v>0</v>
      </c>
      <c r="J1337" s="87">
        <f>IF($D1337&gt;0,IFERROR(Параметры!$D$42*$H1337/$H$2408,0),0)</f>
        <v>0</v>
      </c>
      <c r="K1337" s="87">
        <f>IFERROR(ROUND($N1337*Параметры!$D$36,2),0)</f>
        <v>0</v>
      </c>
      <c r="L1337" s="87">
        <f t="shared" si="145"/>
        <v>0</v>
      </c>
      <c r="M1337" s="87">
        <f t="shared" si="146"/>
        <v>0</v>
      </c>
      <c r="N1337" s="107" t="str">
        <f t="shared" si="147"/>
        <v/>
      </c>
    </row>
    <row r="1338" spans="2:14" x14ac:dyDescent="0.25">
      <c r="B1338" s="82">
        <f>SUBTOTAL(103,$D$8:D1338)</f>
        <v>1331</v>
      </c>
      <c r="C1338" s="83" t="s">
        <v>1342</v>
      </c>
      <c r="D1338" s="84">
        <v>0</v>
      </c>
      <c r="E1338" s="85" t="str">
        <f t="shared" si="142"/>
        <v/>
      </c>
      <c r="F1338" s="106" t="str">
        <f t="shared" si="148"/>
        <v/>
      </c>
      <c r="G1338" s="86"/>
      <c r="H1338" s="107">
        <f t="shared" si="143"/>
        <v>0</v>
      </c>
      <c r="I1338" s="107">
        <f t="shared" si="144"/>
        <v>0</v>
      </c>
      <c r="J1338" s="87">
        <f>IF($D1338&gt;0,IFERROR(Параметры!$D$42*$H1338/$H$2408,0),0)</f>
        <v>0</v>
      </c>
      <c r="K1338" s="87">
        <f>IFERROR(ROUND($N1338*Параметры!$D$36,2),0)</f>
        <v>0</v>
      </c>
      <c r="L1338" s="87">
        <f t="shared" si="145"/>
        <v>0</v>
      </c>
      <c r="M1338" s="87">
        <f t="shared" si="146"/>
        <v>0</v>
      </c>
      <c r="N1338" s="107" t="str">
        <f t="shared" si="147"/>
        <v/>
      </c>
    </row>
    <row r="1339" spans="2:14" x14ac:dyDescent="0.25">
      <c r="B1339" s="82">
        <f>SUBTOTAL(103,$D$8:D1339)</f>
        <v>1332</v>
      </c>
      <c r="C1339" s="83" t="s">
        <v>1343</v>
      </c>
      <c r="D1339" s="84">
        <v>0</v>
      </c>
      <c r="E1339" s="85" t="str">
        <f t="shared" si="142"/>
        <v/>
      </c>
      <c r="F1339" s="106" t="str">
        <f t="shared" si="148"/>
        <v/>
      </c>
      <c r="G1339" s="86"/>
      <c r="H1339" s="107">
        <f t="shared" si="143"/>
        <v>0</v>
      </c>
      <c r="I1339" s="107">
        <f t="shared" si="144"/>
        <v>0</v>
      </c>
      <c r="J1339" s="87">
        <f>IF($D1339&gt;0,IFERROR(Параметры!$D$42*$H1339/$H$2408,0),0)</f>
        <v>0</v>
      </c>
      <c r="K1339" s="87">
        <f>IFERROR(ROUND($N1339*Параметры!$D$36,2),0)</f>
        <v>0</v>
      </c>
      <c r="L1339" s="87">
        <f t="shared" si="145"/>
        <v>0</v>
      </c>
      <c r="M1339" s="87">
        <f t="shared" si="146"/>
        <v>0</v>
      </c>
      <c r="N1339" s="107" t="str">
        <f t="shared" si="147"/>
        <v/>
      </c>
    </row>
    <row r="1340" spans="2:14" x14ac:dyDescent="0.25">
      <c r="B1340" s="82">
        <f>SUBTOTAL(103,$D$8:D1340)</f>
        <v>1333</v>
      </c>
      <c r="C1340" s="83" t="s">
        <v>1344</v>
      </c>
      <c r="D1340" s="84">
        <v>0</v>
      </c>
      <c r="E1340" s="85" t="str">
        <f t="shared" si="142"/>
        <v/>
      </c>
      <c r="F1340" s="106" t="str">
        <f t="shared" si="148"/>
        <v/>
      </c>
      <c r="G1340" s="86"/>
      <c r="H1340" s="107">
        <f t="shared" si="143"/>
        <v>0</v>
      </c>
      <c r="I1340" s="107">
        <f t="shared" si="144"/>
        <v>0</v>
      </c>
      <c r="J1340" s="87">
        <f>IF($D1340&gt;0,IFERROR(Параметры!$D$42*$H1340/$H$2408,0),0)</f>
        <v>0</v>
      </c>
      <c r="K1340" s="87">
        <f>IFERROR(ROUND($N1340*Параметры!$D$36,2),0)</f>
        <v>0</v>
      </c>
      <c r="L1340" s="87">
        <f t="shared" si="145"/>
        <v>0</v>
      </c>
      <c r="M1340" s="87">
        <f t="shared" si="146"/>
        <v>0</v>
      </c>
      <c r="N1340" s="107" t="str">
        <f t="shared" si="147"/>
        <v/>
      </c>
    </row>
    <row r="1341" spans="2:14" x14ac:dyDescent="0.25">
      <c r="B1341" s="82">
        <f>SUBTOTAL(103,$D$8:D1341)</f>
        <v>1334</v>
      </c>
      <c r="C1341" s="83" t="s">
        <v>1345</v>
      </c>
      <c r="D1341" s="84">
        <v>0</v>
      </c>
      <c r="E1341" s="85" t="str">
        <f t="shared" si="142"/>
        <v/>
      </c>
      <c r="F1341" s="106" t="str">
        <f t="shared" si="148"/>
        <v/>
      </c>
      <c r="G1341" s="86"/>
      <c r="H1341" s="107">
        <f t="shared" si="143"/>
        <v>0</v>
      </c>
      <c r="I1341" s="107">
        <f t="shared" si="144"/>
        <v>0</v>
      </c>
      <c r="J1341" s="87">
        <f>IF($D1341&gt;0,IFERROR(Параметры!$D$42*$H1341/$H$2408,0),0)</f>
        <v>0</v>
      </c>
      <c r="K1341" s="87">
        <f>IFERROR(ROUND($N1341*Параметры!$D$36,2),0)</f>
        <v>0</v>
      </c>
      <c r="L1341" s="87">
        <f t="shared" si="145"/>
        <v>0</v>
      </c>
      <c r="M1341" s="87">
        <f t="shared" si="146"/>
        <v>0</v>
      </c>
      <c r="N1341" s="107" t="str">
        <f t="shared" si="147"/>
        <v/>
      </c>
    </row>
    <row r="1342" spans="2:14" x14ac:dyDescent="0.25">
      <c r="B1342" s="82">
        <f>SUBTOTAL(103,$D$8:D1342)</f>
        <v>1335</v>
      </c>
      <c r="C1342" s="83" t="s">
        <v>1346</v>
      </c>
      <c r="D1342" s="84">
        <v>0</v>
      </c>
      <c r="E1342" s="85" t="str">
        <f t="shared" si="142"/>
        <v/>
      </c>
      <c r="F1342" s="106" t="str">
        <f t="shared" si="148"/>
        <v/>
      </c>
      <c r="G1342" s="86"/>
      <c r="H1342" s="107">
        <f t="shared" si="143"/>
        <v>0</v>
      </c>
      <c r="I1342" s="107">
        <f t="shared" si="144"/>
        <v>0</v>
      </c>
      <c r="J1342" s="87">
        <f>IF($D1342&gt;0,IFERROR(Параметры!$D$42*$H1342/$H$2408,0),0)</f>
        <v>0</v>
      </c>
      <c r="K1342" s="87">
        <f>IFERROR(ROUND($N1342*Параметры!$D$36,2),0)</f>
        <v>0</v>
      </c>
      <c r="L1342" s="87">
        <f t="shared" si="145"/>
        <v>0</v>
      </c>
      <c r="M1342" s="87">
        <f t="shared" si="146"/>
        <v>0</v>
      </c>
      <c r="N1342" s="107" t="str">
        <f t="shared" si="147"/>
        <v/>
      </c>
    </row>
    <row r="1343" spans="2:14" x14ac:dyDescent="0.25">
      <c r="B1343" s="82">
        <f>SUBTOTAL(103,$D$8:D1343)</f>
        <v>1336</v>
      </c>
      <c r="C1343" s="83" t="s">
        <v>1347</v>
      </c>
      <c r="D1343" s="84">
        <v>0</v>
      </c>
      <c r="E1343" s="85" t="str">
        <f t="shared" si="142"/>
        <v/>
      </c>
      <c r="F1343" s="106" t="str">
        <f t="shared" si="148"/>
        <v/>
      </c>
      <c r="G1343" s="86"/>
      <c r="H1343" s="107">
        <f t="shared" si="143"/>
        <v>0</v>
      </c>
      <c r="I1343" s="107">
        <f t="shared" si="144"/>
        <v>0</v>
      </c>
      <c r="J1343" s="87">
        <f>IF($D1343&gt;0,IFERROR(Параметры!$D$42*$H1343/$H$2408,0),0)</f>
        <v>0</v>
      </c>
      <c r="K1343" s="87">
        <f>IFERROR(ROUND($N1343*Параметры!$D$36,2),0)</f>
        <v>0</v>
      </c>
      <c r="L1343" s="87">
        <f t="shared" si="145"/>
        <v>0</v>
      </c>
      <c r="M1343" s="87">
        <f t="shared" si="146"/>
        <v>0</v>
      </c>
      <c r="N1343" s="107" t="str">
        <f t="shared" si="147"/>
        <v/>
      </c>
    </row>
    <row r="1344" spans="2:14" x14ac:dyDescent="0.25">
      <c r="B1344" s="82">
        <f>SUBTOTAL(103,$D$8:D1344)</f>
        <v>1337</v>
      </c>
      <c r="C1344" s="83" t="s">
        <v>1348</v>
      </c>
      <c r="D1344" s="84">
        <v>0</v>
      </c>
      <c r="E1344" s="85" t="str">
        <f t="shared" si="142"/>
        <v/>
      </c>
      <c r="F1344" s="106" t="str">
        <f t="shared" si="148"/>
        <v/>
      </c>
      <c r="G1344" s="86"/>
      <c r="H1344" s="107">
        <f t="shared" si="143"/>
        <v>0</v>
      </c>
      <c r="I1344" s="107">
        <f t="shared" si="144"/>
        <v>0</v>
      </c>
      <c r="J1344" s="87">
        <f>IF($D1344&gt;0,IFERROR(Параметры!$D$42*$H1344/$H$2408,0),0)</f>
        <v>0</v>
      </c>
      <c r="K1344" s="87">
        <f>IFERROR(ROUND($N1344*Параметры!$D$36,2),0)</f>
        <v>0</v>
      </c>
      <c r="L1344" s="87">
        <f t="shared" si="145"/>
        <v>0</v>
      </c>
      <c r="M1344" s="87">
        <f t="shared" si="146"/>
        <v>0</v>
      </c>
      <c r="N1344" s="107" t="str">
        <f t="shared" si="147"/>
        <v/>
      </c>
    </row>
    <row r="1345" spans="2:14" x14ac:dyDescent="0.25">
      <c r="B1345" s="82">
        <f>SUBTOTAL(103,$D$8:D1345)</f>
        <v>1338</v>
      </c>
      <c r="C1345" s="83" t="s">
        <v>1349</v>
      </c>
      <c r="D1345" s="84">
        <v>0</v>
      </c>
      <c r="E1345" s="85" t="str">
        <f t="shared" si="142"/>
        <v/>
      </c>
      <c r="F1345" s="106" t="str">
        <f t="shared" si="148"/>
        <v/>
      </c>
      <c r="G1345" s="86"/>
      <c r="H1345" s="107">
        <f t="shared" si="143"/>
        <v>0</v>
      </c>
      <c r="I1345" s="107">
        <f t="shared" si="144"/>
        <v>0</v>
      </c>
      <c r="J1345" s="87">
        <f>IF($D1345&gt;0,IFERROR(Параметры!$D$42*$H1345/$H$2408,0),0)</f>
        <v>0</v>
      </c>
      <c r="K1345" s="87">
        <f>IFERROR(ROUND($N1345*Параметры!$D$36,2),0)</f>
        <v>0</v>
      </c>
      <c r="L1345" s="87">
        <f t="shared" si="145"/>
        <v>0</v>
      </c>
      <c r="M1345" s="87">
        <f t="shared" si="146"/>
        <v>0</v>
      </c>
      <c r="N1345" s="107" t="str">
        <f t="shared" si="147"/>
        <v/>
      </c>
    </row>
    <row r="1346" spans="2:14" x14ac:dyDescent="0.25">
      <c r="B1346" s="82">
        <f>SUBTOTAL(103,$D$8:D1346)</f>
        <v>1339</v>
      </c>
      <c r="C1346" s="83" t="s">
        <v>1350</v>
      </c>
      <c r="D1346" s="84">
        <v>0</v>
      </c>
      <c r="E1346" s="85" t="str">
        <f t="shared" si="142"/>
        <v/>
      </c>
      <c r="F1346" s="106" t="str">
        <f t="shared" si="148"/>
        <v/>
      </c>
      <c r="G1346" s="86"/>
      <c r="H1346" s="107">
        <f t="shared" si="143"/>
        <v>0</v>
      </c>
      <c r="I1346" s="107">
        <f t="shared" si="144"/>
        <v>0</v>
      </c>
      <c r="J1346" s="87">
        <f>IF($D1346&gt;0,IFERROR(Параметры!$D$42*$H1346/$H$2408,0),0)</f>
        <v>0</v>
      </c>
      <c r="K1346" s="87">
        <f>IFERROR(ROUND($N1346*Параметры!$D$36,2),0)</f>
        <v>0</v>
      </c>
      <c r="L1346" s="87">
        <f t="shared" si="145"/>
        <v>0</v>
      </c>
      <c r="M1346" s="87">
        <f t="shared" si="146"/>
        <v>0</v>
      </c>
      <c r="N1346" s="107" t="str">
        <f t="shared" si="147"/>
        <v/>
      </c>
    </row>
    <row r="1347" spans="2:14" x14ac:dyDescent="0.25">
      <c r="B1347" s="82">
        <f>SUBTOTAL(103,$D$8:D1347)</f>
        <v>1340</v>
      </c>
      <c r="C1347" s="83" t="s">
        <v>1351</v>
      </c>
      <c r="D1347" s="84">
        <v>0</v>
      </c>
      <c r="E1347" s="85" t="str">
        <f t="shared" si="142"/>
        <v/>
      </c>
      <c r="F1347" s="106" t="str">
        <f t="shared" si="148"/>
        <v/>
      </c>
      <c r="G1347" s="86"/>
      <c r="H1347" s="107">
        <f t="shared" si="143"/>
        <v>0</v>
      </c>
      <c r="I1347" s="107">
        <f t="shared" si="144"/>
        <v>0</v>
      </c>
      <c r="J1347" s="87">
        <f>IF($D1347&gt;0,IFERROR(Параметры!$D$42*$H1347/$H$2408,0),0)</f>
        <v>0</v>
      </c>
      <c r="K1347" s="87">
        <f>IFERROR(ROUND($N1347*Параметры!$D$36,2),0)</f>
        <v>0</v>
      </c>
      <c r="L1347" s="87">
        <f t="shared" si="145"/>
        <v>0</v>
      </c>
      <c r="M1347" s="87">
        <f t="shared" si="146"/>
        <v>0</v>
      </c>
      <c r="N1347" s="107" t="str">
        <f t="shared" si="147"/>
        <v/>
      </c>
    </row>
    <row r="1348" spans="2:14" x14ac:dyDescent="0.25">
      <c r="B1348" s="82">
        <f>SUBTOTAL(103,$D$8:D1348)</f>
        <v>1341</v>
      </c>
      <c r="C1348" s="83" t="s">
        <v>1352</v>
      </c>
      <c r="D1348" s="84">
        <v>0</v>
      </c>
      <c r="E1348" s="85" t="str">
        <f t="shared" si="142"/>
        <v/>
      </c>
      <c r="F1348" s="106" t="str">
        <f t="shared" si="148"/>
        <v/>
      </c>
      <c r="G1348" s="86"/>
      <c r="H1348" s="107">
        <f t="shared" si="143"/>
        <v>0</v>
      </c>
      <c r="I1348" s="107">
        <f t="shared" si="144"/>
        <v>0</v>
      </c>
      <c r="J1348" s="87">
        <f>IF($D1348&gt;0,IFERROR(Параметры!$D$42*$H1348/$H$2408,0),0)</f>
        <v>0</v>
      </c>
      <c r="K1348" s="87">
        <f>IFERROR(ROUND($N1348*Параметры!$D$36,2),0)</f>
        <v>0</v>
      </c>
      <c r="L1348" s="87">
        <f t="shared" si="145"/>
        <v>0</v>
      </c>
      <c r="M1348" s="87">
        <f t="shared" si="146"/>
        <v>0</v>
      </c>
      <c r="N1348" s="107" t="str">
        <f t="shared" si="147"/>
        <v/>
      </c>
    </row>
    <row r="1349" spans="2:14" x14ac:dyDescent="0.25">
      <c r="B1349" s="82">
        <f>SUBTOTAL(103,$D$8:D1349)</f>
        <v>1342</v>
      </c>
      <c r="C1349" s="83" t="s">
        <v>1353</v>
      </c>
      <c r="D1349" s="84">
        <v>0</v>
      </c>
      <c r="E1349" s="85" t="str">
        <f t="shared" si="142"/>
        <v/>
      </c>
      <c r="F1349" s="106" t="str">
        <f t="shared" si="148"/>
        <v/>
      </c>
      <c r="G1349" s="86"/>
      <c r="H1349" s="107">
        <f t="shared" si="143"/>
        <v>0</v>
      </c>
      <c r="I1349" s="107">
        <f t="shared" si="144"/>
        <v>0</v>
      </c>
      <c r="J1349" s="87">
        <f>IF($D1349&gt;0,IFERROR(Параметры!$D$42*$H1349/$H$2408,0),0)</f>
        <v>0</v>
      </c>
      <c r="K1349" s="87">
        <f>IFERROR(ROUND($N1349*Параметры!$D$36,2),0)</f>
        <v>0</v>
      </c>
      <c r="L1349" s="87">
        <f t="shared" si="145"/>
        <v>0</v>
      </c>
      <c r="M1349" s="87">
        <f t="shared" si="146"/>
        <v>0</v>
      </c>
      <c r="N1349" s="107" t="str">
        <f t="shared" si="147"/>
        <v/>
      </c>
    </row>
    <row r="1350" spans="2:14" x14ac:dyDescent="0.25">
      <c r="B1350" s="82">
        <f>SUBTOTAL(103,$D$8:D1350)</f>
        <v>1343</v>
      </c>
      <c r="C1350" s="83" t="s">
        <v>1349</v>
      </c>
      <c r="D1350" s="84">
        <v>0</v>
      </c>
      <c r="E1350" s="85" t="str">
        <f t="shared" si="142"/>
        <v/>
      </c>
      <c r="F1350" s="106" t="str">
        <f t="shared" si="148"/>
        <v/>
      </c>
      <c r="G1350" s="86"/>
      <c r="H1350" s="107">
        <f t="shared" si="143"/>
        <v>0</v>
      </c>
      <c r="I1350" s="107">
        <f t="shared" si="144"/>
        <v>0</v>
      </c>
      <c r="J1350" s="87">
        <f>IF($D1350&gt;0,IFERROR(Параметры!$D$42*$H1350/$H$2408,0),0)</f>
        <v>0</v>
      </c>
      <c r="K1350" s="87">
        <f>IFERROR(ROUND($N1350*Параметры!$D$36,2),0)</f>
        <v>0</v>
      </c>
      <c r="L1350" s="87">
        <f t="shared" si="145"/>
        <v>0</v>
      </c>
      <c r="M1350" s="87">
        <f t="shared" si="146"/>
        <v>0</v>
      </c>
      <c r="N1350" s="107" t="str">
        <f t="shared" si="147"/>
        <v/>
      </c>
    </row>
    <row r="1351" spans="2:14" x14ac:dyDescent="0.25">
      <c r="B1351" s="82">
        <f>SUBTOTAL(103,$D$8:D1351)</f>
        <v>1344</v>
      </c>
      <c r="C1351" s="83" t="s">
        <v>1354</v>
      </c>
      <c r="D1351" s="84">
        <v>0</v>
      </c>
      <c r="E1351" s="85" t="str">
        <f t="shared" si="142"/>
        <v/>
      </c>
      <c r="F1351" s="106" t="str">
        <f t="shared" si="148"/>
        <v/>
      </c>
      <c r="G1351" s="86"/>
      <c r="H1351" s="107">
        <f t="shared" si="143"/>
        <v>0</v>
      </c>
      <c r="I1351" s="107">
        <f t="shared" si="144"/>
        <v>0</v>
      </c>
      <c r="J1351" s="87">
        <f>IF($D1351&gt;0,IFERROR(Параметры!$D$42*$H1351/$H$2408,0),0)</f>
        <v>0</v>
      </c>
      <c r="K1351" s="87">
        <f>IFERROR(ROUND($N1351*Параметры!$D$36,2),0)</f>
        <v>0</v>
      </c>
      <c r="L1351" s="87">
        <f t="shared" si="145"/>
        <v>0</v>
      </c>
      <c r="M1351" s="87">
        <f t="shared" si="146"/>
        <v>0</v>
      </c>
      <c r="N1351" s="107" t="str">
        <f t="shared" si="147"/>
        <v/>
      </c>
    </row>
    <row r="1352" spans="2:14" x14ac:dyDescent="0.25">
      <c r="B1352" s="82">
        <f>SUBTOTAL(103,$D$8:D1352)</f>
        <v>1345</v>
      </c>
      <c r="C1352" s="83" t="s">
        <v>1355</v>
      </c>
      <c r="D1352" s="84">
        <v>0</v>
      </c>
      <c r="E1352" s="85" t="str">
        <f t="shared" ref="E1352:E1415" si="149">IF($D1352&lt;1,"",$K1352+$L1352)</f>
        <v/>
      </c>
      <c r="F1352" s="106" t="str">
        <f t="shared" si="148"/>
        <v/>
      </c>
      <c r="G1352" s="86"/>
      <c r="H1352" s="107">
        <f t="shared" ref="H1352:H1415" si="150">IF($D1352&gt;0,$D1352*КИС,0)</f>
        <v>0</v>
      </c>
      <c r="I1352" s="107">
        <f t="shared" ref="I1352:I1415" si="151">IF($D1352&gt;0,$D1352-$H1352,0)</f>
        <v>0</v>
      </c>
      <c r="J1352" s="87">
        <f>IF($D1352&gt;0,IFERROR(Параметры!$D$42*$H1352/$H$2408,0),0)</f>
        <v>0</v>
      </c>
      <c r="K1352" s="87">
        <f>IFERROR(ROUND($N1352*Параметры!$D$36,2),0)</f>
        <v>0</v>
      </c>
      <c r="L1352" s="87">
        <f t="shared" ref="L1352:L1415" si="152">IF($K1352&gt;0,$K1352*0.055,0)</f>
        <v>0</v>
      </c>
      <c r="M1352" s="87">
        <f t="shared" ref="M1352:M1415" si="153">IFERROR($L1352/Плотность_ДТ,0)</f>
        <v>0</v>
      </c>
      <c r="N1352" s="107" t="str">
        <f t="shared" ref="N1352:N1415" si="154">IF($D1352&gt;0,MAX(0,$D1352-IF($F1352="",0,$F1352)),"")</f>
        <v/>
      </c>
    </row>
    <row r="1353" spans="2:14" x14ac:dyDescent="0.25">
      <c r="B1353" s="82">
        <f>SUBTOTAL(103,$D$8:D1353)</f>
        <v>1346</v>
      </c>
      <c r="C1353" s="83" t="s">
        <v>1356</v>
      </c>
      <c r="D1353" s="84">
        <v>0</v>
      </c>
      <c r="E1353" s="85" t="str">
        <f t="shared" si="149"/>
        <v/>
      </c>
      <c r="F1353" s="106" t="str">
        <f t="shared" si="148"/>
        <v/>
      </c>
      <c r="G1353" s="86"/>
      <c r="H1353" s="107">
        <f t="shared" si="150"/>
        <v>0</v>
      </c>
      <c r="I1353" s="107">
        <f t="shared" si="151"/>
        <v>0</v>
      </c>
      <c r="J1353" s="87">
        <f>IF($D1353&gt;0,IFERROR(Параметры!$D$42*$H1353/$H$2408,0),0)</f>
        <v>0</v>
      </c>
      <c r="K1353" s="87">
        <f>IFERROR(ROUND($N1353*Параметры!$D$36,2),0)</f>
        <v>0</v>
      </c>
      <c r="L1353" s="87">
        <f t="shared" si="152"/>
        <v>0</v>
      </c>
      <c r="M1353" s="87">
        <f t="shared" si="153"/>
        <v>0</v>
      </c>
      <c r="N1353" s="107" t="str">
        <f t="shared" si="154"/>
        <v/>
      </c>
    </row>
    <row r="1354" spans="2:14" x14ac:dyDescent="0.25">
      <c r="B1354" s="82">
        <f>SUBTOTAL(103,$D$8:D1354)</f>
        <v>1347</v>
      </c>
      <c r="C1354" s="83" t="s">
        <v>1357</v>
      </c>
      <c r="D1354" s="84">
        <v>0</v>
      </c>
      <c r="E1354" s="85" t="str">
        <f t="shared" si="149"/>
        <v/>
      </c>
      <c r="F1354" s="106" t="str">
        <f t="shared" si="148"/>
        <v/>
      </c>
      <c r="G1354" s="86"/>
      <c r="H1354" s="107">
        <f t="shared" si="150"/>
        <v>0</v>
      </c>
      <c r="I1354" s="107">
        <f t="shared" si="151"/>
        <v>0</v>
      </c>
      <c r="J1354" s="87">
        <f>IF($D1354&gt;0,IFERROR(Параметры!$D$42*$H1354/$H$2408,0),0)</f>
        <v>0</v>
      </c>
      <c r="K1354" s="87">
        <f>IFERROR(ROUND($N1354*Параметры!$D$36,2),0)</f>
        <v>0</v>
      </c>
      <c r="L1354" s="87">
        <f t="shared" si="152"/>
        <v>0</v>
      </c>
      <c r="M1354" s="87">
        <f t="shared" si="153"/>
        <v>0</v>
      </c>
      <c r="N1354" s="107" t="str">
        <f t="shared" si="154"/>
        <v/>
      </c>
    </row>
    <row r="1355" spans="2:14" x14ac:dyDescent="0.25">
      <c r="B1355" s="82">
        <f>SUBTOTAL(103,$D$8:D1355)</f>
        <v>1348</v>
      </c>
      <c r="C1355" s="83" t="s">
        <v>1358</v>
      </c>
      <c r="D1355" s="84">
        <v>0</v>
      </c>
      <c r="E1355" s="85" t="str">
        <f t="shared" si="149"/>
        <v/>
      </c>
      <c r="F1355" s="106" t="str">
        <f t="shared" ref="F1355:F1418" si="155">IF(D1355&gt;0,2,"")</f>
        <v/>
      </c>
      <c r="G1355" s="86"/>
      <c r="H1355" s="107">
        <f t="shared" si="150"/>
        <v>0</v>
      </c>
      <c r="I1355" s="107">
        <f t="shared" si="151"/>
        <v>0</v>
      </c>
      <c r="J1355" s="87">
        <f>IF($D1355&gt;0,IFERROR(Параметры!$D$42*$H1355/$H$2408,0),0)</f>
        <v>0</v>
      </c>
      <c r="K1355" s="87">
        <f>IFERROR(ROUND($N1355*Параметры!$D$36,2),0)</f>
        <v>0</v>
      </c>
      <c r="L1355" s="87">
        <f t="shared" si="152"/>
        <v>0</v>
      </c>
      <c r="M1355" s="87">
        <f t="shared" si="153"/>
        <v>0</v>
      </c>
      <c r="N1355" s="107" t="str">
        <f t="shared" si="154"/>
        <v/>
      </c>
    </row>
    <row r="1356" spans="2:14" x14ac:dyDescent="0.25">
      <c r="B1356" s="82">
        <f>SUBTOTAL(103,$D$8:D1356)</f>
        <v>1349</v>
      </c>
      <c r="C1356" s="83" t="s">
        <v>1359</v>
      </c>
      <c r="D1356" s="84">
        <v>0</v>
      </c>
      <c r="E1356" s="85" t="str">
        <f t="shared" si="149"/>
        <v/>
      </c>
      <c r="F1356" s="106" t="str">
        <f t="shared" si="155"/>
        <v/>
      </c>
      <c r="G1356" s="86"/>
      <c r="H1356" s="107">
        <f t="shared" si="150"/>
        <v>0</v>
      </c>
      <c r="I1356" s="107">
        <f t="shared" si="151"/>
        <v>0</v>
      </c>
      <c r="J1356" s="87">
        <f>IF($D1356&gt;0,IFERROR(Параметры!$D$42*$H1356/$H$2408,0),0)</f>
        <v>0</v>
      </c>
      <c r="K1356" s="87">
        <f>IFERROR(ROUND($N1356*Параметры!$D$36,2),0)</f>
        <v>0</v>
      </c>
      <c r="L1356" s="87">
        <f t="shared" si="152"/>
        <v>0</v>
      </c>
      <c r="M1356" s="87">
        <f t="shared" si="153"/>
        <v>0</v>
      </c>
      <c r="N1356" s="107" t="str">
        <f t="shared" si="154"/>
        <v/>
      </c>
    </row>
    <row r="1357" spans="2:14" x14ac:dyDescent="0.25">
      <c r="B1357" s="82">
        <f>SUBTOTAL(103,$D$8:D1357)</f>
        <v>1350</v>
      </c>
      <c r="C1357" s="83" t="s">
        <v>1360</v>
      </c>
      <c r="D1357" s="84">
        <v>0</v>
      </c>
      <c r="E1357" s="85" t="str">
        <f t="shared" si="149"/>
        <v/>
      </c>
      <c r="F1357" s="106" t="str">
        <f t="shared" si="155"/>
        <v/>
      </c>
      <c r="G1357" s="86"/>
      <c r="H1357" s="107">
        <f t="shared" si="150"/>
        <v>0</v>
      </c>
      <c r="I1357" s="107">
        <f t="shared" si="151"/>
        <v>0</v>
      </c>
      <c r="J1357" s="87">
        <f>IF($D1357&gt;0,IFERROR(Параметры!$D$42*$H1357/$H$2408,0),0)</f>
        <v>0</v>
      </c>
      <c r="K1357" s="87">
        <f>IFERROR(ROUND($N1357*Параметры!$D$36,2),0)</f>
        <v>0</v>
      </c>
      <c r="L1357" s="87">
        <f t="shared" si="152"/>
        <v>0</v>
      </c>
      <c r="M1357" s="87">
        <f t="shared" si="153"/>
        <v>0</v>
      </c>
      <c r="N1357" s="107" t="str">
        <f t="shared" si="154"/>
        <v/>
      </c>
    </row>
    <row r="1358" spans="2:14" x14ac:dyDescent="0.25">
      <c r="B1358" s="82">
        <f>SUBTOTAL(103,$D$8:D1358)</f>
        <v>1351</v>
      </c>
      <c r="C1358" s="83" t="s">
        <v>1361</v>
      </c>
      <c r="D1358" s="84">
        <v>0</v>
      </c>
      <c r="E1358" s="85" t="str">
        <f t="shared" si="149"/>
        <v/>
      </c>
      <c r="F1358" s="106" t="str">
        <f t="shared" si="155"/>
        <v/>
      </c>
      <c r="G1358" s="86"/>
      <c r="H1358" s="107">
        <f t="shared" si="150"/>
        <v>0</v>
      </c>
      <c r="I1358" s="107">
        <f t="shared" si="151"/>
        <v>0</v>
      </c>
      <c r="J1358" s="87">
        <f>IF($D1358&gt;0,IFERROR(Параметры!$D$42*$H1358/$H$2408,0),0)</f>
        <v>0</v>
      </c>
      <c r="K1358" s="87">
        <f>IFERROR(ROUND($N1358*Параметры!$D$36,2),0)</f>
        <v>0</v>
      </c>
      <c r="L1358" s="87">
        <f t="shared" si="152"/>
        <v>0</v>
      </c>
      <c r="M1358" s="87">
        <f t="shared" si="153"/>
        <v>0</v>
      </c>
      <c r="N1358" s="107" t="str">
        <f t="shared" si="154"/>
        <v/>
      </c>
    </row>
    <row r="1359" spans="2:14" x14ac:dyDescent="0.25">
      <c r="B1359" s="82">
        <f>SUBTOTAL(103,$D$8:D1359)</f>
        <v>1352</v>
      </c>
      <c r="C1359" s="83" t="s">
        <v>1362</v>
      </c>
      <c r="D1359" s="84">
        <v>0</v>
      </c>
      <c r="E1359" s="85" t="str">
        <f t="shared" si="149"/>
        <v/>
      </c>
      <c r="F1359" s="106" t="str">
        <f t="shared" si="155"/>
        <v/>
      </c>
      <c r="G1359" s="86"/>
      <c r="H1359" s="107">
        <f t="shared" si="150"/>
        <v>0</v>
      </c>
      <c r="I1359" s="107">
        <f t="shared" si="151"/>
        <v>0</v>
      </c>
      <c r="J1359" s="87">
        <f>IF($D1359&gt;0,IFERROR(Параметры!$D$42*$H1359/$H$2408,0),0)</f>
        <v>0</v>
      </c>
      <c r="K1359" s="87">
        <f>IFERROR(ROUND($N1359*Параметры!$D$36,2),0)</f>
        <v>0</v>
      </c>
      <c r="L1359" s="87">
        <f t="shared" si="152"/>
        <v>0</v>
      </c>
      <c r="M1359" s="87">
        <f t="shared" si="153"/>
        <v>0</v>
      </c>
      <c r="N1359" s="107" t="str">
        <f t="shared" si="154"/>
        <v/>
      </c>
    </row>
    <row r="1360" spans="2:14" x14ac:dyDescent="0.25">
      <c r="B1360" s="82">
        <f>SUBTOTAL(103,$D$8:D1360)</f>
        <v>1353</v>
      </c>
      <c r="C1360" s="83" t="s">
        <v>1363</v>
      </c>
      <c r="D1360" s="84">
        <v>0</v>
      </c>
      <c r="E1360" s="85" t="str">
        <f t="shared" si="149"/>
        <v/>
      </c>
      <c r="F1360" s="106" t="str">
        <f t="shared" si="155"/>
        <v/>
      </c>
      <c r="G1360" s="86"/>
      <c r="H1360" s="107">
        <f t="shared" si="150"/>
        <v>0</v>
      </c>
      <c r="I1360" s="107">
        <f t="shared" si="151"/>
        <v>0</v>
      </c>
      <c r="J1360" s="87">
        <f>IF($D1360&gt;0,IFERROR(Параметры!$D$42*$H1360/$H$2408,0),0)</f>
        <v>0</v>
      </c>
      <c r="K1360" s="87">
        <f>IFERROR(ROUND($N1360*Параметры!$D$36,2),0)</f>
        <v>0</v>
      </c>
      <c r="L1360" s="87">
        <f t="shared" si="152"/>
        <v>0</v>
      </c>
      <c r="M1360" s="87">
        <f t="shared" si="153"/>
        <v>0</v>
      </c>
      <c r="N1360" s="107" t="str">
        <f t="shared" si="154"/>
        <v/>
      </c>
    </row>
    <row r="1361" spans="2:14" x14ac:dyDescent="0.25">
      <c r="B1361" s="82">
        <f>SUBTOTAL(103,$D$8:D1361)</f>
        <v>1354</v>
      </c>
      <c r="C1361" s="83" t="s">
        <v>1364</v>
      </c>
      <c r="D1361" s="84">
        <v>0</v>
      </c>
      <c r="E1361" s="85" t="str">
        <f t="shared" si="149"/>
        <v/>
      </c>
      <c r="F1361" s="106" t="str">
        <f t="shared" si="155"/>
        <v/>
      </c>
      <c r="G1361" s="86"/>
      <c r="H1361" s="107">
        <f t="shared" si="150"/>
        <v>0</v>
      </c>
      <c r="I1361" s="107">
        <f t="shared" si="151"/>
        <v>0</v>
      </c>
      <c r="J1361" s="87">
        <f>IF($D1361&gt;0,IFERROR(Параметры!$D$42*$H1361/$H$2408,0),0)</f>
        <v>0</v>
      </c>
      <c r="K1361" s="87">
        <f>IFERROR(ROUND($N1361*Параметры!$D$36,2),0)</f>
        <v>0</v>
      </c>
      <c r="L1361" s="87">
        <f t="shared" si="152"/>
        <v>0</v>
      </c>
      <c r="M1361" s="87">
        <f t="shared" si="153"/>
        <v>0</v>
      </c>
      <c r="N1361" s="107" t="str">
        <f t="shared" si="154"/>
        <v/>
      </c>
    </row>
    <row r="1362" spans="2:14" x14ac:dyDescent="0.25">
      <c r="B1362" s="82">
        <f>SUBTOTAL(103,$D$8:D1362)</f>
        <v>1355</v>
      </c>
      <c r="C1362" s="83" t="s">
        <v>1365</v>
      </c>
      <c r="D1362" s="84">
        <v>0</v>
      </c>
      <c r="E1362" s="85" t="str">
        <f t="shared" si="149"/>
        <v/>
      </c>
      <c r="F1362" s="106" t="str">
        <f t="shared" si="155"/>
        <v/>
      </c>
      <c r="G1362" s="86"/>
      <c r="H1362" s="107">
        <f t="shared" si="150"/>
        <v>0</v>
      </c>
      <c r="I1362" s="107">
        <f t="shared" si="151"/>
        <v>0</v>
      </c>
      <c r="J1362" s="87">
        <f>IF($D1362&gt;0,IFERROR(Параметры!$D$42*$H1362/$H$2408,0),0)</f>
        <v>0</v>
      </c>
      <c r="K1362" s="87">
        <f>IFERROR(ROUND($N1362*Параметры!$D$36,2),0)</f>
        <v>0</v>
      </c>
      <c r="L1362" s="87">
        <f t="shared" si="152"/>
        <v>0</v>
      </c>
      <c r="M1362" s="87">
        <f t="shared" si="153"/>
        <v>0</v>
      </c>
      <c r="N1362" s="107" t="str">
        <f t="shared" si="154"/>
        <v/>
      </c>
    </row>
    <row r="1363" spans="2:14" x14ac:dyDescent="0.25">
      <c r="B1363" s="82">
        <f>SUBTOTAL(103,$D$8:D1363)</f>
        <v>1356</v>
      </c>
      <c r="C1363" s="83" t="s">
        <v>1366</v>
      </c>
      <c r="D1363" s="84">
        <v>0</v>
      </c>
      <c r="E1363" s="85" t="str">
        <f t="shared" si="149"/>
        <v/>
      </c>
      <c r="F1363" s="106" t="str">
        <f t="shared" si="155"/>
        <v/>
      </c>
      <c r="G1363" s="86"/>
      <c r="H1363" s="107">
        <f t="shared" si="150"/>
        <v>0</v>
      </c>
      <c r="I1363" s="107">
        <f t="shared" si="151"/>
        <v>0</v>
      </c>
      <c r="J1363" s="87">
        <f>IF($D1363&gt;0,IFERROR(Параметры!$D$42*$H1363/$H$2408,0),0)</f>
        <v>0</v>
      </c>
      <c r="K1363" s="87">
        <f>IFERROR(ROUND($N1363*Параметры!$D$36,2),0)</f>
        <v>0</v>
      </c>
      <c r="L1363" s="87">
        <f t="shared" si="152"/>
        <v>0</v>
      </c>
      <c r="M1363" s="87">
        <f t="shared" si="153"/>
        <v>0</v>
      </c>
      <c r="N1363" s="107" t="str">
        <f t="shared" si="154"/>
        <v/>
      </c>
    </row>
    <row r="1364" spans="2:14" x14ac:dyDescent="0.25">
      <c r="B1364" s="82">
        <f>SUBTOTAL(103,$D$8:D1364)</f>
        <v>1357</v>
      </c>
      <c r="C1364" s="83" t="s">
        <v>1367</v>
      </c>
      <c r="D1364" s="84">
        <v>0</v>
      </c>
      <c r="E1364" s="85" t="str">
        <f t="shared" si="149"/>
        <v/>
      </c>
      <c r="F1364" s="106" t="str">
        <f t="shared" si="155"/>
        <v/>
      </c>
      <c r="G1364" s="86"/>
      <c r="H1364" s="107">
        <f t="shared" si="150"/>
        <v>0</v>
      </c>
      <c r="I1364" s="107">
        <f t="shared" si="151"/>
        <v>0</v>
      </c>
      <c r="J1364" s="87">
        <f>IF($D1364&gt;0,IFERROR(Параметры!$D$42*$H1364/$H$2408,0),0)</f>
        <v>0</v>
      </c>
      <c r="K1364" s="87">
        <f>IFERROR(ROUND($N1364*Параметры!$D$36,2),0)</f>
        <v>0</v>
      </c>
      <c r="L1364" s="87">
        <f t="shared" si="152"/>
        <v>0</v>
      </c>
      <c r="M1364" s="87">
        <f t="shared" si="153"/>
        <v>0</v>
      </c>
      <c r="N1364" s="107" t="str">
        <f t="shared" si="154"/>
        <v/>
      </c>
    </row>
    <row r="1365" spans="2:14" x14ac:dyDescent="0.25">
      <c r="B1365" s="82">
        <f>SUBTOTAL(103,$D$8:D1365)</f>
        <v>1358</v>
      </c>
      <c r="C1365" s="83" t="s">
        <v>1368</v>
      </c>
      <c r="D1365" s="84">
        <v>0</v>
      </c>
      <c r="E1365" s="85" t="str">
        <f t="shared" si="149"/>
        <v/>
      </c>
      <c r="F1365" s="106" t="str">
        <f t="shared" si="155"/>
        <v/>
      </c>
      <c r="G1365" s="86"/>
      <c r="H1365" s="107">
        <f t="shared" si="150"/>
        <v>0</v>
      </c>
      <c r="I1365" s="107">
        <f t="shared" si="151"/>
        <v>0</v>
      </c>
      <c r="J1365" s="87">
        <f>IF($D1365&gt;0,IFERROR(Параметры!$D$42*$H1365/$H$2408,0),0)</f>
        <v>0</v>
      </c>
      <c r="K1365" s="87">
        <f>IFERROR(ROUND($N1365*Параметры!$D$36,2),0)</f>
        <v>0</v>
      </c>
      <c r="L1365" s="87">
        <f t="shared" si="152"/>
        <v>0</v>
      </c>
      <c r="M1365" s="87">
        <f t="shared" si="153"/>
        <v>0</v>
      </c>
      <c r="N1365" s="107" t="str">
        <f t="shared" si="154"/>
        <v/>
      </c>
    </row>
    <row r="1366" spans="2:14" x14ac:dyDescent="0.25">
      <c r="B1366" s="82">
        <f>SUBTOTAL(103,$D$8:D1366)</f>
        <v>1359</v>
      </c>
      <c r="C1366" s="83" t="s">
        <v>1369</v>
      </c>
      <c r="D1366" s="84">
        <v>0</v>
      </c>
      <c r="E1366" s="85" t="str">
        <f t="shared" si="149"/>
        <v/>
      </c>
      <c r="F1366" s="106" t="str">
        <f t="shared" si="155"/>
        <v/>
      </c>
      <c r="G1366" s="86"/>
      <c r="H1366" s="107">
        <f t="shared" si="150"/>
        <v>0</v>
      </c>
      <c r="I1366" s="107">
        <f t="shared" si="151"/>
        <v>0</v>
      </c>
      <c r="J1366" s="87">
        <f>IF($D1366&gt;0,IFERROR(Параметры!$D$42*$H1366/$H$2408,0),0)</f>
        <v>0</v>
      </c>
      <c r="K1366" s="87">
        <f>IFERROR(ROUND($N1366*Параметры!$D$36,2),0)</f>
        <v>0</v>
      </c>
      <c r="L1366" s="87">
        <f t="shared" si="152"/>
        <v>0</v>
      </c>
      <c r="M1366" s="87">
        <f t="shared" si="153"/>
        <v>0</v>
      </c>
      <c r="N1366" s="107" t="str">
        <f t="shared" si="154"/>
        <v/>
      </c>
    </row>
    <row r="1367" spans="2:14" x14ac:dyDescent="0.25">
      <c r="B1367" s="82">
        <f>SUBTOTAL(103,$D$8:D1367)</f>
        <v>1360</v>
      </c>
      <c r="C1367" s="83" t="s">
        <v>1370</v>
      </c>
      <c r="D1367" s="84">
        <v>0</v>
      </c>
      <c r="E1367" s="85" t="str">
        <f t="shared" si="149"/>
        <v/>
      </c>
      <c r="F1367" s="106" t="str">
        <f t="shared" si="155"/>
        <v/>
      </c>
      <c r="G1367" s="86"/>
      <c r="H1367" s="107">
        <f t="shared" si="150"/>
        <v>0</v>
      </c>
      <c r="I1367" s="107">
        <f t="shared" si="151"/>
        <v>0</v>
      </c>
      <c r="J1367" s="87">
        <f>IF($D1367&gt;0,IFERROR(Параметры!$D$42*$H1367/$H$2408,0),0)</f>
        <v>0</v>
      </c>
      <c r="K1367" s="87">
        <f>IFERROR(ROUND($N1367*Параметры!$D$36,2),0)</f>
        <v>0</v>
      </c>
      <c r="L1367" s="87">
        <f t="shared" si="152"/>
        <v>0</v>
      </c>
      <c r="M1367" s="87">
        <f t="shared" si="153"/>
        <v>0</v>
      </c>
      <c r="N1367" s="107" t="str">
        <f t="shared" si="154"/>
        <v/>
      </c>
    </row>
    <row r="1368" spans="2:14" x14ac:dyDescent="0.25">
      <c r="B1368" s="82">
        <f>SUBTOTAL(103,$D$8:D1368)</f>
        <v>1361</v>
      </c>
      <c r="C1368" s="83" t="s">
        <v>1371</v>
      </c>
      <c r="D1368" s="84">
        <v>0</v>
      </c>
      <c r="E1368" s="85" t="str">
        <f t="shared" si="149"/>
        <v/>
      </c>
      <c r="F1368" s="106" t="str">
        <f t="shared" si="155"/>
        <v/>
      </c>
      <c r="G1368" s="86"/>
      <c r="H1368" s="107">
        <f t="shared" si="150"/>
        <v>0</v>
      </c>
      <c r="I1368" s="107">
        <f t="shared" si="151"/>
        <v>0</v>
      </c>
      <c r="J1368" s="87">
        <f>IF($D1368&gt;0,IFERROR(Параметры!$D$42*$H1368/$H$2408,0),0)</f>
        <v>0</v>
      </c>
      <c r="K1368" s="87">
        <f>IFERROR(ROUND($N1368*Параметры!$D$36,2),0)</f>
        <v>0</v>
      </c>
      <c r="L1368" s="87">
        <f t="shared" si="152"/>
        <v>0</v>
      </c>
      <c r="M1368" s="87">
        <f t="shared" si="153"/>
        <v>0</v>
      </c>
      <c r="N1368" s="107" t="str">
        <f t="shared" si="154"/>
        <v/>
      </c>
    </row>
    <row r="1369" spans="2:14" x14ac:dyDescent="0.25">
      <c r="B1369" s="82">
        <f>SUBTOTAL(103,$D$8:D1369)</f>
        <v>1362</v>
      </c>
      <c r="C1369" s="83" t="s">
        <v>1372</v>
      </c>
      <c r="D1369" s="84">
        <v>0</v>
      </c>
      <c r="E1369" s="85" t="str">
        <f t="shared" si="149"/>
        <v/>
      </c>
      <c r="F1369" s="106" t="str">
        <f t="shared" si="155"/>
        <v/>
      </c>
      <c r="G1369" s="86"/>
      <c r="H1369" s="107">
        <f t="shared" si="150"/>
        <v>0</v>
      </c>
      <c r="I1369" s="107">
        <f t="shared" si="151"/>
        <v>0</v>
      </c>
      <c r="J1369" s="87">
        <f>IF($D1369&gt;0,IFERROR(Параметры!$D$42*$H1369/$H$2408,0),0)</f>
        <v>0</v>
      </c>
      <c r="K1369" s="87">
        <f>IFERROR(ROUND($N1369*Параметры!$D$36,2),0)</f>
        <v>0</v>
      </c>
      <c r="L1369" s="87">
        <f t="shared" si="152"/>
        <v>0</v>
      </c>
      <c r="M1369" s="87">
        <f t="shared" si="153"/>
        <v>0</v>
      </c>
      <c r="N1369" s="107" t="str">
        <f t="shared" si="154"/>
        <v/>
      </c>
    </row>
    <row r="1370" spans="2:14" x14ac:dyDescent="0.25">
      <c r="B1370" s="82">
        <f>SUBTOTAL(103,$D$8:D1370)</f>
        <v>1363</v>
      </c>
      <c r="C1370" s="83" t="s">
        <v>1373</v>
      </c>
      <c r="D1370" s="84">
        <v>0</v>
      </c>
      <c r="E1370" s="85" t="str">
        <f t="shared" si="149"/>
        <v/>
      </c>
      <c r="F1370" s="106" t="str">
        <f t="shared" si="155"/>
        <v/>
      </c>
      <c r="G1370" s="86"/>
      <c r="H1370" s="107">
        <f t="shared" si="150"/>
        <v>0</v>
      </c>
      <c r="I1370" s="107">
        <f t="shared" si="151"/>
        <v>0</v>
      </c>
      <c r="J1370" s="87">
        <f>IF($D1370&gt;0,IFERROR(Параметры!$D$42*$H1370/$H$2408,0),0)</f>
        <v>0</v>
      </c>
      <c r="K1370" s="87">
        <f>IFERROR(ROUND($N1370*Параметры!$D$36,2),0)</f>
        <v>0</v>
      </c>
      <c r="L1370" s="87">
        <f t="shared" si="152"/>
        <v>0</v>
      </c>
      <c r="M1370" s="87">
        <f t="shared" si="153"/>
        <v>0</v>
      </c>
      <c r="N1370" s="107" t="str">
        <f t="shared" si="154"/>
        <v/>
      </c>
    </row>
    <row r="1371" spans="2:14" x14ac:dyDescent="0.25">
      <c r="B1371" s="82">
        <f>SUBTOTAL(103,$D$8:D1371)</f>
        <v>1364</v>
      </c>
      <c r="C1371" s="83" t="s">
        <v>1374</v>
      </c>
      <c r="D1371" s="84">
        <v>0</v>
      </c>
      <c r="E1371" s="85" t="str">
        <f t="shared" si="149"/>
        <v/>
      </c>
      <c r="F1371" s="106" t="str">
        <f t="shared" si="155"/>
        <v/>
      </c>
      <c r="G1371" s="86"/>
      <c r="H1371" s="107">
        <f t="shared" si="150"/>
        <v>0</v>
      </c>
      <c r="I1371" s="107">
        <f t="shared" si="151"/>
        <v>0</v>
      </c>
      <c r="J1371" s="87">
        <f>IF($D1371&gt;0,IFERROR(Параметры!$D$42*$H1371/$H$2408,0),0)</f>
        <v>0</v>
      </c>
      <c r="K1371" s="87">
        <f>IFERROR(ROUND($N1371*Параметры!$D$36,2),0)</f>
        <v>0</v>
      </c>
      <c r="L1371" s="87">
        <f t="shared" si="152"/>
        <v>0</v>
      </c>
      <c r="M1371" s="87">
        <f t="shared" si="153"/>
        <v>0</v>
      </c>
      <c r="N1371" s="107" t="str">
        <f t="shared" si="154"/>
        <v/>
      </c>
    </row>
    <row r="1372" spans="2:14" x14ac:dyDescent="0.25">
      <c r="B1372" s="82">
        <f>SUBTOTAL(103,$D$8:D1372)</f>
        <v>1365</v>
      </c>
      <c r="C1372" s="83" t="s">
        <v>1375</v>
      </c>
      <c r="D1372" s="84">
        <v>0</v>
      </c>
      <c r="E1372" s="85" t="str">
        <f t="shared" si="149"/>
        <v/>
      </c>
      <c r="F1372" s="106" t="str">
        <f t="shared" si="155"/>
        <v/>
      </c>
      <c r="G1372" s="86"/>
      <c r="H1372" s="107">
        <f t="shared" si="150"/>
        <v>0</v>
      </c>
      <c r="I1372" s="107">
        <f t="shared" si="151"/>
        <v>0</v>
      </c>
      <c r="J1372" s="87">
        <f>IF($D1372&gt;0,IFERROR(Параметры!$D$42*$H1372/$H$2408,0),0)</f>
        <v>0</v>
      </c>
      <c r="K1372" s="87">
        <f>IFERROR(ROUND($N1372*Параметры!$D$36,2),0)</f>
        <v>0</v>
      </c>
      <c r="L1372" s="87">
        <f t="shared" si="152"/>
        <v>0</v>
      </c>
      <c r="M1372" s="87">
        <f t="shared" si="153"/>
        <v>0</v>
      </c>
      <c r="N1372" s="107" t="str">
        <f t="shared" si="154"/>
        <v/>
      </c>
    </row>
    <row r="1373" spans="2:14" x14ac:dyDescent="0.25">
      <c r="B1373" s="82">
        <f>SUBTOTAL(103,$D$8:D1373)</f>
        <v>1366</v>
      </c>
      <c r="C1373" s="83" t="s">
        <v>1376</v>
      </c>
      <c r="D1373" s="84">
        <v>0</v>
      </c>
      <c r="E1373" s="85" t="str">
        <f t="shared" si="149"/>
        <v/>
      </c>
      <c r="F1373" s="106" t="str">
        <f t="shared" si="155"/>
        <v/>
      </c>
      <c r="G1373" s="86"/>
      <c r="H1373" s="107">
        <f t="shared" si="150"/>
        <v>0</v>
      </c>
      <c r="I1373" s="107">
        <f t="shared" si="151"/>
        <v>0</v>
      </c>
      <c r="J1373" s="87">
        <f>IF($D1373&gt;0,IFERROR(Параметры!$D$42*$H1373/$H$2408,0),0)</f>
        <v>0</v>
      </c>
      <c r="K1373" s="87">
        <f>IFERROR(ROUND($N1373*Параметры!$D$36,2),0)</f>
        <v>0</v>
      </c>
      <c r="L1373" s="87">
        <f t="shared" si="152"/>
        <v>0</v>
      </c>
      <c r="M1373" s="87">
        <f t="shared" si="153"/>
        <v>0</v>
      </c>
      <c r="N1373" s="107" t="str">
        <f t="shared" si="154"/>
        <v/>
      </c>
    </row>
    <row r="1374" spans="2:14" x14ac:dyDescent="0.25">
      <c r="B1374" s="82">
        <f>SUBTOTAL(103,$D$8:D1374)</f>
        <v>1367</v>
      </c>
      <c r="C1374" s="83" t="s">
        <v>1377</v>
      </c>
      <c r="D1374" s="84">
        <v>0</v>
      </c>
      <c r="E1374" s="85" t="str">
        <f t="shared" si="149"/>
        <v/>
      </c>
      <c r="F1374" s="106" t="str">
        <f t="shared" si="155"/>
        <v/>
      </c>
      <c r="G1374" s="86"/>
      <c r="H1374" s="107">
        <f t="shared" si="150"/>
        <v>0</v>
      </c>
      <c r="I1374" s="107">
        <f t="shared" si="151"/>
        <v>0</v>
      </c>
      <c r="J1374" s="87">
        <f>IF($D1374&gt;0,IFERROR(Параметры!$D$42*$H1374/$H$2408,0),0)</f>
        <v>0</v>
      </c>
      <c r="K1374" s="87">
        <f>IFERROR(ROUND($N1374*Параметры!$D$36,2),0)</f>
        <v>0</v>
      </c>
      <c r="L1374" s="87">
        <f t="shared" si="152"/>
        <v>0</v>
      </c>
      <c r="M1374" s="87">
        <f t="shared" si="153"/>
        <v>0</v>
      </c>
      <c r="N1374" s="107" t="str">
        <f t="shared" si="154"/>
        <v/>
      </c>
    </row>
    <row r="1375" spans="2:14" x14ac:dyDescent="0.25">
      <c r="B1375" s="82">
        <f>SUBTOTAL(103,$D$8:D1375)</f>
        <v>1368</v>
      </c>
      <c r="C1375" s="83" t="s">
        <v>1378</v>
      </c>
      <c r="D1375" s="84">
        <v>0</v>
      </c>
      <c r="E1375" s="85" t="str">
        <f t="shared" si="149"/>
        <v/>
      </c>
      <c r="F1375" s="106" t="str">
        <f t="shared" si="155"/>
        <v/>
      </c>
      <c r="G1375" s="86"/>
      <c r="H1375" s="107">
        <f t="shared" si="150"/>
        <v>0</v>
      </c>
      <c r="I1375" s="107">
        <f t="shared" si="151"/>
        <v>0</v>
      </c>
      <c r="J1375" s="87">
        <f>IF($D1375&gt;0,IFERROR(Параметры!$D$42*$H1375/$H$2408,0),0)</f>
        <v>0</v>
      </c>
      <c r="K1375" s="87">
        <f>IFERROR(ROUND($N1375*Параметры!$D$36,2),0)</f>
        <v>0</v>
      </c>
      <c r="L1375" s="87">
        <f t="shared" si="152"/>
        <v>0</v>
      </c>
      <c r="M1375" s="87">
        <f t="shared" si="153"/>
        <v>0</v>
      </c>
      <c r="N1375" s="107" t="str">
        <f t="shared" si="154"/>
        <v/>
      </c>
    </row>
    <row r="1376" spans="2:14" x14ac:dyDescent="0.25">
      <c r="B1376" s="82">
        <f>SUBTOTAL(103,$D$8:D1376)</f>
        <v>1369</v>
      </c>
      <c r="C1376" s="83" t="s">
        <v>1379</v>
      </c>
      <c r="D1376" s="84">
        <v>0</v>
      </c>
      <c r="E1376" s="85" t="str">
        <f t="shared" si="149"/>
        <v/>
      </c>
      <c r="F1376" s="106" t="str">
        <f t="shared" si="155"/>
        <v/>
      </c>
      <c r="G1376" s="86"/>
      <c r="H1376" s="107">
        <f t="shared" si="150"/>
        <v>0</v>
      </c>
      <c r="I1376" s="107">
        <f t="shared" si="151"/>
        <v>0</v>
      </c>
      <c r="J1376" s="87">
        <f>IF($D1376&gt;0,IFERROR(Параметры!$D$42*$H1376/$H$2408,0),0)</f>
        <v>0</v>
      </c>
      <c r="K1376" s="87">
        <f>IFERROR(ROUND($N1376*Параметры!$D$36,2),0)</f>
        <v>0</v>
      </c>
      <c r="L1376" s="87">
        <f t="shared" si="152"/>
        <v>0</v>
      </c>
      <c r="M1376" s="87">
        <f t="shared" si="153"/>
        <v>0</v>
      </c>
      <c r="N1376" s="107" t="str">
        <f t="shared" si="154"/>
        <v/>
      </c>
    </row>
    <row r="1377" spans="2:14" x14ac:dyDescent="0.25">
      <c r="B1377" s="82">
        <f>SUBTOTAL(103,$D$8:D1377)</f>
        <v>1370</v>
      </c>
      <c r="C1377" s="83" t="s">
        <v>1380</v>
      </c>
      <c r="D1377" s="84">
        <v>0</v>
      </c>
      <c r="E1377" s="85" t="str">
        <f t="shared" si="149"/>
        <v/>
      </c>
      <c r="F1377" s="106" t="str">
        <f t="shared" si="155"/>
        <v/>
      </c>
      <c r="G1377" s="86"/>
      <c r="H1377" s="107">
        <f t="shared" si="150"/>
        <v>0</v>
      </c>
      <c r="I1377" s="107">
        <f t="shared" si="151"/>
        <v>0</v>
      </c>
      <c r="J1377" s="87">
        <f>IF($D1377&gt;0,IFERROR(Параметры!$D$42*$H1377/$H$2408,0),0)</f>
        <v>0</v>
      </c>
      <c r="K1377" s="87">
        <f>IFERROR(ROUND($N1377*Параметры!$D$36,2),0)</f>
        <v>0</v>
      </c>
      <c r="L1377" s="87">
        <f t="shared" si="152"/>
        <v>0</v>
      </c>
      <c r="M1377" s="87">
        <f t="shared" si="153"/>
        <v>0</v>
      </c>
      <c r="N1377" s="107" t="str">
        <f t="shared" si="154"/>
        <v/>
      </c>
    </row>
    <row r="1378" spans="2:14" x14ac:dyDescent="0.25">
      <c r="B1378" s="82">
        <f>SUBTOTAL(103,$D$8:D1378)</f>
        <v>1371</v>
      </c>
      <c r="C1378" s="83" t="s">
        <v>1381</v>
      </c>
      <c r="D1378" s="84">
        <v>0</v>
      </c>
      <c r="E1378" s="85" t="str">
        <f t="shared" si="149"/>
        <v/>
      </c>
      <c r="F1378" s="106" t="str">
        <f t="shared" si="155"/>
        <v/>
      </c>
      <c r="G1378" s="86"/>
      <c r="H1378" s="107">
        <f t="shared" si="150"/>
        <v>0</v>
      </c>
      <c r="I1378" s="107">
        <f t="shared" si="151"/>
        <v>0</v>
      </c>
      <c r="J1378" s="87">
        <f>IF($D1378&gt;0,IFERROR(Параметры!$D$42*$H1378/$H$2408,0),0)</f>
        <v>0</v>
      </c>
      <c r="K1378" s="87">
        <f>IFERROR(ROUND($N1378*Параметры!$D$36,2),0)</f>
        <v>0</v>
      </c>
      <c r="L1378" s="87">
        <f t="shared" si="152"/>
        <v>0</v>
      </c>
      <c r="M1378" s="87">
        <f t="shared" si="153"/>
        <v>0</v>
      </c>
      <c r="N1378" s="107" t="str">
        <f t="shared" si="154"/>
        <v/>
      </c>
    </row>
    <row r="1379" spans="2:14" x14ac:dyDescent="0.25">
      <c r="B1379" s="82">
        <f>SUBTOTAL(103,$D$8:D1379)</f>
        <v>1372</v>
      </c>
      <c r="C1379" s="83" t="s">
        <v>1382</v>
      </c>
      <c r="D1379" s="84">
        <v>0</v>
      </c>
      <c r="E1379" s="85" t="str">
        <f t="shared" si="149"/>
        <v/>
      </c>
      <c r="F1379" s="106" t="str">
        <f t="shared" si="155"/>
        <v/>
      </c>
      <c r="G1379" s="86"/>
      <c r="H1379" s="107">
        <f t="shared" si="150"/>
        <v>0</v>
      </c>
      <c r="I1379" s="107">
        <f t="shared" si="151"/>
        <v>0</v>
      </c>
      <c r="J1379" s="87">
        <f>IF($D1379&gt;0,IFERROR(Параметры!$D$42*$H1379/$H$2408,0),0)</f>
        <v>0</v>
      </c>
      <c r="K1379" s="87">
        <f>IFERROR(ROUND($N1379*Параметры!$D$36,2),0)</f>
        <v>0</v>
      </c>
      <c r="L1379" s="87">
        <f t="shared" si="152"/>
        <v>0</v>
      </c>
      <c r="M1379" s="87">
        <f t="shared" si="153"/>
        <v>0</v>
      </c>
      <c r="N1379" s="107" t="str">
        <f t="shared" si="154"/>
        <v/>
      </c>
    </row>
    <row r="1380" spans="2:14" x14ac:dyDescent="0.25">
      <c r="B1380" s="82">
        <f>SUBTOTAL(103,$D$8:D1380)</f>
        <v>1373</v>
      </c>
      <c r="C1380" s="83" t="s">
        <v>1383</v>
      </c>
      <c r="D1380" s="84">
        <v>0</v>
      </c>
      <c r="E1380" s="85" t="str">
        <f t="shared" si="149"/>
        <v/>
      </c>
      <c r="F1380" s="106" t="str">
        <f t="shared" si="155"/>
        <v/>
      </c>
      <c r="G1380" s="86"/>
      <c r="H1380" s="107">
        <f t="shared" si="150"/>
        <v>0</v>
      </c>
      <c r="I1380" s="107">
        <f t="shared" si="151"/>
        <v>0</v>
      </c>
      <c r="J1380" s="87">
        <f>IF($D1380&gt;0,IFERROR(Параметры!$D$42*$H1380/$H$2408,0),0)</f>
        <v>0</v>
      </c>
      <c r="K1380" s="87">
        <f>IFERROR(ROUND($N1380*Параметры!$D$36,2),0)</f>
        <v>0</v>
      </c>
      <c r="L1380" s="87">
        <f t="shared" si="152"/>
        <v>0</v>
      </c>
      <c r="M1380" s="87">
        <f t="shared" si="153"/>
        <v>0</v>
      </c>
      <c r="N1380" s="107" t="str">
        <f t="shared" si="154"/>
        <v/>
      </c>
    </row>
    <row r="1381" spans="2:14" x14ac:dyDescent="0.25">
      <c r="B1381" s="82">
        <f>SUBTOTAL(103,$D$8:D1381)</f>
        <v>1374</v>
      </c>
      <c r="C1381" s="83" t="s">
        <v>1384</v>
      </c>
      <c r="D1381" s="84">
        <v>0</v>
      </c>
      <c r="E1381" s="85" t="str">
        <f t="shared" si="149"/>
        <v/>
      </c>
      <c r="F1381" s="106" t="str">
        <f t="shared" si="155"/>
        <v/>
      </c>
      <c r="G1381" s="86"/>
      <c r="H1381" s="107">
        <f t="shared" si="150"/>
        <v>0</v>
      </c>
      <c r="I1381" s="107">
        <f t="shared" si="151"/>
        <v>0</v>
      </c>
      <c r="J1381" s="87">
        <f>IF($D1381&gt;0,IFERROR(Параметры!$D$42*$H1381/$H$2408,0),0)</f>
        <v>0</v>
      </c>
      <c r="K1381" s="87">
        <f>IFERROR(ROUND($N1381*Параметры!$D$36,2),0)</f>
        <v>0</v>
      </c>
      <c r="L1381" s="87">
        <f t="shared" si="152"/>
        <v>0</v>
      </c>
      <c r="M1381" s="87">
        <f t="shared" si="153"/>
        <v>0</v>
      </c>
      <c r="N1381" s="107" t="str">
        <f t="shared" si="154"/>
        <v/>
      </c>
    </row>
    <row r="1382" spans="2:14" x14ac:dyDescent="0.25">
      <c r="B1382" s="82">
        <f>SUBTOTAL(103,$D$8:D1382)</f>
        <v>1375</v>
      </c>
      <c r="C1382" s="83" t="s">
        <v>1385</v>
      </c>
      <c r="D1382" s="84">
        <v>0</v>
      </c>
      <c r="E1382" s="85" t="str">
        <f t="shared" si="149"/>
        <v/>
      </c>
      <c r="F1382" s="106" t="str">
        <f t="shared" si="155"/>
        <v/>
      </c>
      <c r="G1382" s="86"/>
      <c r="H1382" s="107">
        <f t="shared" si="150"/>
        <v>0</v>
      </c>
      <c r="I1382" s="107">
        <f t="shared" si="151"/>
        <v>0</v>
      </c>
      <c r="J1382" s="87">
        <f>IF($D1382&gt;0,IFERROR(Параметры!$D$42*$H1382/$H$2408,0),0)</f>
        <v>0</v>
      </c>
      <c r="K1382" s="87">
        <f>IFERROR(ROUND($N1382*Параметры!$D$36,2),0)</f>
        <v>0</v>
      </c>
      <c r="L1382" s="87">
        <f t="shared" si="152"/>
        <v>0</v>
      </c>
      <c r="M1382" s="87">
        <f t="shared" si="153"/>
        <v>0</v>
      </c>
      <c r="N1382" s="107" t="str">
        <f t="shared" si="154"/>
        <v/>
      </c>
    </row>
    <row r="1383" spans="2:14" x14ac:dyDescent="0.25">
      <c r="B1383" s="82">
        <f>SUBTOTAL(103,$D$8:D1383)</f>
        <v>1376</v>
      </c>
      <c r="C1383" s="83" t="s">
        <v>1386</v>
      </c>
      <c r="D1383" s="84">
        <v>0</v>
      </c>
      <c r="E1383" s="85" t="str">
        <f t="shared" si="149"/>
        <v/>
      </c>
      <c r="F1383" s="106" t="str">
        <f t="shared" si="155"/>
        <v/>
      </c>
      <c r="G1383" s="86"/>
      <c r="H1383" s="107">
        <f t="shared" si="150"/>
        <v>0</v>
      </c>
      <c r="I1383" s="107">
        <f t="shared" si="151"/>
        <v>0</v>
      </c>
      <c r="J1383" s="87">
        <f>IF($D1383&gt;0,IFERROR(Параметры!$D$42*$H1383/$H$2408,0),0)</f>
        <v>0</v>
      </c>
      <c r="K1383" s="87">
        <f>IFERROR(ROUND($N1383*Параметры!$D$36,2),0)</f>
        <v>0</v>
      </c>
      <c r="L1383" s="87">
        <f t="shared" si="152"/>
        <v>0</v>
      </c>
      <c r="M1383" s="87">
        <f t="shared" si="153"/>
        <v>0</v>
      </c>
      <c r="N1383" s="107" t="str">
        <f t="shared" si="154"/>
        <v/>
      </c>
    </row>
    <row r="1384" spans="2:14" x14ac:dyDescent="0.25">
      <c r="B1384" s="82">
        <f>SUBTOTAL(103,$D$8:D1384)</f>
        <v>1377</v>
      </c>
      <c r="C1384" s="83" t="s">
        <v>1387</v>
      </c>
      <c r="D1384" s="84">
        <v>0</v>
      </c>
      <c r="E1384" s="85" t="str">
        <f t="shared" si="149"/>
        <v/>
      </c>
      <c r="F1384" s="106" t="str">
        <f t="shared" si="155"/>
        <v/>
      </c>
      <c r="G1384" s="86"/>
      <c r="H1384" s="107">
        <f t="shared" si="150"/>
        <v>0</v>
      </c>
      <c r="I1384" s="107">
        <f t="shared" si="151"/>
        <v>0</v>
      </c>
      <c r="J1384" s="87">
        <f>IF($D1384&gt;0,IFERROR(Параметры!$D$42*$H1384/$H$2408,0),0)</f>
        <v>0</v>
      </c>
      <c r="K1384" s="87">
        <f>IFERROR(ROUND($N1384*Параметры!$D$36,2),0)</f>
        <v>0</v>
      </c>
      <c r="L1384" s="87">
        <f t="shared" si="152"/>
        <v>0</v>
      </c>
      <c r="M1384" s="87">
        <f t="shared" si="153"/>
        <v>0</v>
      </c>
      <c r="N1384" s="107" t="str">
        <f t="shared" si="154"/>
        <v/>
      </c>
    </row>
    <row r="1385" spans="2:14" x14ac:dyDescent="0.25">
      <c r="B1385" s="82">
        <f>SUBTOTAL(103,$D$8:D1385)</f>
        <v>1378</v>
      </c>
      <c r="C1385" s="83" t="s">
        <v>1388</v>
      </c>
      <c r="D1385" s="84">
        <v>0</v>
      </c>
      <c r="E1385" s="85" t="str">
        <f t="shared" si="149"/>
        <v/>
      </c>
      <c r="F1385" s="106" t="str">
        <f t="shared" si="155"/>
        <v/>
      </c>
      <c r="G1385" s="86"/>
      <c r="H1385" s="107">
        <f t="shared" si="150"/>
        <v>0</v>
      </c>
      <c r="I1385" s="107">
        <f t="shared" si="151"/>
        <v>0</v>
      </c>
      <c r="J1385" s="87">
        <f>IF($D1385&gt;0,IFERROR(Параметры!$D$42*$H1385/$H$2408,0),0)</f>
        <v>0</v>
      </c>
      <c r="K1385" s="87">
        <f>IFERROR(ROUND($N1385*Параметры!$D$36,2),0)</f>
        <v>0</v>
      </c>
      <c r="L1385" s="87">
        <f t="shared" si="152"/>
        <v>0</v>
      </c>
      <c r="M1385" s="87">
        <f t="shared" si="153"/>
        <v>0</v>
      </c>
      <c r="N1385" s="107" t="str">
        <f t="shared" si="154"/>
        <v/>
      </c>
    </row>
    <row r="1386" spans="2:14" x14ac:dyDescent="0.25">
      <c r="B1386" s="82">
        <f>SUBTOTAL(103,$D$8:D1386)</f>
        <v>1379</v>
      </c>
      <c r="C1386" s="83" t="s">
        <v>1389</v>
      </c>
      <c r="D1386" s="84">
        <v>0</v>
      </c>
      <c r="E1386" s="85" t="str">
        <f t="shared" si="149"/>
        <v/>
      </c>
      <c r="F1386" s="106" t="str">
        <f t="shared" si="155"/>
        <v/>
      </c>
      <c r="G1386" s="86"/>
      <c r="H1386" s="107">
        <f t="shared" si="150"/>
        <v>0</v>
      </c>
      <c r="I1386" s="107">
        <f t="shared" si="151"/>
        <v>0</v>
      </c>
      <c r="J1386" s="87">
        <f>IF($D1386&gt;0,IFERROR(Параметры!$D$42*$H1386/$H$2408,0),0)</f>
        <v>0</v>
      </c>
      <c r="K1386" s="87">
        <f>IFERROR(ROUND($N1386*Параметры!$D$36,2),0)</f>
        <v>0</v>
      </c>
      <c r="L1386" s="87">
        <f t="shared" si="152"/>
        <v>0</v>
      </c>
      <c r="M1386" s="87">
        <f t="shared" si="153"/>
        <v>0</v>
      </c>
      <c r="N1386" s="107" t="str">
        <f t="shared" si="154"/>
        <v/>
      </c>
    </row>
    <row r="1387" spans="2:14" x14ac:dyDescent="0.25">
      <c r="B1387" s="82">
        <f>SUBTOTAL(103,$D$8:D1387)</f>
        <v>1380</v>
      </c>
      <c r="C1387" s="83" t="s">
        <v>1390</v>
      </c>
      <c r="D1387" s="84">
        <v>0</v>
      </c>
      <c r="E1387" s="85" t="str">
        <f t="shared" si="149"/>
        <v/>
      </c>
      <c r="F1387" s="106" t="str">
        <f t="shared" si="155"/>
        <v/>
      </c>
      <c r="G1387" s="86"/>
      <c r="H1387" s="107">
        <f t="shared" si="150"/>
        <v>0</v>
      </c>
      <c r="I1387" s="107">
        <f t="shared" si="151"/>
        <v>0</v>
      </c>
      <c r="J1387" s="87">
        <f>IF($D1387&gt;0,IFERROR(Параметры!$D$42*$H1387/$H$2408,0),0)</f>
        <v>0</v>
      </c>
      <c r="K1387" s="87">
        <f>IFERROR(ROUND($N1387*Параметры!$D$36,2),0)</f>
        <v>0</v>
      </c>
      <c r="L1387" s="87">
        <f t="shared" si="152"/>
        <v>0</v>
      </c>
      <c r="M1387" s="87">
        <f t="shared" si="153"/>
        <v>0</v>
      </c>
      <c r="N1387" s="107" t="str">
        <f t="shared" si="154"/>
        <v/>
      </c>
    </row>
    <row r="1388" spans="2:14" x14ac:dyDescent="0.25">
      <c r="B1388" s="82">
        <f>SUBTOTAL(103,$D$8:D1388)</f>
        <v>1381</v>
      </c>
      <c r="C1388" s="83" t="s">
        <v>1391</v>
      </c>
      <c r="D1388" s="84">
        <f t="array" ref="D1388:D1447">TRANSPOSE('Зарядная карта'!$C$28:$BJ$28)</f>
        <v>4</v>
      </c>
      <c r="E1388" s="85">
        <f t="shared" si="149"/>
        <v>62.814700000000002</v>
      </c>
      <c r="F1388" s="106">
        <f t="shared" si="155"/>
        <v>2</v>
      </c>
      <c r="G1388" s="86"/>
      <c r="H1388" s="107">
        <f t="shared" si="150"/>
        <v>3.44</v>
      </c>
      <c r="I1388" s="107">
        <f t="shared" si="151"/>
        <v>0.56000000000000005</v>
      </c>
      <c r="J1388" s="87">
        <f>IF($D1388&gt;0,IFERROR(Параметры!$D$42*$H1388/$H$2408,0),0)</f>
        <v>60.103959390862947</v>
      </c>
      <c r="K1388" s="87">
        <f>IFERROR(ROUND($N1388*Параметры!$D$36,2),0)</f>
        <v>59.54</v>
      </c>
      <c r="L1388" s="87">
        <f t="shared" si="152"/>
        <v>3.2747000000000002</v>
      </c>
      <c r="M1388" s="87">
        <f t="shared" si="153"/>
        <v>3.8420790191534921</v>
      </c>
      <c r="N1388" s="107">
        <f t="shared" si="154"/>
        <v>2</v>
      </c>
    </row>
    <row r="1389" spans="2:14" x14ac:dyDescent="0.25">
      <c r="B1389" s="82">
        <f>SUBTOTAL(103,$D$8:D1389)</f>
        <v>1382</v>
      </c>
      <c r="C1389" s="83" t="s">
        <v>1392</v>
      </c>
      <c r="D1389" s="84">
        <v>4</v>
      </c>
      <c r="E1389" s="85">
        <f t="shared" si="149"/>
        <v>62.814700000000002</v>
      </c>
      <c r="F1389" s="106">
        <f t="shared" si="155"/>
        <v>2</v>
      </c>
      <c r="G1389" s="86"/>
      <c r="H1389" s="107">
        <f t="shared" si="150"/>
        <v>3.44</v>
      </c>
      <c r="I1389" s="107">
        <f t="shared" si="151"/>
        <v>0.56000000000000005</v>
      </c>
      <c r="J1389" s="87">
        <f>IF($D1389&gt;0,IFERROR(Параметры!$D$42*$H1389/$H$2408,0),0)</f>
        <v>60.103959390862947</v>
      </c>
      <c r="K1389" s="87">
        <f>IFERROR(ROUND($N1389*Параметры!$D$36,2),0)</f>
        <v>59.54</v>
      </c>
      <c r="L1389" s="87">
        <f t="shared" si="152"/>
        <v>3.2747000000000002</v>
      </c>
      <c r="M1389" s="87">
        <f t="shared" si="153"/>
        <v>3.8420790191534921</v>
      </c>
      <c r="N1389" s="107">
        <f t="shared" si="154"/>
        <v>2</v>
      </c>
    </row>
    <row r="1390" spans="2:14" x14ac:dyDescent="0.25">
      <c r="B1390" s="82">
        <f>SUBTOTAL(103,$D$8:D1390)</f>
        <v>1383</v>
      </c>
      <c r="C1390" s="83" t="s">
        <v>1393</v>
      </c>
      <c r="D1390" s="84">
        <v>4</v>
      </c>
      <c r="E1390" s="85">
        <f t="shared" si="149"/>
        <v>62.814700000000002</v>
      </c>
      <c r="F1390" s="106">
        <f t="shared" si="155"/>
        <v>2</v>
      </c>
      <c r="G1390" s="86"/>
      <c r="H1390" s="107">
        <f t="shared" si="150"/>
        <v>3.44</v>
      </c>
      <c r="I1390" s="107">
        <f t="shared" si="151"/>
        <v>0.56000000000000005</v>
      </c>
      <c r="J1390" s="87">
        <f>IF($D1390&gt;0,IFERROR(Параметры!$D$42*$H1390/$H$2408,0),0)</f>
        <v>60.103959390862947</v>
      </c>
      <c r="K1390" s="87">
        <f>IFERROR(ROUND($N1390*Параметры!$D$36,2),0)</f>
        <v>59.54</v>
      </c>
      <c r="L1390" s="87">
        <f t="shared" si="152"/>
        <v>3.2747000000000002</v>
      </c>
      <c r="M1390" s="87">
        <f t="shared" si="153"/>
        <v>3.8420790191534921</v>
      </c>
      <c r="N1390" s="107">
        <f t="shared" si="154"/>
        <v>2</v>
      </c>
    </row>
    <row r="1391" spans="2:14" x14ac:dyDescent="0.25">
      <c r="B1391" s="82">
        <f>SUBTOTAL(103,$D$8:D1391)</f>
        <v>1384</v>
      </c>
      <c r="C1391" s="83" t="s">
        <v>1394</v>
      </c>
      <c r="D1391" s="84">
        <v>0</v>
      </c>
      <c r="E1391" s="85" t="str">
        <f t="shared" si="149"/>
        <v/>
      </c>
      <c r="F1391" s="106" t="str">
        <f t="shared" si="155"/>
        <v/>
      </c>
      <c r="G1391" s="86"/>
      <c r="H1391" s="107">
        <f t="shared" si="150"/>
        <v>0</v>
      </c>
      <c r="I1391" s="107">
        <f t="shared" si="151"/>
        <v>0</v>
      </c>
      <c r="J1391" s="87">
        <f>IF($D1391&gt;0,IFERROR(Параметры!$D$42*$H1391/$H$2408,0),0)</f>
        <v>0</v>
      </c>
      <c r="K1391" s="87">
        <f>IFERROR(ROUND($N1391*Параметры!$D$36,2),0)</f>
        <v>0</v>
      </c>
      <c r="L1391" s="87">
        <f t="shared" si="152"/>
        <v>0</v>
      </c>
      <c r="M1391" s="87">
        <f t="shared" si="153"/>
        <v>0</v>
      </c>
      <c r="N1391" s="107" t="str">
        <f t="shared" si="154"/>
        <v/>
      </c>
    </row>
    <row r="1392" spans="2:14" x14ac:dyDescent="0.25">
      <c r="B1392" s="82">
        <f>SUBTOTAL(103,$D$8:D1392)</f>
        <v>1385</v>
      </c>
      <c r="C1392" s="83" t="s">
        <v>1395</v>
      </c>
      <c r="D1392" s="84">
        <v>0</v>
      </c>
      <c r="E1392" s="85" t="str">
        <f t="shared" si="149"/>
        <v/>
      </c>
      <c r="F1392" s="106" t="str">
        <f t="shared" si="155"/>
        <v/>
      </c>
      <c r="G1392" s="86"/>
      <c r="H1392" s="107">
        <f t="shared" si="150"/>
        <v>0</v>
      </c>
      <c r="I1392" s="107">
        <f t="shared" si="151"/>
        <v>0</v>
      </c>
      <c r="J1392" s="87">
        <f>IF($D1392&gt;0,IFERROR(Параметры!$D$42*$H1392/$H$2408,0),0)</f>
        <v>0</v>
      </c>
      <c r="K1392" s="87">
        <f>IFERROR(ROUND($N1392*Параметры!$D$36,2),0)</f>
        <v>0</v>
      </c>
      <c r="L1392" s="87">
        <f t="shared" si="152"/>
        <v>0</v>
      </c>
      <c r="M1392" s="87">
        <f t="shared" si="153"/>
        <v>0</v>
      </c>
      <c r="N1392" s="107" t="str">
        <f t="shared" si="154"/>
        <v/>
      </c>
    </row>
    <row r="1393" spans="2:14" x14ac:dyDescent="0.25">
      <c r="B1393" s="82">
        <f>SUBTOTAL(103,$D$8:D1393)</f>
        <v>1386</v>
      </c>
      <c r="C1393" s="83" t="s">
        <v>1396</v>
      </c>
      <c r="D1393" s="84">
        <v>0</v>
      </c>
      <c r="E1393" s="85" t="str">
        <f t="shared" si="149"/>
        <v/>
      </c>
      <c r="F1393" s="106" t="str">
        <f t="shared" si="155"/>
        <v/>
      </c>
      <c r="G1393" s="86"/>
      <c r="H1393" s="107">
        <f t="shared" si="150"/>
        <v>0</v>
      </c>
      <c r="I1393" s="107">
        <f t="shared" si="151"/>
        <v>0</v>
      </c>
      <c r="J1393" s="87">
        <f>IF($D1393&gt;0,IFERROR(Параметры!$D$42*$H1393/$H$2408,0),0)</f>
        <v>0</v>
      </c>
      <c r="K1393" s="87">
        <f>IFERROR(ROUND($N1393*Параметры!$D$36,2),0)</f>
        <v>0</v>
      </c>
      <c r="L1393" s="87">
        <f t="shared" si="152"/>
        <v>0</v>
      </c>
      <c r="M1393" s="87">
        <f t="shared" si="153"/>
        <v>0</v>
      </c>
      <c r="N1393" s="107" t="str">
        <f t="shared" si="154"/>
        <v/>
      </c>
    </row>
    <row r="1394" spans="2:14" x14ac:dyDescent="0.25">
      <c r="B1394" s="82">
        <f>SUBTOTAL(103,$D$8:D1394)</f>
        <v>1387</v>
      </c>
      <c r="C1394" s="83" t="s">
        <v>1397</v>
      </c>
      <c r="D1394" s="84">
        <v>0</v>
      </c>
      <c r="E1394" s="85" t="str">
        <f t="shared" si="149"/>
        <v/>
      </c>
      <c r="F1394" s="106" t="str">
        <f t="shared" si="155"/>
        <v/>
      </c>
      <c r="G1394" s="86"/>
      <c r="H1394" s="107">
        <f t="shared" si="150"/>
        <v>0</v>
      </c>
      <c r="I1394" s="107">
        <f t="shared" si="151"/>
        <v>0</v>
      </c>
      <c r="J1394" s="87">
        <f>IF($D1394&gt;0,IFERROR(Параметры!$D$42*$H1394/$H$2408,0),0)</f>
        <v>0</v>
      </c>
      <c r="K1394" s="87">
        <f>IFERROR(ROUND($N1394*Параметры!$D$36,2),0)</f>
        <v>0</v>
      </c>
      <c r="L1394" s="87">
        <f t="shared" si="152"/>
        <v>0</v>
      </c>
      <c r="M1394" s="87">
        <f t="shared" si="153"/>
        <v>0</v>
      </c>
      <c r="N1394" s="107" t="str">
        <f t="shared" si="154"/>
        <v/>
      </c>
    </row>
    <row r="1395" spans="2:14" x14ac:dyDescent="0.25">
      <c r="B1395" s="82">
        <f>SUBTOTAL(103,$D$8:D1395)</f>
        <v>1388</v>
      </c>
      <c r="C1395" s="83" t="s">
        <v>1398</v>
      </c>
      <c r="D1395" s="84">
        <v>0</v>
      </c>
      <c r="E1395" s="85" t="str">
        <f t="shared" si="149"/>
        <v/>
      </c>
      <c r="F1395" s="106" t="str">
        <f t="shared" si="155"/>
        <v/>
      </c>
      <c r="G1395" s="86"/>
      <c r="H1395" s="107">
        <f t="shared" si="150"/>
        <v>0</v>
      </c>
      <c r="I1395" s="107">
        <f t="shared" si="151"/>
        <v>0</v>
      </c>
      <c r="J1395" s="87">
        <f>IF($D1395&gt;0,IFERROR(Параметры!$D$42*$H1395/$H$2408,0),0)</f>
        <v>0</v>
      </c>
      <c r="K1395" s="87">
        <f>IFERROR(ROUND($N1395*Параметры!$D$36,2),0)</f>
        <v>0</v>
      </c>
      <c r="L1395" s="87">
        <f t="shared" si="152"/>
        <v>0</v>
      </c>
      <c r="M1395" s="87">
        <f t="shared" si="153"/>
        <v>0</v>
      </c>
      <c r="N1395" s="107" t="str">
        <f t="shared" si="154"/>
        <v/>
      </c>
    </row>
    <row r="1396" spans="2:14" x14ac:dyDescent="0.25">
      <c r="B1396" s="82">
        <f>SUBTOTAL(103,$D$8:D1396)</f>
        <v>1389</v>
      </c>
      <c r="C1396" s="83" t="s">
        <v>1399</v>
      </c>
      <c r="D1396" s="84">
        <v>0</v>
      </c>
      <c r="E1396" s="85" t="str">
        <f t="shared" si="149"/>
        <v/>
      </c>
      <c r="F1396" s="106" t="str">
        <f t="shared" si="155"/>
        <v/>
      </c>
      <c r="G1396" s="86"/>
      <c r="H1396" s="107">
        <f t="shared" si="150"/>
        <v>0</v>
      </c>
      <c r="I1396" s="107">
        <f t="shared" si="151"/>
        <v>0</v>
      </c>
      <c r="J1396" s="87">
        <f>IF($D1396&gt;0,IFERROR(Параметры!$D$42*$H1396/$H$2408,0),0)</f>
        <v>0</v>
      </c>
      <c r="K1396" s="87">
        <f>IFERROR(ROUND($N1396*Параметры!$D$36,2),0)</f>
        <v>0</v>
      </c>
      <c r="L1396" s="87">
        <f t="shared" si="152"/>
        <v>0</v>
      </c>
      <c r="M1396" s="87">
        <f t="shared" si="153"/>
        <v>0</v>
      </c>
      <c r="N1396" s="107" t="str">
        <f t="shared" si="154"/>
        <v/>
      </c>
    </row>
    <row r="1397" spans="2:14" x14ac:dyDescent="0.25">
      <c r="B1397" s="82">
        <f>SUBTOTAL(103,$D$8:D1397)</f>
        <v>1390</v>
      </c>
      <c r="C1397" s="83" t="s">
        <v>1400</v>
      </c>
      <c r="D1397" s="84">
        <v>0</v>
      </c>
      <c r="E1397" s="85" t="str">
        <f t="shared" si="149"/>
        <v/>
      </c>
      <c r="F1397" s="106" t="str">
        <f t="shared" si="155"/>
        <v/>
      </c>
      <c r="G1397" s="86"/>
      <c r="H1397" s="107">
        <f t="shared" si="150"/>
        <v>0</v>
      </c>
      <c r="I1397" s="107">
        <f t="shared" si="151"/>
        <v>0</v>
      </c>
      <c r="J1397" s="87">
        <f>IF($D1397&gt;0,IFERROR(Параметры!$D$42*$H1397/$H$2408,0),0)</f>
        <v>0</v>
      </c>
      <c r="K1397" s="87">
        <f>IFERROR(ROUND($N1397*Параметры!$D$36,2),0)</f>
        <v>0</v>
      </c>
      <c r="L1397" s="87">
        <f t="shared" si="152"/>
        <v>0</v>
      </c>
      <c r="M1397" s="87">
        <f t="shared" si="153"/>
        <v>0</v>
      </c>
      <c r="N1397" s="107" t="str">
        <f t="shared" si="154"/>
        <v/>
      </c>
    </row>
    <row r="1398" spans="2:14" x14ac:dyDescent="0.25">
      <c r="B1398" s="82">
        <f>SUBTOTAL(103,$D$8:D1398)</f>
        <v>1391</v>
      </c>
      <c r="C1398" s="83" t="s">
        <v>1401</v>
      </c>
      <c r="D1398" s="84">
        <v>0</v>
      </c>
      <c r="E1398" s="85" t="str">
        <f t="shared" si="149"/>
        <v/>
      </c>
      <c r="F1398" s="106" t="str">
        <f t="shared" si="155"/>
        <v/>
      </c>
      <c r="G1398" s="86"/>
      <c r="H1398" s="107">
        <f t="shared" si="150"/>
        <v>0</v>
      </c>
      <c r="I1398" s="107">
        <f t="shared" si="151"/>
        <v>0</v>
      </c>
      <c r="J1398" s="87">
        <f>IF($D1398&gt;0,IFERROR(Параметры!$D$42*$H1398/$H$2408,0),0)</f>
        <v>0</v>
      </c>
      <c r="K1398" s="87">
        <f>IFERROR(ROUND($N1398*Параметры!$D$36,2),0)</f>
        <v>0</v>
      </c>
      <c r="L1398" s="87">
        <f t="shared" si="152"/>
        <v>0</v>
      </c>
      <c r="M1398" s="87">
        <f t="shared" si="153"/>
        <v>0</v>
      </c>
      <c r="N1398" s="107" t="str">
        <f t="shared" si="154"/>
        <v/>
      </c>
    </row>
    <row r="1399" spans="2:14" x14ac:dyDescent="0.25">
      <c r="B1399" s="82">
        <f>SUBTOTAL(103,$D$8:D1399)</f>
        <v>1392</v>
      </c>
      <c r="C1399" s="83" t="s">
        <v>1402</v>
      </c>
      <c r="D1399" s="84">
        <v>0</v>
      </c>
      <c r="E1399" s="85" t="str">
        <f t="shared" si="149"/>
        <v/>
      </c>
      <c r="F1399" s="106" t="str">
        <f t="shared" si="155"/>
        <v/>
      </c>
      <c r="G1399" s="86"/>
      <c r="H1399" s="107">
        <f t="shared" si="150"/>
        <v>0</v>
      </c>
      <c r="I1399" s="107">
        <f t="shared" si="151"/>
        <v>0</v>
      </c>
      <c r="J1399" s="87">
        <f>IF($D1399&gt;0,IFERROR(Параметры!$D$42*$H1399/$H$2408,0),0)</f>
        <v>0</v>
      </c>
      <c r="K1399" s="87">
        <f>IFERROR(ROUND($N1399*Параметры!$D$36,2),0)</f>
        <v>0</v>
      </c>
      <c r="L1399" s="87">
        <f t="shared" si="152"/>
        <v>0</v>
      </c>
      <c r="M1399" s="87">
        <f t="shared" si="153"/>
        <v>0</v>
      </c>
      <c r="N1399" s="107" t="str">
        <f t="shared" si="154"/>
        <v/>
      </c>
    </row>
    <row r="1400" spans="2:14" x14ac:dyDescent="0.25">
      <c r="B1400" s="82">
        <f>SUBTOTAL(103,$D$8:D1400)</f>
        <v>1393</v>
      </c>
      <c r="C1400" s="83" t="s">
        <v>1403</v>
      </c>
      <c r="D1400" s="84">
        <v>0</v>
      </c>
      <c r="E1400" s="85" t="str">
        <f t="shared" si="149"/>
        <v/>
      </c>
      <c r="F1400" s="106" t="str">
        <f t="shared" si="155"/>
        <v/>
      </c>
      <c r="G1400" s="86"/>
      <c r="H1400" s="107">
        <f t="shared" si="150"/>
        <v>0</v>
      </c>
      <c r="I1400" s="107">
        <f t="shared" si="151"/>
        <v>0</v>
      </c>
      <c r="J1400" s="87">
        <f>IF($D1400&gt;0,IFERROR(Параметры!$D$42*$H1400/$H$2408,0),0)</f>
        <v>0</v>
      </c>
      <c r="K1400" s="87">
        <f>IFERROR(ROUND($N1400*Параметры!$D$36,2),0)</f>
        <v>0</v>
      </c>
      <c r="L1400" s="87">
        <f t="shared" si="152"/>
        <v>0</v>
      </c>
      <c r="M1400" s="87">
        <f t="shared" si="153"/>
        <v>0</v>
      </c>
      <c r="N1400" s="107" t="str">
        <f t="shared" si="154"/>
        <v/>
      </c>
    </row>
    <row r="1401" spans="2:14" x14ac:dyDescent="0.25">
      <c r="B1401" s="82">
        <f>SUBTOTAL(103,$D$8:D1401)</f>
        <v>1394</v>
      </c>
      <c r="C1401" s="83" t="s">
        <v>1404</v>
      </c>
      <c r="D1401" s="84">
        <v>0</v>
      </c>
      <c r="E1401" s="85" t="str">
        <f t="shared" si="149"/>
        <v/>
      </c>
      <c r="F1401" s="106" t="str">
        <f t="shared" si="155"/>
        <v/>
      </c>
      <c r="G1401" s="86"/>
      <c r="H1401" s="107">
        <f t="shared" si="150"/>
        <v>0</v>
      </c>
      <c r="I1401" s="107">
        <f t="shared" si="151"/>
        <v>0</v>
      </c>
      <c r="J1401" s="87">
        <f>IF($D1401&gt;0,IFERROR(Параметры!$D$42*$H1401/$H$2408,0),0)</f>
        <v>0</v>
      </c>
      <c r="K1401" s="87">
        <f>IFERROR(ROUND($N1401*Параметры!$D$36,2),0)</f>
        <v>0</v>
      </c>
      <c r="L1401" s="87">
        <f t="shared" si="152"/>
        <v>0</v>
      </c>
      <c r="M1401" s="87">
        <f t="shared" si="153"/>
        <v>0</v>
      </c>
      <c r="N1401" s="107" t="str">
        <f t="shared" si="154"/>
        <v/>
      </c>
    </row>
    <row r="1402" spans="2:14" x14ac:dyDescent="0.25">
      <c r="B1402" s="82">
        <f>SUBTOTAL(103,$D$8:D1402)</f>
        <v>1395</v>
      </c>
      <c r="C1402" s="83" t="s">
        <v>1405</v>
      </c>
      <c r="D1402" s="84">
        <v>0</v>
      </c>
      <c r="E1402" s="85" t="str">
        <f t="shared" si="149"/>
        <v/>
      </c>
      <c r="F1402" s="106" t="str">
        <f t="shared" si="155"/>
        <v/>
      </c>
      <c r="G1402" s="86"/>
      <c r="H1402" s="107">
        <f t="shared" si="150"/>
        <v>0</v>
      </c>
      <c r="I1402" s="107">
        <f t="shared" si="151"/>
        <v>0</v>
      </c>
      <c r="J1402" s="87">
        <f>IF($D1402&gt;0,IFERROR(Параметры!$D$42*$H1402/$H$2408,0),0)</f>
        <v>0</v>
      </c>
      <c r="K1402" s="87">
        <f>IFERROR(ROUND($N1402*Параметры!$D$36,2),0)</f>
        <v>0</v>
      </c>
      <c r="L1402" s="87">
        <f t="shared" si="152"/>
        <v>0</v>
      </c>
      <c r="M1402" s="87">
        <f t="shared" si="153"/>
        <v>0</v>
      </c>
      <c r="N1402" s="107" t="str">
        <f t="shared" si="154"/>
        <v/>
      </c>
    </row>
    <row r="1403" spans="2:14" x14ac:dyDescent="0.25">
      <c r="B1403" s="82">
        <f>SUBTOTAL(103,$D$8:D1403)</f>
        <v>1396</v>
      </c>
      <c r="C1403" s="83" t="s">
        <v>1406</v>
      </c>
      <c r="D1403" s="84">
        <v>0</v>
      </c>
      <c r="E1403" s="85" t="str">
        <f t="shared" si="149"/>
        <v/>
      </c>
      <c r="F1403" s="106" t="str">
        <f t="shared" si="155"/>
        <v/>
      </c>
      <c r="G1403" s="86"/>
      <c r="H1403" s="107">
        <f t="shared" si="150"/>
        <v>0</v>
      </c>
      <c r="I1403" s="107">
        <f t="shared" si="151"/>
        <v>0</v>
      </c>
      <c r="J1403" s="87">
        <f>IF($D1403&gt;0,IFERROR(Параметры!$D$42*$H1403/$H$2408,0),0)</f>
        <v>0</v>
      </c>
      <c r="K1403" s="87">
        <f>IFERROR(ROUND($N1403*Параметры!$D$36,2),0)</f>
        <v>0</v>
      </c>
      <c r="L1403" s="87">
        <f t="shared" si="152"/>
        <v>0</v>
      </c>
      <c r="M1403" s="87">
        <f t="shared" si="153"/>
        <v>0</v>
      </c>
      <c r="N1403" s="107" t="str">
        <f t="shared" si="154"/>
        <v/>
      </c>
    </row>
    <row r="1404" spans="2:14" x14ac:dyDescent="0.25">
      <c r="B1404" s="82">
        <f>SUBTOTAL(103,$D$8:D1404)</f>
        <v>1397</v>
      </c>
      <c r="C1404" s="83" t="s">
        <v>1407</v>
      </c>
      <c r="D1404" s="84">
        <v>0</v>
      </c>
      <c r="E1404" s="85" t="str">
        <f t="shared" si="149"/>
        <v/>
      </c>
      <c r="F1404" s="106" t="str">
        <f t="shared" si="155"/>
        <v/>
      </c>
      <c r="G1404" s="86"/>
      <c r="H1404" s="107">
        <f t="shared" si="150"/>
        <v>0</v>
      </c>
      <c r="I1404" s="107">
        <f t="shared" si="151"/>
        <v>0</v>
      </c>
      <c r="J1404" s="87">
        <f>IF($D1404&gt;0,IFERROR(Параметры!$D$42*$H1404/$H$2408,0),0)</f>
        <v>0</v>
      </c>
      <c r="K1404" s="87">
        <f>IFERROR(ROUND($N1404*Параметры!$D$36,2),0)</f>
        <v>0</v>
      </c>
      <c r="L1404" s="87">
        <f t="shared" si="152"/>
        <v>0</v>
      </c>
      <c r="M1404" s="87">
        <f t="shared" si="153"/>
        <v>0</v>
      </c>
      <c r="N1404" s="107" t="str">
        <f t="shared" si="154"/>
        <v/>
      </c>
    </row>
    <row r="1405" spans="2:14" x14ac:dyDescent="0.25">
      <c r="B1405" s="82">
        <f>SUBTOTAL(103,$D$8:D1405)</f>
        <v>1398</v>
      </c>
      <c r="C1405" s="83" t="s">
        <v>1408</v>
      </c>
      <c r="D1405" s="84">
        <v>0</v>
      </c>
      <c r="E1405" s="85" t="str">
        <f t="shared" si="149"/>
        <v/>
      </c>
      <c r="F1405" s="106" t="str">
        <f t="shared" si="155"/>
        <v/>
      </c>
      <c r="G1405" s="86"/>
      <c r="H1405" s="107">
        <f t="shared" si="150"/>
        <v>0</v>
      </c>
      <c r="I1405" s="107">
        <f t="shared" si="151"/>
        <v>0</v>
      </c>
      <c r="J1405" s="87">
        <f>IF($D1405&gt;0,IFERROR(Параметры!$D$42*$H1405/$H$2408,0),0)</f>
        <v>0</v>
      </c>
      <c r="K1405" s="87">
        <f>IFERROR(ROUND($N1405*Параметры!$D$36,2),0)</f>
        <v>0</v>
      </c>
      <c r="L1405" s="87">
        <f t="shared" si="152"/>
        <v>0</v>
      </c>
      <c r="M1405" s="87">
        <f t="shared" si="153"/>
        <v>0</v>
      </c>
      <c r="N1405" s="107" t="str">
        <f t="shared" si="154"/>
        <v/>
      </c>
    </row>
    <row r="1406" spans="2:14" x14ac:dyDescent="0.25">
      <c r="B1406" s="82">
        <f>SUBTOTAL(103,$D$8:D1406)</f>
        <v>1399</v>
      </c>
      <c r="C1406" s="83" t="s">
        <v>1409</v>
      </c>
      <c r="D1406" s="84">
        <v>0</v>
      </c>
      <c r="E1406" s="85" t="str">
        <f t="shared" si="149"/>
        <v/>
      </c>
      <c r="F1406" s="106" t="str">
        <f t="shared" si="155"/>
        <v/>
      </c>
      <c r="G1406" s="86"/>
      <c r="H1406" s="107">
        <f t="shared" si="150"/>
        <v>0</v>
      </c>
      <c r="I1406" s="107">
        <f t="shared" si="151"/>
        <v>0</v>
      </c>
      <c r="J1406" s="87">
        <f>IF($D1406&gt;0,IFERROR(Параметры!$D$42*$H1406/$H$2408,0),0)</f>
        <v>0</v>
      </c>
      <c r="K1406" s="87">
        <f>IFERROR(ROUND($N1406*Параметры!$D$36,2),0)</f>
        <v>0</v>
      </c>
      <c r="L1406" s="87">
        <f t="shared" si="152"/>
        <v>0</v>
      </c>
      <c r="M1406" s="87">
        <f t="shared" si="153"/>
        <v>0</v>
      </c>
      <c r="N1406" s="107" t="str">
        <f t="shared" si="154"/>
        <v/>
      </c>
    </row>
    <row r="1407" spans="2:14" x14ac:dyDescent="0.25">
      <c r="B1407" s="82">
        <f>SUBTOTAL(103,$D$8:D1407)</f>
        <v>1400</v>
      </c>
      <c r="C1407" s="83" t="s">
        <v>1410</v>
      </c>
      <c r="D1407" s="84">
        <v>0</v>
      </c>
      <c r="E1407" s="85" t="str">
        <f t="shared" si="149"/>
        <v/>
      </c>
      <c r="F1407" s="106" t="str">
        <f t="shared" si="155"/>
        <v/>
      </c>
      <c r="G1407" s="86"/>
      <c r="H1407" s="107">
        <f t="shared" si="150"/>
        <v>0</v>
      </c>
      <c r="I1407" s="107">
        <f t="shared" si="151"/>
        <v>0</v>
      </c>
      <c r="J1407" s="87">
        <f>IF($D1407&gt;0,IFERROR(Параметры!$D$42*$H1407/$H$2408,0),0)</f>
        <v>0</v>
      </c>
      <c r="K1407" s="87">
        <f>IFERROR(ROUND($N1407*Параметры!$D$36,2),0)</f>
        <v>0</v>
      </c>
      <c r="L1407" s="87">
        <f t="shared" si="152"/>
        <v>0</v>
      </c>
      <c r="M1407" s="87">
        <f t="shared" si="153"/>
        <v>0</v>
      </c>
      <c r="N1407" s="107" t="str">
        <f t="shared" si="154"/>
        <v/>
      </c>
    </row>
    <row r="1408" spans="2:14" x14ac:dyDescent="0.25">
      <c r="B1408" s="82">
        <f>SUBTOTAL(103,$D$8:D1408)</f>
        <v>1401</v>
      </c>
      <c r="C1408" s="83" t="s">
        <v>1411</v>
      </c>
      <c r="D1408" s="84">
        <v>0</v>
      </c>
      <c r="E1408" s="85" t="str">
        <f t="shared" si="149"/>
        <v/>
      </c>
      <c r="F1408" s="106" t="str">
        <f t="shared" si="155"/>
        <v/>
      </c>
      <c r="G1408" s="86"/>
      <c r="H1408" s="107">
        <f t="shared" si="150"/>
        <v>0</v>
      </c>
      <c r="I1408" s="107">
        <f t="shared" si="151"/>
        <v>0</v>
      </c>
      <c r="J1408" s="87">
        <f>IF($D1408&gt;0,IFERROR(Параметры!$D$42*$H1408/$H$2408,0),0)</f>
        <v>0</v>
      </c>
      <c r="K1408" s="87">
        <f>IFERROR(ROUND($N1408*Параметры!$D$36,2),0)</f>
        <v>0</v>
      </c>
      <c r="L1408" s="87">
        <f t="shared" si="152"/>
        <v>0</v>
      </c>
      <c r="M1408" s="87">
        <f t="shared" si="153"/>
        <v>0</v>
      </c>
      <c r="N1408" s="107" t="str">
        <f t="shared" si="154"/>
        <v/>
      </c>
    </row>
    <row r="1409" spans="2:14" x14ac:dyDescent="0.25">
      <c r="B1409" s="82">
        <f>SUBTOTAL(103,$D$8:D1409)</f>
        <v>1402</v>
      </c>
      <c r="C1409" s="83" t="s">
        <v>1412</v>
      </c>
      <c r="D1409" s="84">
        <v>0</v>
      </c>
      <c r="E1409" s="85" t="str">
        <f t="shared" si="149"/>
        <v/>
      </c>
      <c r="F1409" s="106" t="str">
        <f t="shared" si="155"/>
        <v/>
      </c>
      <c r="G1409" s="86"/>
      <c r="H1409" s="107">
        <f t="shared" si="150"/>
        <v>0</v>
      </c>
      <c r="I1409" s="107">
        <f t="shared" si="151"/>
        <v>0</v>
      </c>
      <c r="J1409" s="87">
        <f>IF($D1409&gt;0,IFERROR(Параметры!$D$42*$H1409/$H$2408,0),0)</f>
        <v>0</v>
      </c>
      <c r="K1409" s="87">
        <f>IFERROR(ROUND($N1409*Параметры!$D$36,2),0)</f>
        <v>0</v>
      </c>
      <c r="L1409" s="87">
        <f t="shared" si="152"/>
        <v>0</v>
      </c>
      <c r="M1409" s="87">
        <f t="shared" si="153"/>
        <v>0</v>
      </c>
      <c r="N1409" s="107" t="str">
        <f t="shared" si="154"/>
        <v/>
      </c>
    </row>
    <row r="1410" spans="2:14" x14ac:dyDescent="0.25">
      <c r="B1410" s="82">
        <f>SUBTOTAL(103,$D$8:D1410)</f>
        <v>1403</v>
      </c>
      <c r="C1410" s="83" t="s">
        <v>1413</v>
      </c>
      <c r="D1410" s="84">
        <v>0</v>
      </c>
      <c r="E1410" s="85" t="str">
        <f t="shared" si="149"/>
        <v/>
      </c>
      <c r="F1410" s="106" t="str">
        <f t="shared" si="155"/>
        <v/>
      </c>
      <c r="G1410" s="86"/>
      <c r="H1410" s="107">
        <f t="shared" si="150"/>
        <v>0</v>
      </c>
      <c r="I1410" s="107">
        <f t="shared" si="151"/>
        <v>0</v>
      </c>
      <c r="J1410" s="87">
        <f>IF($D1410&gt;0,IFERROR(Параметры!$D$42*$H1410/$H$2408,0),0)</f>
        <v>0</v>
      </c>
      <c r="K1410" s="87">
        <f>IFERROR(ROUND($N1410*Параметры!$D$36,2),0)</f>
        <v>0</v>
      </c>
      <c r="L1410" s="87">
        <f t="shared" si="152"/>
        <v>0</v>
      </c>
      <c r="M1410" s="87">
        <f t="shared" si="153"/>
        <v>0</v>
      </c>
      <c r="N1410" s="107" t="str">
        <f t="shared" si="154"/>
        <v/>
      </c>
    </row>
    <row r="1411" spans="2:14" x14ac:dyDescent="0.25">
      <c r="B1411" s="82">
        <f>SUBTOTAL(103,$D$8:D1411)</f>
        <v>1404</v>
      </c>
      <c r="C1411" s="83" t="s">
        <v>1408</v>
      </c>
      <c r="D1411" s="84">
        <v>0</v>
      </c>
      <c r="E1411" s="85" t="str">
        <f t="shared" si="149"/>
        <v/>
      </c>
      <c r="F1411" s="106" t="str">
        <f t="shared" si="155"/>
        <v/>
      </c>
      <c r="G1411" s="86"/>
      <c r="H1411" s="107">
        <f t="shared" si="150"/>
        <v>0</v>
      </c>
      <c r="I1411" s="107">
        <f t="shared" si="151"/>
        <v>0</v>
      </c>
      <c r="J1411" s="87">
        <f>IF($D1411&gt;0,IFERROR(Параметры!$D$42*$H1411/$H$2408,0),0)</f>
        <v>0</v>
      </c>
      <c r="K1411" s="87">
        <f>IFERROR(ROUND($N1411*Параметры!$D$36,2),0)</f>
        <v>0</v>
      </c>
      <c r="L1411" s="87">
        <f t="shared" si="152"/>
        <v>0</v>
      </c>
      <c r="M1411" s="87">
        <f t="shared" si="153"/>
        <v>0</v>
      </c>
      <c r="N1411" s="107" t="str">
        <f t="shared" si="154"/>
        <v/>
      </c>
    </row>
    <row r="1412" spans="2:14" x14ac:dyDescent="0.25">
      <c r="B1412" s="82">
        <f>SUBTOTAL(103,$D$8:D1412)</f>
        <v>1405</v>
      </c>
      <c r="C1412" s="83" t="s">
        <v>1414</v>
      </c>
      <c r="D1412" s="84">
        <v>0</v>
      </c>
      <c r="E1412" s="85" t="str">
        <f t="shared" si="149"/>
        <v/>
      </c>
      <c r="F1412" s="106" t="str">
        <f t="shared" si="155"/>
        <v/>
      </c>
      <c r="G1412" s="86"/>
      <c r="H1412" s="107">
        <f t="shared" si="150"/>
        <v>0</v>
      </c>
      <c r="I1412" s="107">
        <f t="shared" si="151"/>
        <v>0</v>
      </c>
      <c r="J1412" s="87">
        <f>IF($D1412&gt;0,IFERROR(Параметры!$D$42*$H1412/$H$2408,0),0)</f>
        <v>0</v>
      </c>
      <c r="K1412" s="87">
        <f>IFERROR(ROUND($N1412*Параметры!$D$36,2),0)</f>
        <v>0</v>
      </c>
      <c r="L1412" s="87">
        <f t="shared" si="152"/>
        <v>0</v>
      </c>
      <c r="M1412" s="87">
        <f t="shared" si="153"/>
        <v>0</v>
      </c>
      <c r="N1412" s="107" t="str">
        <f t="shared" si="154"/>
        <v/>
      </c>
    </row>
    <row r="1413" spans="2:14" x14ac:dyDescent="0.25">
      <c r="B1413" s="82">
        <f>SUBTOTAL(103,$D$8:D1413)</f>
        <v>1406</v>
      </c>
      <c r="C1413" s="83" t="s">
        <v>1415</v>
      </c>
      <c r="D1413" s="84">
        <v>0</v>
      </c>
      <c r="E1413" s="85" t="str">
        <f t="shared" si="149"/>
        <v/>
      </c>
      <c r="F1413" s="106" t="str">
        <f t="shared" si="155"/>
        <v/>
      </c>
      <c r="G1413" s="86"/>
      <c r="H1413" s="107">
        <f t="shared" si="150"/>
        <v>0</v>
      </c>
      <c r="I1413" s="107">
        <f t="shared" si="151"/>
        <v>0</v>
      </c>
      <c r="J1413" s="87">
        <f>IF($D1413&gt;0,IFERROR(Параметры!$D$42*$H1413/$H$2408,0),0)</f>
        <v>0</v>
      </c>
      <c r="K1413" s="87">
        <f>IFERROR(ROUND($N1413*Параметры!$D$36,2),0)</f>
        <v>0</v>
      </c>
      <c r="L1413" s="87">
        <f t="shared" si="152"/>
        <v>0</v>
      </c>
      <c r="M1413" s="87">
        <f t="shared" si="153"/>
        <v>0</v>
      </c>
      <c r="N1413" s="107" t="str">
        <f t="shared" si="154"/>
        <v/>
      </c>
    </row>
    <row r="1414" spans="2:14" x14ac:dyDescent="0.25">
      <c r="B1414" s="82">
        <f>SUBTOTAL(103,$D$8:D1414)</f>
        <v>1407</v>
      </c>
      <c r="C1414" s="83" t="s">
        <v>1416</v>
      </c>
      <c r="D1414" s="84">
        <v>0</v>
      </c>
      <c r="E1414" s="85" t="str">
        <f t="shared" si="149"/>
        <v/>
      </c>
      <c r="F1414" s="106" t="str">
        <f t="shared" si="155"/>
        <v/>
      </c>
      <c r="G1414" s="86"/>
      <c r="H1414" s="107">
        <f t="shared" si="150"/>
        <v>0</v>
      </c>
      <c r="I1414" s="107">
        <f t="shared" si="151"/>
        <v>0</v>
      </c>
      <c r="J1414" s="87">
        <f>IF($D1414&gt;0,IFERROR(Параметры!$D$42*$H1414/$H$2408,0),0)</f>
        <v>0</v>
      </c>
      <c r="K1414" s="87">
        <f>IFERROR(ROUND($N1414*Параметры!$D$36,2),0)</f>
        <v>0</v>
      </c>
      <c r="L1414" s="87">
        <f t="shared" si="152"/>
        <v>0</v>
      </c>
      <c r="M1414" s="87">
        <f t="shared" si="153"/>
        <v>0</v>
      </c>
      <c r="N1414" s="107" t="str">
        <f t="shared" si="154"/>
        <v/>
      </c>
    </row>
    <row r="1415" spans="2:14" x14ac:dyDescent="0.25">
      <c r="B1415" s="82">
        <f>SUBTOTAL(103,$D$8:D1415)</f>
        <v>1408</v>
      </c>
      <c r="C1415" s="83" t="s">
        <v>1417</v>
      </c>
      <c r="D1415" s="84">
        <v>0</v>
      </c>
      <c r="E1415" s="85" t="str">
        <f t="shared" si="149"/>
        <v/>
      </c>
      <c r="F1415" s="106" t="str">
        <f t="shared" si="155"/>
        <v/>
      </c>
      <c r="G1415" s="86"/>
      <c r="H1415" s="107">
        <f t="shared" si="150"/>
        <v>0</v>
      </c>
      <c r="I1415" s="107">
        <f t="shared" si="151"/>
        <v>0</v>
      </c>
      <c r="J1415" s="87">
        <f>IF($D1415&gt;0,IFERROR(Параметры!$D$42*$H1415/$H$2408,0),0)</f>
        <v>0</v>
      </c>
      <c r="K1415" s="87">
        <f>IFERROR(ROUND($N1415*Параметры!$D$36,2),0)</f>
        <v>0</v>
      </c>
      <c r="L1415" s="87">
        <f t="shared" si="152"/>
        <v>0</v>
      </c>
      <c r="M1415" s="87">
        <f t="shared" si="153"/>
        <v>0</v>
      </c>
      <c r="N1415" s="107" t="str">
        <f t="shared" si="154"/>
        <v/>
      </c>
    </row>
    <row r="1416" spans="2:14" x14ac:dyDescent="0.25">
      <c r="B1416" s="82">
        <f>SUBTOTAL(103,$D$8:D1416)</f>
        <v>1409</v>
      </c>
      <c r="C1416" s="83" t="s">
        <v>1418</v>
      </c>
      <c r="D1416" s="84">
        <v>0</v>
      </c>
      <c r="E1416" s="85" t="str">
        <f t="shared" ref="E1416:E1479" si="156">IF($D1416&lt;1,"",$K1416+$L1416)</f>
        <v/>
      </c>
      <c r="F1416" s="106" t="str">
        <f t="shared" si="155"/>
        <v/>
      </c>
      <c r="G1416" s="86"/>
      <c r="H1416" s="107">
        <f t="shared" ref="H1416:H1479" si="157">IF($D1416&gt;0,$D1416*КИС,0)</f>
        <v>0</v>
      </c>
      <c r="I1416" s="107">
        <f t="shared" ref="I1416:I1479" si="158">IF($D1416&gt;0,$D1416-$H1416,0)</f>
        <v>0</v>
      </c>
      <c r="J1416" s="87">
        <f>IF($D1416&gt;0,IFERROR(Параметры!$D$42*$H1416/$H$2408,0),0)</f>
        <v>0</v>
      </c>
      <c r="K1416" s="87">
        <f>IFERROR(ROUND($N1416*Параметры!$D$36,2),0)</f>
        <v>0</v>
      </c>
      <c r="L1416" s="87">
        <f t="shared" ref="L1416:L1479" si="159">IF($K1416&gt;0,$K1416*0.055,0)</f>
        <v>0</v>
      </c>
      <c r="M1416" s="87">
        <f t="shared" ref="M1416:M1479" si="160">IFERROR($L1416/Плотность_ДТ,0)</f>
        <v>0</v>
      </c>
      <c r="N1416" s="107" t="str">
        <f t="shared" ref="N1416:N1479" si="161">IF($D1416&gt;0,MAX(0,$D1416-IF($F1416="",0,$F1416)),"")</f>
        <v/>
      </c>
    </row>
    <row r="1417" spans="2:14" x14ac:dyDescent="0.25">
      <c r="B1417" s="82">
        <f>SUBTOTAL(103,$D$8:D1417)</f>
        <v>1410</v>
      </c>
      <c r="C1417" s="83" t="s">
        <v>1419</v>
      </c>
      <c r="D1417" s="84">
        <v>0</v>
      </c>
      <c r="E1417" s="85" t="str">
        <f t="shared" si="156"/>
        <v/>
      </c>
      <c r="F1417" s="106" t="str">
        <f t="shared" si="155"/>
        <v/>
      </c>
      <c r="G1417" s="86"/>
      <c r="H1417" s="107">
        <f t="shared" si="157"/>
        <v>0</v>
      </c>
      <c r="I1417" s="107">
        <f t="shared" si="158"/>
        <v>0</v>
      </c>
      <c r="J1417" s="87">
        <f>IF($D1417&gt;0,IFERROR(Параметры!$D$42*$H1417/$H$2408,0),0)</f>
        <v>0</v>
      </c>
      <c r="K1417" s="87">
        <f>IFERROR(ROUND($N1417*Параметры!$D$36,2),0)</f>
        <v>0</v>
      </c>
      <c r="L1417" s="87">
        <f t="shared" si="159"/>
        <v>0</v>
      </c>
      <c r="M1417" s="87">
        <f t="shared" si="160"/>
        <v>0</v>
      </c>
      <c r="N1417" s="107" t="str">
        <f t="shared" si="161"/>
        <v/>
      </c>
    </row>
    <row r="1418" spans="2:14" x14ac:dyDescent="0.25">
      <c r="B1418" s="82">
        <f>SUBTOTAL(103,$D$8:D1418)</f>
        <v>1411</v>
      </c>
      <c r="C1418" s="83" t="s">
        <v>1420</v>
      </c>
      <c r="D1418" s="84">
        <v>0</v>
      </c>
      <c r="E1418" s="85" t="str">
        <f t="shared" si="156"/>
        <v/>
      </c>
      <c r="F1418" s="106" t="str">
        <f t="shared" si="155"/>
        <v/>
      </c>
      <c r="G1418" s="86"/>
      <c r="H1418" s="107">
        <f t="shared" si="157"/>
        <v>0</v>
      </c>
      <c r="I1418" s="107">
        <f t="shared" si="158"/>
        <v>0</v>
      </c>
      <c r="J1418" s="87">
        <f>IF($D1418&gt;0,IFERROR(Параметры!$D$42*$H1418/$H$2408,0),0)</f>
        <v>0</v>
      </c>
      <c r="K1418" s="87">
        <f>IFERROR(ROUND($N1418*Параметры!$D$36,2),0)</f>
        <v>0</v>
      </c>
      <c r="L1418" s="87">
        <f t="shared" si="159"/>
        <v>0</v>
      </c>
      <c r="M1418" s="87">
        <f t="shared" si="160"/>
        <v>0</v>
      </c>
      <c r="N1418" s="107" t="str">
        <f t="shared" si="161"/>
        <v/>
      </c>
    </row>
    <row r="1419" spans="2:14" x14ac:dyDescent="0.25">
      <c r="B1419" s="82">
        <f>SUBTOTAL(103,$D$8:D1419)</f>
        <v>1412</v>
      </c>
      <c r="C1419" s="83" t="s">
        <v>1421</v>
      </c>
      <c r="D1419" s="84">
        <v>0</v>
      </c>
      <c r="E1419" s="85" t="str">
        <f t="shared" si="156"/>
        <v/>
      </c>
      <c r="F1419" s="106" t="str">
        <f t="shared" ref="F1419:F1482" si="162">IF(D1419&gt;0,2,"")</f>
        <v/>
      </c>
      <c r="G1419" s="86"/>
      <c r="H1419" s="107">
        <f t="shared" si="157"/>
        <v>0</v>
      </c>
      <c r="I1419" s="107">
        <f t="shared" si="158"/>
        <v>0</v>
      </c>
      <c r="J1419" s="87">
        <f>IF($D1419&gt;0,IFERROR(Параметры!$D$42*$H1419/$H$2408,0),0)</f>
        <v>0</v>
      </c>
      <c r="K1419" s="87">
        <f>IFERROR(ROUND($N1419*Параметры!$D$36,2),0)</f>
        <v>0</v>
      </c>
      <c r="L1419" s="87">
        <f t="shared" si="159"/>
        <v>0</v>
      </c>
      <c r="M1419" s="87">
        <f t="shared" si="160"/>
        <v>0</v>
      </c>
      <c r="N1419" s="107" t="str">
        <f t="shared" si="161"/>
        <v/>
      </c>
    </row>
    <row r="1420" spans="2:14" x14ac:dyDescent="0.25">
      <c r="B1420" s="82">
        <f>SUBTOTAL(103,$D$8:D1420)</f>
        <v>1413</v>
      </c>
      <c r="C1420" s="83" t="s">
        <v>1422</v>
      </c>
      <c r="D1420" s="84">
        <v>0</v>
      </c>
      <c r="E1420" s="85" t="str">
        <f t="shared" si="156"/>
        <v/>
      </c>
      <c r="F1420" s="106" t="str">
        <f t="shared" si="162"/>
        <v/>
      </c>
      <c r="G1420" s="86"/>
      <c r="H1420" s="107">
        <f t="shared" si="157"/>
        <v>0</v>
      </c>
      <c r="I1420" s="107">
        <f t="shared" si="158"/>
        <v>0</v>
      </c>
      <c r="J1420" s="87">
        <f>IF($D1420&gt;0,IFERROR(Параметры!$D$42*$H1420/$H$2408,0),0)</f>
        <v>0</v>
      </c>
      <c r="K1420" s="87">
        <f>IFERROR(ROUND($N1420*Параметры!$D$36,2),0)</f>
        <v>0</v>
      </c>
      <c r="L1420" s="87">
        <f t="shared" si="159"/>
        <v>0</v>
      </c>
      <c r="M1420" s="87">
        <f t="shared" si="160"/>
        <v>0</v>
      </c>
      <c r="N1420" s="107" t="str">
        <f t="shared" si="161"/>
        <v/>
      </c>
    </row>
    <row r="1421" spans="2:14" x14ac:dyDescent="0.25">
      <c r="B1421" s="82">
        <f>SUBTOTAL(103,$D$8:D1421)</f>
        <v>1414</v>
      </c>
      <c r="C1421" s="83" t="s">
        <v>1423</v>
      </c>
      <c r="D1421" s="84">
        <v>0</v>
      </c>
      <c r="E1421" s="85" t="str">
        <f t="shared" si="156"/>
        <v/>
      </c>
      <c r="F1421" s="106" t="str">
        <f t="shared" si="162"/>
        <v/>
      </c>
      <c r="G1421" s="86"/>
      <c r="H1421" s="107">
        <f t="shared" si="157"/>
        <v>0</v>
      </c>
      <c r="I1421" s="107">
        <f t="shared" si="158"/>
        <v>0</v>
      </c>
      <c r="J1421" s="87">
        <f>IF($D1421&gt;0,IFERROR(Параметры!$D$42*$H1421/$H$2408,0),0)</f>
        <v>0</v>
      </c>
      <c r="K1421" s="87">
        <f>IFERROR(ROUND($N1421*Параметры!$D$36,2),0)</f>
        <v>0</v>
      </c>
      <c r="L1421" s="87">
        <f t="shared" si="159"/>
        <v>0</v>
      </c>
      <c r="M1421" s="87">
        <f t="shared" si="160"/>
        <v>0</v>
      </c>
      <c r="N1421" s="107" t="str">
        <f t="shared" si="161"/>
        <v/>
      </c>
    </row>
    <row r="1422" spans="2:14" x14ac:dyDescent="0.25">
      <c r="B1422" s="82">
        <f>SUBTOTAL(103,$D$8:D1422)</f>
        <v>1415</v>
      </c>
      <c r="C1422" s="83" t="s">
        <v>1424</v>
      </c>
      <c r="D1422" s="84">
        <v>0</v>
      </c>
      <c r="E1422" s="85" t="str">
        <f t="shared" si="156"/>
        <v/>
      </c>
      <c r="F1422" s="106" t="str">
        <f t="shared" si="162"/>
        <v/>
      </c>
      <c r="G1422" s="86"/>
      <c r="H1422" s="107">
        <f t="shared" si="157"/>
        <v>0</v>
      </c>
      <c r="I1422" s="107">
        <f t="shared" si="158"/>
        <v>0</v>
      </c>
      <c r="J1422" s="87">
        <f>IF($D1422&gt;0,IFERROR(Параметры!$D$42*$H1422/$H$2408,0),0)</f>
        <v>0</v>
      </c>
      <c r="K1422" s="87">
        <f>IFERROR(ROUND($N1422*Параметры!$D$36,2),0)</f>
        <v>0</v>
      </c>
      <c r="L1422" s="87">
        <f t="shared" si="159"/>
        <v>0</v>
      </c>
      <c r="M1422" s="87">
        <f t="shared" si="160"/>
        <v>0</v>
      </c>
      <c r="N1422" s="107" t="str">
        <f t="shared" si="161"/>
        <v/>
      </c>
    </row>
    <row r="1423" spans="2:14" x14ac:dyDescent="0.25">
      <c r="B1423" s="82">
        <f>SUBTOTAL(103,$D$8:D1423)</f>
        <v>1416</v>
      </c>
      <c r="C1423" s="83" t="s">
        <v>1425</v>
      </c>
      <c r="D1423" s="84">
        <v>0</v>
      </c>
      <c r="E1423" s="85" t="str">
        <f t="shared" si="156"/>
        <v/>
      </c>
      <c r="F1423" s="106" t="str">
        <f t="shared" si="162"/>
        <v/>
      </c>
      <c r="G1423" s="86"/>
      <c r="H1423" s="107">
        <f t="shared" si="157"/>
        <v>0</v>
      </c>
      <c r="I1423" s="107">
        <f t="shared" si="158"/>
        <v>0</v>
      </c>
      <c r="J1423" s="87">
        <f>IF($D1423&gt;0,IFERROR(Параметры!$D$42*$H1423/$H$2408,0),0)</f>
        <v>0</v>
      </c>
      <c r="K1423" s="87">
        <f>IFERROR(ROUND($N1423*Параметры!$D$36,2),0)</f>
        <v>0</v>
      </c>
      <c r="L1423" s="87">
        <f t="shared" si="159"/>
        <v>0</v>
      </c>
      <c r="M1423" s="87">
        <f t="shared" si="160"/>
        <v>0</v>
      </c>
      <c r="N1423" s="107" t="str">
        <f t="shared" si="161"/>
        <v/>
      </c>
    </row>
    <row r="1424" spans="2:14" x14ac:dyDescent="0.25">
      <c r="B1424" s="82">
        <f>SUBTOTAL(103,$D$8:D1424)</f>
        <v>1417</v>
      </c>
      <c r="C1424" s="83" t="s">
        <v>1426</v>
      </c>
      <c r="D1424" s="84">
        <v>0</v>
      </c>
      <c r="E1424" s="85" t="str">
        <f t="shared" si="156"/>
        <v/>
      </c>
      <c r="F1424" s="106" t="str">
        <f t="shared" si="162"/>
        <v/>
      </c>
      <c r="G1424" s="86"/>
      <c r="H1424" s="107">
        <f t="shared" si="157"/>
        <v>0</v>
      </c>
      <c r="I1424" s="107">
        <f t="shared" si="158"/>
        <v>0</v>
      </c>
      <c r="J1424" s="87">
        <f>IF($D1424&gt;0,IFERROR(Параметры!$D$42*$H1424/$H$2408,0),0)</f>
        <v>0</v>
      </c>
      <c r="K1424" s="87">
        <f>IFERROR(ROUND($N1424*Параметры!$D$36,2),0)</f>
        <v>0</v>
      </c>
      <c r="L1424" s="87">
        <f t="shared" si="159"/>
        <v>0</v>
      </c>
      <c r="M1424" s="87">
        <f t="shared" si="160"/>
        <v>0</v>
      </c>
      <c r="N1424" s="107" t="str">
        <f t="shared" si="161"/>
        <v/>
      </c>
    </row>
    <row r="1425" spans="2:14" x14ac:dyDescent="0.25">
      <c r="B1425" s="82">
        <f>SUBTOTAL(103,$D$8:D1425)</f>
        <v>1418</v>
      </c>
      <c r="C1425" s="83" t="s">
        <v>1427</v>
      </c>
      <c r="D1425" s="84">
        <v>0</v>
      </c>
      <c r="E1425" s="85" t="str">
        <f t="shared" si="156"/>
        <v/>
      </c>
      <c r="F1425" s="106" t="str">
        <f t="shared" si="162"/>
        <v/>
      </c>
      <c r="G1425" s="86"/>
      <c r="H1425" s="107">
        <f t="shared" si="157"/>
        <v>0</v>
      </c>
      <c r="I1425" s="107">
        <f t="shared" si="158"/>
        <v>0</v>
      </c>
      <c r="J1425" s="87">
        <f>IF($D1425&gt;0,IFERROR(Параметры!$D$42*$H1425/$H$2408,0),0)</f>
        <v>0</v>
      </c>
      <c r="K1425" s="87">
        <f>IFERROR(ROUND($N1425*Параметры!$D$36,2),0)</f>
        <v>0</v>
      </c>
      <c r="L1425" s="87">
        <f t="shared" si="159"/>
        <v>0</v>
      </c>
      <c r="M1425" s="87">
        <f t="shared" si="160"/>
        <v>0</v>
      </c>
      <c r="N1425" s="107" t="str">
        <f t="shared" si="161"/>
        <v/>
      </c>
    </row>
    <row r="1426" spans="2:14" x14ac:dyDescent="0.25">
      <c r="B1426" s="82">
        <f>SUBTOTAL(103,$D$8:D1426)</f>
        <v>1419</v>
      </c>
      <c r="C1426" s="83" t="s">
        <v>1428</v>
      </c>
      <c r="D1426" s="84">
        <v>0</v>
      </c>
      <c r="E1426" s="85" t="str">
        <f t="shared" si="156"/>
        <v/>
      </c>
      <c r="F1426" s="106" t="str">
        <f t="shared" si="162"/>
        <v/>
      </c>
      <c r="G1426" s="86"/>
      <c r="H1426" s="107">
        <f t="shared" si="157"/>
        <v>0</v>
      </c>
      <c r="I1426" s="107">
        <f t="shared" si="158"/>
        <v>0</v>
      </c>
      <c r="J1426" s="87">
        <f>IF($D1426&gt;0,IFERROR(Параметры!$D$42*$H1426/$H$2408,0),0)</f>
        <v>0</v>
      </c>
      <c r="K1426" s="87">
        <f>IFERROR(ROUND($N1426*Параметры!$D$36,2),0)</f>
        <v>0</v>
      </c>
      <c r="L1426" s="87">
        <f t="shared" si="159"/>
        <v>0</v>
      </c>
      <c r="M1426" s="87">
        <f t="shared" si="160"/>
        <v>0</v>
      </c>
      <c r="N1426" s="107" t="str">
        <f t="shared" si="161"/>
        <v/>
      </c>
    </row>
    <row r="1427" spans="2:14" x14ac:dyDescent="0.25">
      <c r="B1427" s="82">
        <f>SUBTOTAL(103,$D$8:D1427)</f>
        <v>1420</v>
      </c>
      <c r="C1427" s="83" t="s">
        <v>1429</v>
      </c>
      <c r="D1427" s="84">
        <v>0</v>
      </c>
      <c r="E1427" s="85" t="str">
        <f t="shared" si="156"/>
        <v/>
      </c>
      <c r="F1427" s="106" t="str">
        <f t="shared" si="162"/>
        <v/>
      </c>
      <c r="G1427" s="86"/>
      <c r="H1427" s="107">
        <f t="shared" si="157"/>
        <v>0</v>
      </c>
      <c r="I1427" s="107">
        <f t="shared" si="158"/>
        <v>0</v>
      </c>
      <c r="J1427" s="87">
        <f>IF($D1427&gt;0,IFERROR(Параметры!$D$42*$H1427/$H$2408,0),0)</f>
        <v>0</v>
      </c>
      <c r="K1427" s="87">
        <f>IFERROR(ROUND($N1427*Параметры!$D$36,2),0)</f>
        <v>0</v>
      </c>
      <c r="L1427" s="87">
        <f t="shared" si="159"/>
        <v>0</v>
      </c>
      <c r="M1427" s="87">
        <f t="shared" si="160"/>
        <v>0</v>
      </c>
      <c r="N1427" s="107" t="str">
        <f t="shared" si="161"/>
        <v/>
      </c>
    </row>
    <row r="1428" spans="2:14" x14ac:dyDescent="0.25">
      <c r="B1428" s="82">
        <f>SUBTOTAL(103,$D$8:D1428)</f>
        <v>1421</v>
      </c>
      <c r="C1428" s="83" t="s">
        <v>1430</v>
      </c>
      <c r="D1428" s="84">
        <v>0</v>
      </c>
      <c r="E1428" s="85" t="str">
        <f t="shared" si="156"/>
        <v/>
      </c>
      <c r="F1428" s="106" t="str">
        <f t="shared" si="162"/>
        <v/>
      </c>
      <c r="G1428" s="86"/>
      <c r="H1428" s="107">
        <f t="shared" si="157"/>
        <v>0</v>
      </c>
      <c r="I1428" s="107">
        <f t="shared" si="158"/>
        <v>0</v>
      </c>
      <c r="J1428" s="87">
        <f>IF($D1428&gt;0,IFERROR(Параметры!$D$42*$H1428/$H$2408,0),0)</f>
        <v>0</v>
      </c>
      <c r="K1428" s="87">
        <f>IFERROR(ROUND($N1428*Параметры!$D$36,2),0)</f>
        <v>0</v>
      </c>
      <c r="L1428" s="87">
        <f t="shared" si="159"/>
        <v>0</v>
      </c>
      <c r="M1428" s="87">
        <f t="shared" si="160"/>
        <v>0</v>
      </c>
      <c r="N1428" s="107" t="str">
        <f t="shared" si="161"/>
        <v/>
      </c>
    </row>
    <row r="1429" spans="2:14" x14ac:dyDescent="0.25">
      <c r="B1429" s="82">
        <f>SUBTOTAL(103,$D$8:D1429)</f>
        <v>1422</v>
      </c>
      <c r="C1429" s="83" t="s">
        <v>1431</v>
      </c>
      <c r="D1429" s="84">
        <v>0</v>
      </c>
      <c r="E1429" s="85" t="str">
        <f t="shared" si="156"/>
        <v/>
      </c>
      <c r="F1429" s="106" t="str">
        <f t="shared" si="162"/>
        <v/>
      </c>
      <c r="G1429" s="86"/>
      <c r="H1429" s="107">
        <f t="shared" si="157"/>
        <v>0</v>
      </c>
      <c r="I1429" s="107">
        <f t="shared" si="158"/>
        <v>0</v>
      </c>
      <c r="J1429" s="87">
        <f>IF($D1429&gt;0,IFERROR(Параметры!$D$42*$H1429/$H$2408,0),0)</f>
        <v>0</v>
      </c>
      <c r="K1429" s="87">
        <f>IFERROR(ROUND($N1429*Параметры!$D$36,2),0)</f>
        <v>0</v>
      </c>
      <c r="L1429" s="87">
        <f t="shared" si="159"/>
        <v>0</v>
      </c>
      <c r="M1429" s="87">
        <f t="shared" si="160"/>
        <v>0</v>
      </c>
      <c r="N1429" s="107" t="str">
        <f t="shared" si="161"/>
        <v/>
      </c>
    </row>
    <row r="1430" spans="2:14" x14ac:dyDescent="0.25">
      <c r="B1430" s="82">
        <f>SUBTOTAL(103,$D$8:D1430)</f>
        <v>1423</v>
      </c>
      <c r="C1430" s="83" t="s">
        <v>1432</v>
      </c>
      <c r="D1430" s="84">
        <v>0</v>
      </c>
      <c r="E1430" s="85" t="str">
        <f t="shared" si="156"/>
        <v/>
      </c>
      <c r="F1430" s="106" t="str">
        <f t="shared" si="162"/>
        <v/>
      </c>
      <c r="G1430" s="86"/>
      <c r="H1430" s="107">
        <f t="shared" si="157"/>
        <v>0</v>
      </c>
      <c r="I1430" s="107">
        <f t="shared" si="158"/>
        <v>0</v>
      </c>
      <c r="J1430" s="87">
        <f>IF($D1430&gt;0,IFERROR(Параметры!$D$42*$H1430/$H$2408,0),0)</f>
        <v>0</v>
      </c>
      <c r="K1430" s="87">
        <f>IFERROR(ROUND($N1430*Параметры!$D$36,2),0)</f>
        <v>0</v>
      </c>
      <c r="L1430" s="87">
        <f t="shared" si="159"/>
        <v>0</v>
      </c>
      <c r="M1430" s="87">
        <f t="shared" si="160"/>
        <v>0</v>
      </c>
      <c r="N1430" s="107" t="str">
        <f t="shared" si="161"/>
        <v/>
      </c>
    </row>
    <row r="1431" spans="2:14" x14ac:dyDescent="0.25">
      <c r="B1431" s="82">
        <f>SUBTOTAL(103,$D$8:D1431)</f>
        <v>1424</v>
      </c>
      <c r="C1431" s="83" t="s">
        <v>1433</v>
      </c>
      <c r="D1431" s="84">
        <v>0</v>
      </c>
      <c r="E1431" s="85" t="str">
        <f t="shared" si="156"/>
        <v/>
      </c>
      <c r="F1431" s="106" t="str">
        <f t="shared" si="162"/>
        <v/>
      </c>
      <c r="G1431" s="86"/>
      <c r="H1431" s="107">
        <f t="shared" si="157"/>
        <v>0</v>
      </c>
      <c r="I1431" s="107">
        <f t="shared" si="158"/>
        <v>0</v>
      </c>
      <c r="J1431" s="87">
        <f>IF($D1431&gt;0,IFERROR(Параметры!$D$42*$H1431/$H$2408,0),0)</f>
        <v>0</v>
      </c>
      <c r="K1431" s="87">
        <f>IFERROR(ROUND($N1431*Параметры!$D$36,2),0)</f>
        <v>0</v>
      </c>
      <c r="L1431" s="87">
        <f t="shared" si="159"/>
        <v>0</v>
      </c>
      <c r="M1431" s="87">
        <f t="shared" si="160"/>
        <v>0</v>
      </c>
      <c r="N1431" s="107" t="str">
        <f t="shared" si="161"/>
        <v/>
      </c>
    </row>
    <row r="1432" spans="2:14" x14ac:dyDescent="0.25">
      <c r="B1432" s="82">
        <f>SUBTOTAL(103,$D$8:D1432)</f>
        <v>1425</v>
      </c>
      <c r="C1432" s="83" t="s">
        <v>1434</v>
      </c>
      <c r="D1432" s="84">
        <v>0</v>
      </c>
      <c r="E1432" s="85" t="str">
        <f t="shared" si="156"/>
        <v/>
      </c>
      <c r="F1432" s="106" t="str">
        <f t="shared" si="162"/>
        <v/>
      </c>
      <c r="G1432" s="86"/>
      <c r="H1432" s="107">
        <f t="shared" si="157"/>
        <v>0</v>
      </c>
      <c r="I1432" s="107">
        <f t="shared" si="158"/>
        <v>0</v>
      </c>
      <c r="J1432" s="87">
        <f>IF($D1432&gt;0,IFERROR(Параметры!$D$42*$H1432/$H$2408,0),0)</f>
        <v>0</v>
      </c>
      <c r="K1432" s="87">
        <f>IFERROR(ROUND($N1432*Параметры!$D$36,2),0)</f>
        <v>0</v>
      </c>
      <c r="L1432" s="87">
        <f t="shared" si="159"/>
        <v>0</v>
      </c>
      <c r="M1432" s="87">
        <f t="shared" si="160"/>
        <v>0</v>
      </c>
      <c r="N1432" s="107" t="str">
        <f t="shared" si="161"/>
        <v/>
      </c>
    </row>
    <row r="1433" spans="2:14" x14ac:dyDescent="0.25">
      <c r="B1433" s="82">
        <f>SUBTOTAL(103,$D$8:D1433)</f>
        <v>1426</v>
      </c>
      <c r="C1433" s="83" t="s">
        <v>1435</v>
      </c>
      <c r="D1433" s="84">
        <v>0</v>
      </c>
      <c r="E1433" s="85" t="str">
        <f t="shared" si="156"/>
        <v/>
      </c>
      <c r="F1433" s="106" t="str">
        <f t="shared" si="162"/>
        <v/>
      </c>
      <c r="G1433" s="86"/>
      <c r="H1433" s="107">
        <f t="shared" si="157"/>
        <v>0</v>
      </c>
      <c r="I1433" s="107">
        <f t="shared" si="158"/>
        <v>0</v>
      </c>
      <c r="J1433" s="87">
        <f>IF($D1433&gt;0,IFERROR(Параметры!$D$42*$H1433/$H$2408,0),0)</f>
        <v>0</v>
      </c>
      <c r="K1433" s="87">
        <f>IFERROR(ROUND($N1433*Параметры!$D$36,2),0)</f>
        <v>0</v>
      </c>
      <c r="L1433" s="87">
        <f t="shared" si="159"/>
        <v>0</v>
      </c>
      <c r="M1433" s="87">
        <f t="shared" si="160"/>
        <v>0</v>
      </c>
      <c r="N1433" s="107" t="str">
        <f t="shared" si="161"/>
        <v/>
      </c>
    </row>
    <row r="1434" spans="2:14" x14ac:dyDescent="0.25">
      <c r="B1434" s="82">
        <f>SUBTOTAL(103,$D$8:D1434)</f>
        <v>1427</v>
      </c>
      <c r="C1434" s="83" t="s">
        <v>1436</v>
      </c>
      <c r="D1434" s="84">
        <v>0</v>
      </c>
      <c r="E1434" s="85" t="str">
        <f t="shared" si="156"/>
        <v/>
      </c>
      <c r="F1434" s="106" t="str">
        <f t="shared" si="162"/>
        <v/>
      </c>
      <c r="G1434" s="86"/>
      <c r="H1434" s="107">
        <f t="shared" si="157"/>
        <v>0</v>
      </c>
      <c r="I1434" s="107">
        <f t="shared" si="158"/>
        <v>0</v>
      </c>
      <c r="J1434" s="87">
        <f>IF($D1434&gt;0,IFERROR(Параметры!$D$42*$H1434/$H$2408,0),0)</f>
        <v>0</v>
      </c>
      <c r="K1434" s="87">
        <f>IFERROR(ROUND($N1434*Параметры!$D$36,2),0)</f>
        <v>0</v>
      </c>
      <c r="L1434" s="87">
        <f t="shared" si="159"/>
        <v>0</v>
      </c>
      <c r="M1434" s="87">
        <f t="shared" si="160"/>
        <v>0</v>
      </c>
      <c r="N1434" s="107" t="str">
        <f t="shared" si="161"/>
        <v/>
      </c>
    </row>
    <row r="1435" spans="2:14" x14ac:dyDescent="0.25">
      <c r="B1435" s="82">
        <f>SUBTOTAL(103,$D$8:D1435)</f>
        <v>1428</v>
      </c>
      <c r="C1435" s="83" t="s">
        <v>1437</v>
      </c>
      <c r="D1435" s="84">
        <v>0</v>
      </c>
      <c r="E1435" s="85" t="str">
        <f t="shared" si="156"/>
        <v/>
      </c>
      <c r="F1435" s="106" t="str">
        <f t="shared" si="162"/>
        <v/>
      </c>
      <c r="G1435" s="86"/>
      <c r="H1435" s="107">
        <f t="shared" si="157"/>
        <v>0</v>
      </c>
      <c r="I1435" s="107">
        <f t="shared" si="158"/>
        <v>0</v>
      </c>
      <c r="J1435" s="87">
        <f>IF($D1435&gt;0,IFERROR(Параметры!$D$42*$H1435/$H$2408,0),0)</f>
        <v>0</v>
      </c>
      <c r="K1435" s="87">
        <f>IFERROR(ROUND($N1435*Параметры!$D$36,2),0)</f>
        <v>0</v>
      </c>
      <c r="L1435" s="87">
        <f t="shared" si="159"/>
        <v>0</v>
      </c>
      <c r="M1435" s="87">
        <f t="shared" si="160"/>
        <v>0</v>
      </c>
      <c r="N1435" s="107" t="str">
        <f t="shared" si="161"/>
        <v/>
      </c>
    </row>
    <row r="1436" spans="2:14" x14ac:dyDescent="0.25">
      <c r="B1436" s="82">
        <f>SUBTOTAL(103,$D$8:D1436)</f>
        <v>1429</v>
      </c>
      <c r="C1436" s="83" t="s">
        <v>1438</v>
      </c>
      <c r="D1436" s="84">
        <v>0</v>
      </c>
      <c r="E1436" s="85" t="str">
        <f t="shared" si="156"/>
        <v/>
      </c>
      <c r="F1436" s="106" t="str">
        <f t="shared" si="162"/>
        <v/>
      </c>
      <c r="G1436" s="86"/>
      <c r="H1436" s="107">
        <f t="shared" si="157"/>
        <v>0</v>
      </c>
      <c r="I1436" s="107">
        <f t="shared" si="158"/>
        <v>0</v>
      </c>
      <c r="J1436" s="87">
        <f>IF($D1436&gt;0,IFERROR(Параметры!$D$42*$H1436/$H$2408,0),0)</f>
        <v>0</v>
      </c>
      <c r="K1436" s="87">
        <f>IFERROR(ROUND($N1436*Параметры!$D$36,2),0)</f>
        <v>0</v>
      </c>
      <c r="L1436" s="87">
        <f t="shared" si="159"/>
        <v>0</v>
      </c>
      <c r="M1436" s="87">
        <f t="shared" si="160"/>
        <v>0</v>
      </c>
      <c r="N1436" s="107" t="str">
        <f t="shared" si="161"/>
        <v/>
      </c>
    </row>
    <row r="1437" spans="2:14" x14ac:dyDescent="0.25">
      <c r="B1437" s="82">
        <f>SUBTOTAL(103,$D$8:D1437)</f>
        <v>1430</v>
      </c>
      <c r="C1437" s="83" t="s">
        <v>1439</v>
      </c>
      <c r="D1437" s="84">
        <v>0</v>
      </c>
      <c r="E1437" s="85" t="str">
        <f t="shared" si="156"/>
        <v/>
      </c>
      <c r="F1437" s="106" t="str">
        <f t="shared" si="162"/>
        <v/>
      </c>
      <c r="G1437" s="86"/>
      <c r="H1437" s="107">
        <f t="shared" si="157"/>
        <v>0</v>
      </c>
      <c r="I1437" s="107">
        <f t="shared" si="158"/>
        <v>0</v>
      </c>
      <c r="J1437" s="87">
        <f>IF($D1437&gt;0,IFERROR(Параметры!$D$42*$H1437/$H$2408,0),0)</f>
        <v>0</v>
      </c>
      <c r="K1437" s="87">
        <f>IFERROR(ROUND($N1437*Параметры!$D$36,2),0)</f>
        <v>0</v>
      </c>
      <c r="L1437" s="87">
        <f t="shared" si="159"/>
        <v>0</v>
      </c>
      <c r="M1437" s="87">
        <f t="shared" si="160"/>
        <v>0</v>
      </c>
      <c r="N1437" s="107" t="str">
        <f t="shared" si="161"/>
        <v/>
      </c>
    </row>
    <row r="1438" spans="2:14" x14ac:dyDescent="0.25">
      <c r="B1438" s="82">
        <f>SUBTOTAL(103,$D$8:D1438)</f>
        <v>1431</v>
      </c>
      <c r="C1438" s="83" t="s">
        <v>1440</v>
      </c>
      <c r="D1438" s="84">
        <v>0</v>
      </c>
      <c r="E1438" s="85" t="str">
        <f t="shared" si="156"/>
        <v/>
      </c>
      <c r="F1438" s="106" t="str">
        <f t="shared" si="162"/>
        <v/>
      </c>
      <c r="G1438" s="86"/>
      <c r="H1438" s="107">
        <f t="shared" si="157"/>
        <v>0</v>
      </c>
      <c r="I1438" s="107">
        <f t="shared" si="158"/>
        <v>0</v>
      </c>
      <c r="J1438" s="87">
        <f>IF($D1438&gt;0,IFERROR(Параметры!$D$42*$H1438/$H$2408,0),0)</f>
        <v>0</v>
      </c>
      <c r="K1438" s="87">
        <f>IFERROR(ROUND($N1438*Параметры!$D$36,2),0)</f>
        <v>0</v>
      </c>
      <c r="L1438" s="87">
        <f t="shared" si="159"/>
        <v>0</v>
      </c>
      <c r="M1438" s="87">
        <f t="shared" si="160"/>
        <v>0</v>
      </c>
      <c r="N1438" s="107" t="str">
        <f t="shared" si="161"/>
        <v/>
      </c>
    </row>
    <row r="1439" spans="2:14" x14ac:dyDescent="0.25">
      <c r="B1439" s="82">
        <f>SUBTOTAL(103,$D$8:D1439)</f>
        <v>1432</v>
      </c>
      <c r="C1439" s="83" t="s">
        <v>1441</v>
      </c>
      <c r="D1439" s="84">
        <v>0</v>
      </c>
      <c r="E1439" s="85" t="str">
        <f t="shared" si="156"/>
        <v/>
      </c>
      <c r="F1439" s="106" t="str">
        <f t="shared" si="162"/>
        <v/>
      </c>
      <c r="G1439" s="86"/>
      <c r="H1439" s="107">
        <f t="shared" si="157"/>
        <v>0</v>
      </c>
      <c r="I1439" s="107">
        <f t="shared" si="158"/>
        <v>0</v>
      </c>
      <c r="J1439" s="87">
        <f>IF($D1439&gt;0,IFERROR(Параметры!$D$42*$H1439/$H$2408,0),0)</f>
        <v>0</v>
      </c>
      <c r="K1439" s="87">
        <f>IFERROR(ROUND($N1439*Параметры!$D$36,2),0)</f>
        <v>0</v>
      </c>
      <c r="L1439" s="87">
        <f t="shared" si="159"/>
        <v>0</v>
      </c>
      <c r="M1439" s="87">
        <f t="shared" si="160"/>
        <v>0</v>
      </c>
      <c r="N1439" s="107" t="str">
        <f t="shared" si="161"/>
        <v/>
      </c>
    </row>
    <row r="1440" spans="2:14" x14ac:dyDescent="0.25">
      <c r="B1440" s="82">
        <f>SUBTOTAL(103,$D$8:D1440)</f>
        <v>1433</v>
      </c>
      <c r="C1440" s="83" t="s">
        <v>1442</v>
      </c>
      <c r="D1440" s="84">
        <v>0</v>
      </c>
      <c r="E1440" s="85" t="str">
        <f t="shared" si="156"/>
        <v/>
      </c>
      <c r="F1440" s="106" t="str">
        <f t="shared" si="162"/>
        <v/>
      </c>
      <c r="G1440" s="86"/>
      <c r="H1440" s="107">
        <f t="shared" si="157"/>
        <v>0</v>
      </c>
      <c r="I1440" s="107">
        <f t="shared" si="158"/>
        <v>0</v>
      </c>
      <c r="J1440" s="87">
        <f>IF($D1440&gt;0,IFERROR(Параметры!$D$42*$H1440/$H$2408,0),0)</f>
        <v>0</v>
      </c>
      <c r="K1440" s="87">
        <f>IFERROR(ROUND($N1440*Параметры!$D$36,2),0)</f>
        <v>0</v>
      </c>
      <c r="L1440" s="87">
        <f t="shared" si="159"/>
        <v>0</v>
      </c>
      <c r="M1440" s="87">
        <f t="shared" si="160"/>
        <v>0</v>
      </c>
      <c r="N1440" s="107" t="str">
        <f t="shared" si="161"/>
        <v/>
      </c>
    </row>
    <row r="1441" spans="2:14" x14ac:dyDescent="0.25">
      <c r="B1441" s="82">
        <f>SUBTOTAL(103,$D$8:D1441)</f>
        <v>1434</v>
      </c>
      <c r="C1441" s="83" t="s">
        <v>1443</v>
      </c>
      <c r="D1441" s="84">
        <v>0</v>
      </c>
      <c r="E1441" s="85" t="str">
        <f t="shared" si="156"/>
        <v/>
      </c>
      <c r="F1441" s="106" t="str">
        <f t="shared" si="162"/>
        <v/>
      </c>
      <c r="G1441" s="86"/>
      <c r="H1441" s="107">
        <f t="shared" si="157"/>
        <v>0</v>
      </c>
      <c r="I1441" s="107">
        <f t="shared" si="158"/>
        <v>0</v>
      </c>
      <c r="J1441" s="87">
        <f>IF($D1441&gt;0,IFERROR(Параметры!$D$42*$H1441/$H$2408,0),0)</f>
        <v>0</v>
      </c>
      <c r="K1441" s="87">
        <f>IFERROR(ROUND($N1441*Параметры!$D$36,2),0)</f>
        <v>0</v>
      </c>
      <c r="L1441" s="87">
        <f t="shared" si="159"/>
        <v>0</v>
      </c>
      <c r="M1441" s="87">
        <f t="shared" si="160"/>
        <v>0</v>
      </c>
      <c r="N1441" s="107" t="str">
        <f t="shared" si="161"/>
        <v/>
      </c>
    </row>
    <row r="1442" spans="2:14" x14ac:dyDescent="0.25">
      <c r="B1442" s="82">
        <f>SUBTOTAL(103,$D$8:D1442)</f>
        <v>1435</v>
      </c>
      <c r="C1442" s="83" t="s">
        <v>1444</v>
      </c>
      <c r="D1442" s="84">
        <v>0</v>
      </c>
      <c r="E1442" s="85" t="str">
        <f t="shared" si="156"/>
        <v/>
      </c>
      <c r="F1442" s="106" t="str">
        <f t="shared" si="162"/>
        <v/>
      </c>
      <c r="G1442" s="86"/>
      <c r="H1442" s="107">
        <f t="shared" si="157"/>
        <v>0</v>
      </c>
      <c r="I1442" s="107">
        <f t="shared" si="158"/>
        <v>0</v>
      </c>
      <c r="J1442" s="87">
        <f>IF($D1442&gt;0,IFERROR(Параметры!$D$42*$H1442/$H$2408,0),0)</f>
        <v>0</v>
      </c>
      <c r="K1442" s="87">
        <f>IFERROR(ROUND($N1442*Параметры!$D$36,2),0)</f>
        <v>0</v>
      </c>
      <c r="L1442" s="87">
        <f t="shared" si="159"/>
        <v>0</v>
      </c>
      <c r="M1442" s="87">
        <f t="shared" si="160"/>
        <v>0</v>
      </c>
      <c r="N1442" s="107" t="str">
        <f t="shared" si="161"/>
        <v/>
      </c>
    </row>
    <row r="1443" spans="2:14" x14ac:dyDescent="0.25">
      <c r="B1443" s="82">
        <f>SUBTOTAL(103,$D$8:D1443)</f>
        <v>1436</v>
      </c>
      <c r="C1443" s="83" t="s">
        <v>1445</v>
      </c>
      <c r="D1443" s="84">
        <v>0</v>
      </c>
      <c r="E1443" s="85" t="str">
        <f t="shared" si="156"/>
        <v/>
      </c>
      <c r="F1443" s="106" t="str">
        <f t="shared" si="162"/>
        <v/>
      </c>
      <c r="G1443" s="86"/>
      <c r="H1443" s="107">
        <f t="shared" si="157"/>
        <v>0</v>
      </c>
      <c r="I1443" s="107">
        <f t="shared" si="158"/>
        <v>0</v>
      </c>
      <c r="J1443" s="87">
        <f>IF($D1443&gt;0,IFERROR(Параметры!$D$42*$H1443/$H$2408,0),0)</f>
        <v>0</v>
      </c>
      <c r="K1443" s="87">
        <f>IFERROR(ROUND($N1443*Параметры!$D$36,2),0)</f>
        <v>0</v>
      </c>
      <c r="L1443" s="87">
        <f t="shared" si="159"/>
        <v>0</v>
      </c>
      <c r="M1443" s="87">
        <f t="shared" si="160"/>
        <v>0</v>
      </c>
      <c r="N1443" s="107" t="str">
        <f t="shared" si="161"/>
        <v/>
      </c>
    </row>
    <row r="1444" spans="2:14" x14ac:dyDescent="0.25">
      <c r="B1444" s="82">
        <f>SUBTOTAL(103,$D$8:D1444)</f>
        <v>1437</v>
      </c>
      <c r="C1444" s="83" t="s">
        <v>1446</v>
      </c>
      <c r="D1444" s="84">
        <v>0</v>
      </c>
      <c r="E1444" s="85" t="str">
        <f t="shared" si="156"/>
        <v/>
      </c>
      <c r="F1444" s="106" t="str">
        <f t="shared" si="162"/>
        <v/>
      </c>
      <c r="G1444" s="86"/>
      <c r="H1444" s="107">
        <f t="shared" si="157"/>
        <v>0</v>
      </c>
      <c r="I1444" s="107">
        <f t="shared" si="158"/>
        <v>0</v>
      </c>
      <c r="J1444" s="87">
        <f>IF($D1444&gt;0,IFERROR(Параметры!$D$42*$H1444/$H$2408,0),0)</f>
        <v>0</v>
      </c>
      <c r="K1444" s="87">
        <f>IFERROR(ROUND($N1444*Параметры!$D$36,2),0)</f>
        <v>0</v>
      </c>
      <c r="L1444" s="87">
        <f t="shared" si="159"/>
        <v>0</v>
      </c>
      <c r="M1444" s="87">
        <f t="shared" si="160"/>
        <v>0</v>
      </c>
      <c r="N1444" s="107" t="str">
        <f t="shared" si="161"/>
        <v/>
      </c>
    </row>
    <row r="1445" spans="2:14" x14ac:dyDescent="0.25">
      <c r="B1445" s="82">
        <f>SUBTOTAL(103,$D$8:D1445)</f>
        <v>1438</v>
      </c>
      <c r="C1445" s="83" t="s">
        <v>1447</v>
      </c>
      <c r="D1445" s="84">
        <v>0</v>
      </c>
      <c r="E1445" s="85" t="str">
        <f t="shared" si="156"/>
        <v/>
      </c>
      <c r="F1445" s="106" t="str">
        <f t="shared" si="162"/>
        <v/>
      </c>
      <c r="G1445" s="86"/>
      <c r="H1445" s="107">
        <f t="shared" si="157"/>
        <v>0</v>
      </c>
      <c r="I1445" s="107">
        <f t="shared" si="158"/>
        <v>0</v>
      </c>
      <c r="J1445" s="87">
        <f>IF($D1445&gt;0,IFERROR(Параметры!$D$42*$H1445/$H$2408,0),0)</f>
        <v>0</v>
      </c>
      <c r="K1445" s="87">
        <f>IFERROR(ROUND($N1445*Параметры!$D$36,2),0)</f>
        <v>0</v>
      </c>
      <c r="L1445" s="87">
        <f t="shared" si="159"/>
        <v>0</v>
      </c>
      <c r="M1445" s="87">
        <f t="shared" si="160"/>
        <v>0</v>
      </c>
      <c r="N1445" s="107" t="str">
        <f t="shared" si="161"/>
        <v/>
      </c>
    </row>
    <row r="1446" spans="2:14" x14ac:dyDescent="0.25">
      <c r="B1446" s="82">
        <f>SUBTOTAL(103,$D$8:D1446)</f>
        <v>1439</v>
      </c>
      <c r="C1446" s="83" t="s">
        <v>1448</v>
      </c>
      <c r="D1446" s="84">
        <v>0</v>
      </c>
      <c r="E1446" s="85" t="str">
        <f t="shared" si="156"/>
        <v/>
      </c>
      <c r="F1446" s="106" t="str">
        <f t="shared" si="162"/>
        <v/>
      </c>
      <c r="G1446" s="86"/>
      <c r="H1446" s="107">
        <f t="shared" si="157"/>
        <v>0</v>
      </c>
      <c r="I1446" s="107">
        <f t="shared" si="158"/>
        <v>0</v>
      </c>
      <c r="J1446" s="87">
        <f>IF($D1446&gt;0,IFERROR(Параметры!$D$42*$H1446/$H$2408,0),0)</f>
        <v>0</v>
      </c>
      <c r="K1446" s="87">
        <f>IFERROR(ROUND($N1446*Параметры!$D$36,2),0)</f>
        <v>0</v>
      </c>
      <c r="L1446" s="87">
        <f t="shared" si="159"/>
        <v>0</v>
      </c>
      <c r="M1446" s="87">
        <f t="shared" si="160"/>
        <v>0</v>
      </c>
      <c r="N1446" s="107" t="str">
        <f t="shared" si="161"/>
        <v/>
      </c>
    </row>
    <row r="1447" spans="2:14" x14ac:dyDescent="0.25">
      <c r="B1447" s="82">
        <f>SUBTOTAL(103,$D$8:D1447)</f>
        <v>1440</v>
      </c>
      <c r="C1447" s="83" t="s">
        <v>1449</v>
      </c>
      <c r="D1447" s="84">
        <v>0</v>
      </c>
      <c r="E1447" s="85" t="str">
        <f t="shared" si="156"/>
        <v/>
      </c>
      <c r="F1447" s="106" t="str">
        <f t="shared" si="162"/>
        <v/>
      </c>
      <c r="G1447" s="86"/>
      <c r="H1447" s="107">
        <f t="shared" si="157"/>
        <v>0</v>
      </c>
      <c r="I1447" s="107">
        <f t="shared" si="158"/>
        <v>0</v>
      </c>
      <c r="J1447" s="87">
        <f>IF($D1447&gt;0,IFERROR(Параметры!$D$42*$H1447/$H$2408,0),0)</f>
        <v>0</v>
      </c>
      <c r="K1447" s="87">
        <f>IFERROR(ROUND($N1447*Параметры!$D$36,2),0)</f>
        <v>0</v>
      </c>
      <c r="L1447" s="87">
        <f t="shared" si="159"/>
        <v>0</v>
      </c>
      <c r="M1447" s="87">
        <f t="shared" si="160"/>
        <v>0</v>
      </c>
      <c r="N1447" s="107" t="str">
        <f t="shared" si="161"/>
        <v/>
      </c>
    </row>
    <row r="1448" spans="2:14" x14ac:dyDescent="0.25">
      <c r="B1448" s="82">
        <f>SUBTOTAL(103,$D$8:D1448)</f>
        <v>1441</v>
      </c>
      <c r="C1448" s="83" t="s">
        <v>1450</v>
      </c>
      <c r="D1448" s="84">
        <f t="array" ref="D1448:D1507">TRANSPOSE('Зарядная карта'!$C$29:$BJ$29)</f>
        <v>0</v>
      </c>
      <c r="E1448" s="85" t="str">
        <f t="shared" si="156"/>
        <v/>
      </c>
      <c r="F1448" s="106" t="str">
        <f t="shared" si="162"/>
        <v/>
      </c>
      <c r="G1448" s="86"/>
      <c r="H1448" s="107">
        <f t="shared" si="157"/>
        <v>0</v>
      </c>
      <c r="I1448" s="107">
        <f t="shared" si="158"/>
        <v>0</v>
      </c>
      <c r="J1448" s="87">
        <f>IF($D1448&gt;0,IFERROR(Параметры!$D$42*$H1448/$H$2408,0),0)</f>
        <v>0</v>
      </c>
      <c r="K1448" s="87">
        <f>IFERROR(ROUND($N1448*Параметры!$D$36,2),0)</f>
        <v>0</v>
      </c>
      <c r="L1448" s="87">
        <f t="shared" si="159"/>
        <v>0</v>
      </c>
      <c r="M1448" s="87">
        <f t="shared" si="160"/>
        <v>0</v>
      </c>
      <c r="N1448" s="107" t="str">
        <f t="shared" si="161"/>
        <v/>
      </c>
    </row>
    <row r="1449" spans="2:14" x14ac:dyDescent="0.25">
      <c r="B1449" s="82">
        <f>SUBTOTAL(103,$D$8:D1449)</f>
        <v>1442</v>
      </c>
      <c r="C1449" s="83" t="s">
        <v>1451</v>
      </c>
      <c r="D1449" s="84">
        <v>0</v>
      </c>
      <c r="E1449" s="85" t="str">
        <f t="shared" si="156"/>
        <v/>
      </c>
      <c r="F1449" s="106" t="str">
        <f t="shared" si="162"/>
        <v/>
      </c>
      <c r="G1449" s="86"/>
      <c r="H1449" s="107">
        <f t="shared" si="157"/>
        <v>0</v>
      </c>
      <c r="I1449" s="107">
        <f t="shared" si="158"/>
        <v>0</v>
      </c>
      <c r="J1449" s="87">
        <f>IF($D1449&gt;0,IFERROR(Параметры!$D$42*$H1449/$H$2408,0),0)</f>
        <v>0</v>
      </c>
      <c r="K1449" s="87">
        <f>IFERROR(ROUND($N1449*Параметры!$D$36,2),0)</f>
        <v>0</v>
      </c>
      <c r="L1449" s="87">
        <f t="shared" si="159"/>
        <v>0</v>
      </c>
      <c r="M1449" s="87">
        <f t="shared" si="160"/>
        <v>0</v>
      </c>
      <c r="N1449" s="107" t="str">
        <f t="shared" si="161"/>
        <v/>
      </c>
    </row>
    <row r="1450" spans="2:14" x14ac:dyDescent="0.25">
      <c r="B1450" s="82">
        <f>SUBTOTAL(103,$D$8:D1450)</f>
        <v>1443</v>
      </c>
      <c r="C1450" s="83" t="s">
        <v>1452</v>
      </c>
      <c r="D1450" s="84">
        <v>0</v>
      </c>
      <c r="E1450" s="85" t="str">
        <f t="shared" si="156"/>
        <v/>
      </c>
      <c r="F1450" s="106" t="str">
        <f t="shared" si="162"/>
        <v/>
      </c>
      <c r="G1450" s="86"/>
      <c r="H1450" s="107">
        <f t="shared" si="157"/>
        <v>0</v>
      </c>
      <c r="I1450" s="107">
        <f t="shared" si="158"/>
        <v>0</v>
      </c>
      <c r="J1450" s="87">
        <f>IF($D1450&gt;0,IFERROR(Параметры!$D$42*$H1450/$H$2408,0),0)</f>
        <v>0</v>
      </c>
      <c r="K1450" s="87">
        <f>IFERROR(ROUND($N1450*Параметры!$D$36,2),0)</f>
        <v>0</v>
      </c>
      <c r="L1450" s="87">
        <f t="shared" si="159"/>
        <v>0</v>
      </c>
      <c r="M1450" s="87">
        <f t="shared" si="160"/>
        <v>0</v>
      </c>
      <c r="N1450" s="107" t="str">
        <f t="shared" si="161"/>
        <v/>
      </c>
    </row>
    <row r="1451" spans="2:14" x14ac:dyDescent="0.25">
      <c r="B1451" s="82">
        <f>SUBTOTAL(103,$D$8:D1451)</f>
        <v>1444</v>
      </c>
      <c r="C1451" s="83" t="s">
        <v>1453</v>
      </c>
      <c r="D1451" s="84">
        <v>0</v>
      </c>
      <c r="E1451" s="85" t="str">
        <f t="shared" si="156"/>
        <v/>
      </c>
      <c r="F1451" s="106" t="str">
        <f t="shared" si="162"/>
        <v/>
      </c>
      <c r="G1451" s="86"/>
      <c r="H1451" s="107">
        <f t="shared" si="157"/>
        <v>0</v>
      </c>
      <c r="I1451" s="107">
        <f t="shared" si="158"/>
        <v>0</v>
      </c>
      <c r="J1451" s="87">
        <f>IF($D1451&gt;0,IFERROR(Параметры!$D$42*$H1451/$H$2408,0),0)</f>
        <v>0</v>
      </c>
      <c r="K1451" s="87">
        <f>IFERROR(ROUND($N1451*Параметры!$D$36,2),0)</f>
        <v>0</v>
      </c>
      <c r="L1451" s="87">
        <f t="shared" si="159"/>
        <v>0</v>
      </c>
      <c r="M1451" s="87">
        <f t="shared" si="160"/>
        <v>0</v>
      </c>
      <c r="N1451" s="107" t="str">
        <f t="shared" si="161"/>
        <v/>
      </c>
    </row>
    <row r="1452" spans="2:14" x14ac:dyDescent="0.25">
      <c r="B1452" s="82">
        <f>SUBTOTAL(103,$D$8:D1452)</f>
        <v>1445</v>
      </c>
      <c r="C1452" s="83" t="s">
        <v>1454</v>
      </c>
      <c r="D1452" s="84">
        <v>0</v>
      </c>
      <c r="E1452" s="85" t="str">
        <f t="shared" si="156"/>
        <v/>
      </c>
      <c r="F1452" s="106" t="str">
        <f t="shared" si="162"/>
        <v/>
      </c>
      <c r="G1452" s="86"/>
      <c r="H1452" s="107">
        <f t="shared" si="157"/>
        <v>0</v>
      </c>
      <c r="I1452" s="107">
        <f t="shared" si="158"/>
        <v>0</v>
      </c>
      <c r="J1452" s="87">
        <f>IF($D1452&gt;0,IFERROR(Параметры!$D$42*$H1452/$H$2408,0),0)</f>
        <v>0</v>
      </c>
      <c r="K1452" s="87">
        <f>IFERROR(ROUND($N1452*Параметры!$D$36,2),0)</f>
        <v>0</v>
      </c>
      <c r="L1452" s="87">
        <f t="shared" si="159"/>
        <v>0</v>
      </c>
      <c r="M1452" s="87">
        <f t="shared" si="160"/>
        <v>0</v>
      </c>
      <c r="N1452" s="107" t="str">
        <f t="shared" si="161"/>
        <v/>
      </c>
    </row>
    <row r="1453" spans="2:14" x14ac:dyDescent="0.25">
      <c r="B1453" s="82">
        <f>SUBTOTAL(103,$D$8:D1453)</f>
        <v>1446</v>
      </c>
      <c r="C1453" s="83" t="s">
        <v>1455</v>
      </c>
      <c r="D1453" s="84">
        <v>0</v>
      </c>
      <c r="E1453" s="85" t="str">
        <f t="shared" si="156"/>
        <v/>
      </c>
      <c r="F1453" s="106" t="str">
        <f t="shared" si="162"/>
        <v/>
      </c>
      <c r="G1453" s="86"/>
      <c r="H1453" s="107">
        <f t="shared" si="157"/>
        <v>0</v>
      </c>
      <c r="I1453" s="107">
        <f t="shared" si="158"/>
        <v>0</v>
      </c>
      <c r="J1453" s="87">
        <f>IF($D1453&gt;0,IFERROR(Параметры!$D$42*$H1453/$H$2408,0),0)</f>
        <v>0</v>
      </c>
      <c r="K1453" s="87">
        <f>IFERROR(ROUND($N1453*Параметры!$D$36,2),0)</f>
        <v>0</v>
      </c>
      <c r="L1453" s="87">
        <f t="shared" si="159"/>
        <v>0</v>
      </c>
      <c r="M1453" s="87">
        <f t="shared" si="160"/>
        <v>0</v>
      </c>
      <c r="N1453" s="107" t="str">
        <f t="shared" si="161"/>
        <v/>
      </c>
    </row>
    <row r="1454" spans="2:14" x14ac:dyDescent="0.25">
      <c r="B1454" s="82">
        <f>SUBTOTAL(103,$D$8:D1454)</f>
        <v>1447</v>
      </c>
      <c r="C1454" s="83" t="s">
        <v>1456</v>
      </c>
      <c r="D1454" s="84">
        <v>0</v>
      </c>
      <c r="E1454" s="85" t="str">
        <f t="shared" si="156"/>
        <v/>
      </c>
      <c r="F1454" s="106" t="str">
        <f t="shared" si="162"/>
        <v/>
      </c>
      <c r="G1454" s="86"/>
      <c r="H1454" s="107">
        <f t="shared" si="157"/>
        <v>0</v>
      </c>
      <c r="I1454" s="107">
        <f t="shared" si="158"/>
        <v>0</v>
      </c>
      <c r="J1454" s="87">
        <f>IF($D1454&gt;0,IFERROR(Параметры!$D$42*$H1454/$H$2408,0),0)</f>
        <v>0</v>
      </c>
      <c r="K1454" s="87">
        <f>IFERROR(ROUND($N1454*Параметры!$D$36,2),0)</f>
        <v>0</v>
      </c>
      <c r="L1454" s="87">
        <f t="shared" si="159"/>
        <v>0</v>
      </c>
      <c r="M1454" s="87">
        <f t="shared" si="160"/>
        <v>0</v>
      </c>
      <c r="N1454" s="107" t="str">
        <f t="shared" si="161"/>
        <v/>
      </c>
    </row>
    <row r="1455" spans="2:14" x14ac:dyDescent="0.25">
      <c r="B1455" s="82">
        <f>SUBTOTAL(103,$D$8:D1455)</f>
        <v>1448</v>
      </c>
      <c r="C1455" s="83" t="s">
        <v>1457</v>
      </c>
      <c r="D1455" s="84">
        <v>0</v>
      </c>
      <c r="E1455" s="85" t="str">
        <f t="shared" si="156"/>
        <v/>
      </c>
      <c r="F1455" s="106" t="str">
        <f t="shared" si="162"/>
        <v/>
      </c>
      <c r="G1455" s="86"/>
      <c r="H1455" s="107">
        <f t="shared" si="157"/>
        <v>0</v>
      </c>
      <c r="I1455" s="107">
        <f t="shared" si="158"/>
        <v>0</v>
      </c>
      <c r="J1455" s="87">
        <f>IF($D1455&gt;0,IFERROR(Параметры!$D$42*$H1455/$H$2408,0),0)</f>
        <v>0</v>
      </c>
      <c r="K1455" s="87">
        <f>IFERROR(ROUND($N1455*Параметры!$D$36,2),0)</f>
        <v>0</v>
      </c>
      <c r="L1455" s="87">
        <f t="shared" si="159"/>
        <v>0</v>
      </c>
      <c r="M1455" s="87">
        <f t="shared" si="160"/>
        <v>0</v>
      </c>
      <c r="N1455" s="107" t="str">
        <f t="shared" si="161"/>
        <v/>
      </c>
    </row>
    <row r="1456" spans="2:14" x14ac:dyDescent="0.25">
      <c r="B1456" s="82">
        <f>SUBTOTAL(103,$D$8:D1456)</f>
        <v>1449</v>
      </c>
      <c r="C1456" s="83" t="s">
        <v>1458</v>
      </c>
      <c r="D1456" s="84">
        <v>0</v>
      </c>
      <c r="E1456" s="85" t="str">
        <f t="shared" si="156"/>
        <v/>
      </c>
      <c r="F1456" s="106" t="str">
        <f t="shared" si="162"/>
        <v/>
      </c>
      <c r="G1456" s="86"/>
      <c r="H1456" s="107">
        <f t="shared" si="157"/>
        <v>0</v>
      </c>
      <c r="I1456" s="107">
        <f t="shared" si="158"/>
        <v>0</v>
      </c>
      <c r="J1456" s="87">
        <f>IF($D1456&gt;0,IFERROR(Параметры!$D$42*$H1456/$H$2408,0),0)</f>
        <v>0</v>
      </c>
      <c r="K1456" s="87">
        <f>IFERROR(ROUND($N1456*Параметры!$D$36,2),0)</f>
        <v>0</v>
      </c>
      <c r="L1456" s="87">
        <f t="shared" si="159"/>
        <v>0</v>
      </c>
      <c r="M1456" s="87">
        <f t="shared" si="160"/>
        <v>0</v>
      </c>
      <c r="N1456" s="107" t="str">
        <f t="shared" si="161"/>
        <v/>
      </c>
    </row>
    <row r="1457" spans="2:14" x14ac:dyDescent="0.25">
      <c r="B1457" s="82">
        <f>SUBTOTAL(103,$D$8:D1457)</f>
        <v>1450</v>
      </c>
      <c r="C1457" s="83" t="s">
        <v>1459</v>
      </c>
      <c r="D1457" s="84">
        <v>0</v>
      </c>
      <c r="E1457" s="85" t="str">
        <f t="shared" si="156"/>
        <v/>
      </c>
      <c r="F1457" s="106" t="str">
        <f t="shared" si="162"/>
        <v/>
      </c>
      <c r="G1457" s="86"/>
      <c r="H1457" s="107">
        <f t="shared" si="157"/>
        <v>0</v>
      </c>
      <c r="I1457" s="107">
        <f t="shared" si="158"/>
        <v>0</v>
      </c>
      <c r="J1457" s="87">
        <f>IF($D1457&gt;0,IFERROR(Параметры!$D$42*$H1457/$H$2408,0),0)</f>
        <v>0</v>
      </c>
      <c r="K1457" s="87">
        <f>IFERROR(ROUND($N1457*Параметры!$D$36,2),0)</f>
        <v>0</v>
      </c>
      <c r="L1457" s="87">
        <f t="shared" si="159"/>
        <v>0</v>
      </c>
      <c r="M1457" s="87">
        <f t="shared" si="160"/>
        <v>0</v>
      </c>
      <c r="N1457" s="107" t="str">
        <f t="shared" si="161"/>
        <v/>
      </c>
    </row>
    <row r="1458" spans="2:14" x14ac:dyDescent="0.25">
      <c r="B1458" s="82">
        <f>SUBTOTAL(103,$D$8:D1458)</f>
        <v>1451</v>
      </c>
      <c r="C1458" s="83" t="s">
        <v>1460</v>
      </c>
      <c r="D1458" s="84">
        <v>0</v>
      </c>
      <c r="E1458" s="85" t="str">
        <f t="shared" si="156"/>
        <v/>
      </c>
      <c r="F1458" s="106" t="str">
        <f t="shared" si="162"/>
        <v/>
      </c>
      <c r="G1458" s="86"/>
      <c r="H1458" s="107">
        <f t="shared" si="157"/>
        <v>0</v>
      </c>
      <c r="I1458" s="107">
        <f t="shared" si="158"/>
        <v>0</v>
      </c>
      <c r="J1458" s="87">
        <f>IF($D1458&gt;0,IFERROR(Параметры!$D$42*$H1458/$H$2408,0),0)</f>
        <v>0</v>
      </c>
      <c r="K1458" s="87">
        <f>IFERROR(ROUND($N1458*Параметры!$D$36,2),0)</f>
        <v>0</v>
      </c>
      <c r="L1458" s="87">
        <f t="shared" si="159"/>
        <v>0</v>
      </c>
      <c r="M1458" s="87">
        <f t="shared" si="160"/>
        <v>0</v>
      </c>
      <c r="N1458" s="107" t="str">
        <f t="shared" si="161"/>
        <v/>
      </c>
    </row>
    <row r="1459" spans="2:14" x14ac:dyDescent="0.25">
      <c r="B1459" s="82">
        <f>SUBTOTAL(103,$D$8:D1459)</f>
        <v>1452</v>
      </c>
      <c r="C1459" s="83" t="s">
        <v>1461</v>
      </c>
      <c r="D1459" s="84">
        <v>0</v>
      </c>
      <c r="E1459" s="85" t="str">
        <f t="shared" si="156"/>
        <v/>
      </c>
      <c r="F1459" s="106" t="str">
        <f t="shared" si="162"/>
        <v/>
      </c>
      <c r="G1459" s="86"/>
      <c r="H1459" s="107">
        <f t="shared" si="157"/>
        <v>0</v>
      </c>
      <c r="I1459" s="107">
        <f t="shared" si="158"/>
        <v>0</v>
      </c>
      <c r="J1459" s="87">
        <f>IF($D1459&gt;0,IFERROR(Параметры!$D$42*$H1459/$H$2408,0),0)</f>
        <v>0</v>
      </c>
      <c r="K1459" s="87">
        <f>IFERROR(ROUND($N1459*Параметры!$D$36,2),0)</f>
        <v>0</v>
      </c>
      <c r="L1459" s="87">
        <f t="shared" si="159"/>
        <v>0</v>
      </c>
      <c r="M1459" s="87">
        <f t="shared" si="160"/>
        <v>0</v>
      </c>
      <c r="N1459" s="107" t="str">
        <f t="shared" si="161"/>
        <v/>
      </c>
    </row>
    <row r="1460" spans="2:14" x14ac:dyDescent="0.25">
      <c r="B1460" s="82">
        <f>SUBTOTAL(103,$D$8:D1460)</f>
        <v>1453</v>
      </c>
      <c r="C1460" s="83" t="s">
        <v>1462</v>
      </c>
      <c r="D1460" s="84">
        <v>0</v>
      </c>
      <c r="E1460" s="85" t="str">
        <f t="shared" si="156"/>
        <v/>
      </c>
      <c r="F1460" s="106" t="str">
        <f t="shared" si="162"/>
        <v/>
      </c>
      <c r="G1460" s="86"/>
      <c r="H1460" s="107">
        <f t="shared" si="157"/>
        <v>0</v>
      </c>
      <c r="I1460" s="107">
        <f t="shared" si="158"/>
        <v>0</v>
      </c>
      <c r="J1460" s="87">
        <f>IF($D1460&gt;0,IFERROR(Параметры!$D$42*$H1460/$H$2408,0),0)</f>
        <v>0</v>
      </c>
      <c r="K1460" s="87">
        <f>IFERROR(ROUND($N1460*Параметры!$D$36,2),0)</f>
        <v>0</v>
      </c>
      <c r="L1460" s="87">
        <f t="shared" si="159"/>
        <v>0</v>
      </c>
      <c r="M1460" s="87">
        <f t="shared" si="160"/>
        <v>0</v>
      </c>
      <c r="N1460" s="107" t="str">
        <f t="shared" si="161"/>
        <v/>
      </c>
    </row>
    <row r="1461" spans="2:14" x14ac:dyDescent="0.25">
      <c r="B1461" s="82">
        <f>SUBTOTAL(103,$D$8:D1461)</f>
        <v>1454</v>
      </c>
      <c r="C1461" s="83" t="s">
        <v>1463</v>
      </c>
      <c r="D1461" s="84">
        <v>0</v>
      </c>
      <c r="E1461" s="85" t="str">
        <f t="shared" si="156"/>
        <v/>
      </c>
      <c r="F1461" s="106" t="str">
        <f t="shared" si="162"/>
        <v/>
      </c>
      <c r="G1461" s="86"/>
      <c r="H1461" s="107">
        <f t="shared" si="157"/>
        <v>0</v>
      </c>
      <c r="I1461" s="107">
        <f t="shared" si="158"/>
        <v>0</v>
      </c>
      <c r="J1461" s="87">
        <f>IF($D1461&gt;0,IFERROR(Параметры!$D$42*$H1461/$H$2408,0),0)</f>
        <v>0</v>
      </c>
      <c r="K1461" s="87">
        <f>IFERROR(ROUND($N1461*Параметры!$D$36,2),0)</f>
        <v>0</v>
      </c>
      <c r="L1461" s="87">
        <f t="shared" si="159"/>
        <v>0</v>
      </c>
      <c r="M1461" s="87">
        <f t="shared" si="160"/>
        <v>0</v>
      </c>
      <c r="N1461" s="107" t="str">
        <f t="shared" si="161"/>
        <v/>
      </c>
    </row>
    <row r="1462" spans="2:14" x14ac:dyDescent="0.25">
      <c r="B1462" s="82">
        <f>SUBTOTAL(103,$D$8:D1462)</f>
        <v>1455</v>
      </c>
      <c r="C1462" s="83" t="s">
        <v>1464</v>
      </c>
      <c r="D1462" s="84">
        <v>0</v>
      </c>
      <c r="E1462" s="85" t="str">
        <f t="shared" si="156"/>
        <v/>
      </c>
      <c r="F1462" s="106" t="str">
        <f t="shared" si="162"/>
        <v/>
      </c>
      <c r="G1462" s="86"/>
      <c r="H1462" s="107">
        <f t="shared" si="157"/>
        <v>0</v>
      </c>
      <c r="I1462" s="107">
        <f t="shared" si="158"/>
        <v>0</v>
      </c>
      <c r="J1462" s="87">
        <f>IF($D1462&gt;0,IFERROR(Параметры!$D$42*$H1462/$H$2408,0),0)</f>
        <v>0</v>
      </c>
      <c r="K1462" s="87">
        <f>IFERROR(ROUND($N1462*Параметры!$D$36,2),0)</f>
        <v>0</v>
      </c>
      <c r="L1462" s="87">
        <f t="shared" si="159"/>
        <v>0</v>
      </c>
      <c r="M1462" s="87">
        <f t="shared" si="160"/>
        <v>0</v>
      </c>
      <c r="N1462" s="107" t="str">
        <f t="shared" si="161"/>
        <v/>
      </c>
    </row>
    <row r="1463" spans="2:14" x14ac:dyDescent="0.25">
      <c r="B1463" s="82">
        <f>SUBTOTAL(103,$D$8:D1463)</f>
        <v>1456</v>
      </c>
      <c r="C1463" s="83" t="s">
        <v>1465</v>
      </c>
      <c r="D1463" s="84">
        <v>0</v>
      </c>
      <c r="E1463" s="85" t="str">
        <f t="shared" si="156"/>
        <v/>
      </c>
      <c r="F1463" s="106" t="str">
        <f t="shared" si="162"/>
        <v/>
      </c>
      <c r="G1463" s="86"/>
      <c r="H1463" s="107">
        <f t="shared" si="157"/>
        <v>0</v>
      </c>
      <c r="I1463" s="107">
        <f t="shared" si="158"/>
        <v>0</v>
      </c>
      <c r="J1463" s="87">
        <f>IF($D1463&gt;0,IFERROR(Параметры!$D$42*$H1463/$H$2408,0),0)</f>
        <v>0</v>
      </c>
      <c r="K1463" s="87">
        <f>IFERROR(ROUND($N1463*Параметры!$D$36,2),0)</f>
        <v>0</v>
      </c>
      <c r="L1463" s="87">
        <f t="shared" si="159"/>
        <v>0</v>
      </c>
      <c r="M1463" s="87">
        <f t="shared" si="160"/>
        <v>0</v>
      </c>
      <c r="N1463" s="107" t="str">
        <f t="shared" si="161"/>
        <v/>
      </c>
    </row>
    <row r="1464" spans="2:14" x14ac:dyDescent="0.25">
      <c r="B1464" s="82">
        <f>SUBTOTAL(103,$D$8:D1464)</f>
        <v>1457</v>
      </c>
      <c r="C1464" s="83" t="s">
        <v>1466</v>
      </c>
      <c r="D1464" s="84">
        <v>0</v>
      </c>
      <c r="E1464" s="85" t="str">
        <f t="shared" si="156"/>
        <v/>
      </c>
      <c r="F1464" s="106" t="str">
        <f t="shared" si="162"/>
        <v/>
      </c>
      <c r="G1464" s="86"/>
      <c r="H1464" s="107">
        <f t="shared" si="157"/>
        <v>0</v>
      </c>
      <c r="I1464" s="107">
        <f t="shared" si="158"/>
        <v>0</v>
      </c>
      <c r="J1464" s="87">
        <f>IF($D1464&gt;0,IFERROR(Параметры!$D$42*$H1464/$H$2408,0),0)</f>
        <v>0</v>
      </c>
      <c r="K1464" s="87">
        <f>IFERROR(ROUND($N1464*Параметры!$D$36,2),0)</f>
        <v>0</v>
      </c>
      <c r="L1464" s="87">
        <f t="shared" si="159"/>
        <v>0</v>
      </c>
      <c r="M1464" s="87">
        <f t="shared" si="160"/>
        <v>0</v>
      </c>
      <c r="N1464" s="107" t="str">
        <f t="shared" si="161"/>
        <v/>
      </c>
    </row>
    <row r="1465" spans="2:14" x14ac:dyDescent="0.25">
      <c r="B1465" s="82">
        <f>SUBTOTAL(103,$D$8:D1465)</f>
        <v>1458</v>
      </c>
      <c r="C1465" s="83" t="s">
        <v>1467</v>
      </c>
      <c r="D1465" s="84">
        <v>0</v>
      </c>
      <c r="E1465" s="85" t="str">
        <f t="shared" si="156"/>
        <v/>
      </c>
      <c r="F1465" s="106" t="str">
        <f t="shared" si="162"/>
        <v/>
      </c>
      <c r="G1465" s="86"/>
      <c r="H1465" s="107">
        <f t="shared" si="157"/>
        <v>0</v>
      </c>
      <c r="I1465" s="107">
        <f t="shared" si="158"/>
        <v>0</v>
      </c>
      <c r="J1465" s="87">
        <f>IF($D1465&gt;0,IFERROR(Параметры!$D$42*$H1465/$H$2408,0),0)</f>
        <v>0</v>
      </c>
      <c r="K1465" s="87">
        <f>IFERROR(ROUND($N1465*Параметры!$D$36,2),0)</f>
        <v>0</v>
      </c>
      <c r="L1465" s="87">
        <f t="shared" si="159"/>
        <v>0</v>
      </c>
      <c r="M1465" s="87">
        <f t="shared" si="160"/>
        <v>0</v>
      </c>
      <c r="N1465" s="107" t="str">
        <f t="shared" si="161"/>
        <v/>
      </c>
    </row>
    <row r="1466" spans="2:14" x14ac:dyDescent="0.25">
      <c r="B1466" s="82">
        <f>SUBTOTAL(103,$D$8:D1466)</f>
        <v>1459</v>
      </c>
      <c r="C1466" s="83" t="s">
        <v>1468</v>
      </c>
      <c r="D1466" s="84">
        <v>0</v>
      </c>
      <c r="E1466" s="85" t="str">
        <f t="shared" si="156"/>
        <v/>
      </c>
      <c r="F1466" s="106" t="str">
        <f t="shared" si="162"/>
        <v/>
      </c>
      <c r="G1466" s="86"/>
      <c r="H1466" s="107">
        <f t="shared" si="157"/>
        <v>0</v>
      </c>
      <c r="I1466" s="107">
        <f t="shared" si="158"/>
        <v>0</v>
      </c>
      <c r="J1466" s="87">
        <f>IF($D1466&gt;0,IFERROR(Параметры!$D$42*$H1466/$H$2408,0),0)</f>
        <v>0</v>
      </c>
      <c r="K1466" s="87">
        <f>IFERROR(ROUND($N1466*Параметры!$D$36,2),0)</f>
        <v>0</v>
      </c>
      <c r="L1466" s="87">
        <f t="shared" si="159"/>
        <v>0</v>
      </c>
      <c r="M1466" s="87">
        <f t="shared" si="160"/>
        <v>0</v>
      </c>
      <c r="N1466" s="107" t="str">
        <f t="shared" si="161"/>
        <v/>
      </c>
    </row>
    <row r="1467" spans="2:14" x14ac:dyDescent="0.25">
      <c r="B1467" s="82">
        <f>SUBTOTAL(103,$D$8:D1467)</f>
        <v>1460</v>
      </c>
      <c r="C1467" s="83" t="s">
        <v>1469</v>
      </c>
      <c r="D1467" s="84">
        <v>0</v>
      </c>
      <c r="E1467" s="85" t="str">
        <f t="shared" si="156"/>
        <v/>
      </c>
      <c r="F1467" s="106" t="str">
        <f t="shared" si="162"/>
        <v/>
      </c>
      <c r="G1467" s="86"/>
      <c r="H1467" s="107">
        <f t="shared" si="157"/>
        <v>0</v>
      </c>
      <c r="I1467" s="107">
        <f t="shared" si="158"/>
        <v>0</v>
      </c>
      <c r="J1467" s="87">
        <f>IF($D1467&gt;0,IFERROR(Параметры!$D$42*$H1467/$H$2408,0),0)</f>
        <v>0</v>
      </c>
      <c r="K1467" s="87">
        <f>IFERROR(ROUND($N1467*Параметры!$D$36,2),0)</f>
        <v>0</v>
      </c>
      <c r="L1467" s="87">
        <f t="shared" si="159"/>
        <v>0</v>
      </c>
      <c r="M1467" s="87">
        <f t="shared" si="160"/>
        <v>0</v>
      </c>
      <c r="N1467" s="107" t="str">
        <f t="shared" si="161"/>
        <v/>
      </c>
    </row>
    <row r="1468" spans="2:14" x14ac:dyDescent="0.25">
      <c r="B1468" s="82">
        <f>SUBTOTAL(103,$D$8:D1468)</f>
        <v>1461</v>
      </c>
      <c r="C1468" s="83" t="s">
        <v>1470</v>
      </c>
      <c r="D1468" s="84">
        <v>0</v>
      </c>
      <c r="E1468" s="85" t="str">
        <f t="shared" si="156"/>
        <v/>
      </c>
      <c r="F1468" s="106" t="str">
        <f t="shared" si="162"/>
        <v/>
      </c>
      <c r="G1468" s="86"/>
      <c r="H1468" s="107">
        <f t="shared" si="157"/>
        <v>0</v>
      </c>
      <c r="I1468" s="107">
        <f t="shared" si="158"/>
        <v>0</v>
      </c>
      <c r="J1468" s="87">
        <f>IF($D1468&gt;0,IFERROR(Параметры!$D$42*$H1468/$H$2408,0),0)</f>
        <v>0</v>
      </c>
      <c r="K1468" s="87">
        <f>IFERROR(ROUND($N1468*Параметры!$D$36,2),0)</f>
        <v>0</v>
      </c>
      <c r="L1468" s="87">
        <f t="shared" si="159"/>
        <v>0</v>
      </c>
      <c r="M1468" s="87">
        <f t="shared" si="160"/>
        <v>0</v>
      </c>
      <c r="N1468" s="107" t="str">
        <f t="shared" si="161"/>
        <v/>
      </c>
    </row>
    <row r="1469" spans="2:14" x14ac:dyDescent="0.25">
      <c r="B1469" s="82">
        <f>SUBTOTAL(103,$D$8:D1469)</f>
        <v>1462</v>
      </c>
      <c r="C1469" s="83" t="s">
        <v>1471</v>
      </c>
      <c r="D1469" s="84">
        <v>0</v>
      </c>
      <c r="E1469" s="85" t="str">
        <f t="shared" si="156"/>
        <v/>
      </c>
      <c r="F1469" s="106" t="str">
        <f t="shared" si="162"/>
        <v/>
      </c>
      <c r="G1469" s="86"/>
      <c r="H1469" s="107">
        <f t="shared" si="157"/>
        <v>0</v>
      </c>
      <c r="I1469" s="107">
        <f t="shared" si="158"/>
        <v>0</v>
      </c>
      <c r="J1469" s="87">
        <f>IF($D1469&gt;0,IFERROR(Параметры!$D$42*$H1469/$H$2408,0),0)</f>
        <v>0</v>
      </c>
      <c r="K1469" s="87">
        <f>IFERROR(ROUND($N1469*Параметры!$D$36,2),0)</f>
        <v>0</v>
      </c>
      <c r="L1469" s="87">
        <f t="shared" si="159"/>
        <v>0</v>
      </c>
      <c r="M1469" s="87">
        <f t="shared" si="160"/>
        <v>0</v>
      </c>
      <c r="N1469" s="107" t="str">
        <f t="shared" si="161"/>
        <v/>
      </c>
    </row>
    <row r="1470" spans="2:14" x14ac:dyDescent="0.25">
      <c r="B1470" s="82">
        <f>SUBTOTAL(103,$D$8:D1470)</f>
        <v>1463</v>
      </c>
      <c r="C1470" s="83" t="s">
        <v>1472</v>
      </c>
      <c r="D1470" s="84">
        <v>0</v>
      </c>
      <c r="E1470" s="85" t="str">
        <f t="shared" si="156"/>
        <v/>
      </c>
      <c r="F1470" s="106" t="str">
        <f t="shared" si="162"/>
        <v/>
      </c>
      <c r="G1470" s="86"/>
      <c r="H1470" s="107">
        <f t="shared" si="157"/>
        <v>0</v>
      </c>
      <c r="I1470" s="107">
        <f t="shared" si="158"/>
        <v>0</v>
      </c>
      <c r="J1470" s="87">
        <f>IF($D1470&gt;0,IFERROR(Параметры!$D$42*$H1470/$H$2408,0),0)</f>
        <v>0</v>
      </c>
      <c r="K1470" s="87">
        <f>IFERROR(ROUND($N1470*Параметры!$D$36,2),0)</f>
        <v>0</v>
      </c>
      <c r="L1470" s="87">
        <f t="shared" si="159"/>
        <v>0</v>
      </c>
      <c r="M1470" s="87">
        <f t="shared" si="160"/>
        <v>0</v>
      </c>
      <c r="N1470" s="107" t="str">
        <f t="shared" si="161"/>
        <v/>
      </c>
    </row>
    <row r="1471" spans="2:14" x14ac:dyDescent="0.25">
      <c r="B1471" s="82">
        <f>SUBTOTAL(103,$D$8:D1471)</f>
        <v>1464</v>
      </c>
      <c r="C1471" s="83" t="s">
        <v>1473</v>
      </c>
      <c r="D1471" s="84">
        <v>0</v>
      </c>
      <c r="E1471" s="85" t="str">
        <f t="shared" si="156"/>
        <v/>
      </c>
      <c r="F1471" s="106" t="str">
        <f t="shared" si="162"/>
        <v/>
      </c>
      <c r="G1471" s="86"/>
      <c r="H1471" s="107">
        <f t="shared" si="157"/>
        <v>0</v>
      </c>
      <c r="I1471" s="107">
        <f t="shared" si="158"/>
        <v>0</v>
      </c>
      <c r="J1471" s="87">
        <f>IF($D1471&gt;0,IFERROR(Параметры!$D$42*$H1471/$H$2408,0),0)</f>
        <v>0</v>
      </c>
      <c r="K1471" s="87">
        <f>IFERROR(ROUND($N1471*Параметры!$D$36,2),0)</f>
        <v>0</v>
      </c>
      <c r="L1471" s="87">
        <f t="shared" si="159"/>
        <v>0</v>
      </c>
      <c r="M1471" s="87">
        <f t="shared" si="160"/>
        <v>0</v>
      </c>
      <c r="N1471" s="107" t="str">
        <f t="shared" si="161"/>
        <v/>
      </c>
    </row>
    <row r="1472" spans="2:14" x14ac:dyDescent="0.25">
      <c r="B1472" s="82">
        <f>SUBTOTAL(103,$D$8:D1472)</f>
        <v>1465</v>
      </c>
      <c r="C1472" s="83" t="s">
        <v>1467</v>
      </c>
      <c r="D1472" s="84">
        <v>0</v>
      </c>
      <c r="E1472" s="85" t="str">
        <f t="shared" si="156"/>
        <v/>
      </c>
      <c r="F1472" s="106" t="str">
        <f t="shared" si="162"/>
        <v/>
      </c>
      <c r="G1472" s="86"/>
      <c r="H1472" s="107">
        <f t="shared" si="157"/>
        <v>0</v>
      </c>
      <c r="I1472" s="107">
        <f t="shared" si="158"/>
        <v>0</v>
      </c>
      <c r="J1472" s="87">
        <f>IF($D1472&gt;0,IFERROR(Параметры!$D$42*$H1472/$H$2408,0),0)</f>
        <v>0</v>
      </c>
      <c r="K1472" s="87">
        <f>IFERROR(ROUND($N1472*Параметры!$D$36,2),0)</f>
        <v>0</v>
      </c>
      <c r="L1472" s="87">
        <f t="shared" si="159"/>
        <v>0</v>
      </c>
      <c r="M1472" s="87">
        <f t="shared" si="160"/>
        <v>0</v>
      </c>
      <c r="N1472" s="107" t="str">
        <f t="shared" si="161"/>
        <v/>
      </c>
    </row>
    <row r="1473" spans="2:14" x14ac:dyDescent="0.25">
      <c r="B1473" s="82">
        <f>SUBTOTAL(103,$D$8:D1473)</f>
        <v>1466</v>
      </c>
      <c r="C1473" s="83" t="s">
        <v>1474</v>
      </c>
      <c r="D1473" s="84">
        <v>0</v>
      </c>
      <c r="E1473" s="85" t="str">
        <f t="shared" si="156"/>
        <v/>
      </c>
      <c r="F1473" s="106" t="str">
        <f t="shared" si="162"/>
        <v/>
      </c>
      <c r="G1473" s="86"/>
      <c r="H1473" s="107">
        <f t="shared" si="157"/>
        <v>0</v>
      </c>
      <c r="I1473" s="107">
        <f t="shared" si="158"/>
        <v>0</v>
      </c>
      <c r="J1473" s="87">
        <f>IF($D1473&gt;0,IFERROR(Параметры!$D$42*$H1473/$H$2408,0),0)</f>
        <v>0</v>
      </c>
      <c r="K1473" s="87">
        <f>IFERROR(ROUND($N1473*Параметры!$D$36,2),0)</f>
        <v>0</v>
      </c>
      <c r="L1473" s="87">
        <f t="shared" si="159"/>
        <v>0</v>
      </c>
      <c r="M1473" s="87">
        <f t="shared" si="160"/>
        <v>0</v>
      </c>
      <c r="N1473" s="107" t="str">
        <f t="shared" si="161"/>
        <v/>
      </c>
    </row>
    <row r="1474" spans="2:14" x14ac:dyDescent="0.25">
      <c r="B1474" s="82">
        <f>SUBTOTAL(103,$D$8:D1474)</f>
        <v>1467</v>
      </c>
      <c r="C1474" s="83" t="s">
        <v>1475</v>
      </c>
      <c r="D1474" s="84">
        <v>0</v>
      </c>
      <c r="E1474" s="85" t="str">
        <f t="shared" si="156"/>
        <v/>
      </c>
      <c r="F1474" s="106" t="str">
        <f t="shared" si="162"/>
        <v/>
      </c>
      <c r="G1474" s="86"/>
      <c r="H1474" s="107">
        <f t="shared" si="157"/>
        <v>0</v>
      </c>
      <c r="I1474" s="107">
        <f t="shared" si="158"/>
        <v>0</v>
      </c>
      <c r="J1474" s="87">
        <f>IF($D1474&gt;0,IFERROR(Параметры!$D$42*$H1474/$H$2408,0),0)</f>
        <v>0</v>
      </c>
      <c r="K1474" s="87">
        <f>IFERROR(ROUND($N1474*Параметры!$D$36,2),0)</f>
        <v>0</v>
      </c>
      <c r="L1474" s="87">
        <f t="shared" si="159"/>
        <v>0</v>
      </c>
      <c r="M1474" s="87">
        <f t="shared" si="160"/>
        <v>0</v>
      </c>
      <c r="N1474" s="107" t="str">
        <f t="shared" si="161"/>
        <v/>
      </c>
    </row>
    <row r="1475" spans="2:14" x14ac:dyDescent="0.25">
      <c r="B1475" s="82">
        <f>SUBTOTAL(103,$D$8:D1475)</f>
        <v>1468</v>
      </c>
      <c r="C1475" s="83" t="s">
        <v>1476</v>
      </c>
      <c r="D1475" s="84">
        <v>0</v>
      </c>
      <c r="E1475" s="85" t="str">
        <f t="shared" si="156"/>
        <v/>
      </c>
      <c r="F1475" s="106" t="str">
        <f t="shared" si="162"/>
        <v/>
      </c>
      <c r="G1475" s="86"/>
      <c r="H1475" s="107">
        <f t="shared" si="157"/>
        <v>0</v>
      </c>
      <c r="I1475" s="107">
        <f t="shared" si="158"/>
        <v>0</v>
      </c>
      <c r="J1475" s="87">
        <f>IF($D1475&gt;0,IFERROR(Параметры!$D$42*$H1475/$H$2408,0),0)</f>
        <v>0</v>
      </c>
      <c r="K1475" s="87">
        <f>IFERROR(ROUND($N1475*Параметры!$D$36,2),0)</f>
        <v>0</v>
      </c>
      <c r="L1475" s="87">
        <f t="shared" si="159"/>
        <v>0</v>
      </c>
      <c r="M1475" s="87">
        <f t="shared" si="160"/>
        <v>0</v>
      </c>
      <c r="N1475" s="107" t="str">
        <f t="shared" si="161"/>
        <v/>
      </c>
    </row>
    <row r="1476" spans="2:14" x14ac:dyDescent="0.25">
      <c r="B1476" s="82">
        <f>SUBTOTAL(103,$D$8:D1476)</f>
        <v>1469</v>
      </c>
      <c r="C1476" s="83" t="s">
        <v>1477</v>
      </c>
      <c r="D1476" s="84">
        <v>0</v>
      </c>
      <c r="E1476" s="85" t="str">
        <f t="shared" si="156"/>
        <v/>
      </c>
      <c r="F1476" s="106" t="str">
        <f t="shared" si="162"/>
        <v/>
      </c>
      <c r="G1476" s="86"/>
      <c r="H1476" s="107">
        <f t="shared" si="157"/>
        <v>0</v>
      </c>
      <c r="I1476" s="107">
        <f t="shared" si="158"/>
        <v>0</v>
      </c>
      <c r="J1476" s="87">
        <f>IF($D1476&gt;0,IFERROR(Параметры!$D$42*$H1476/$H$2408,0),0)</f>
        <v>0</v>
      </c>
      <c r="K1476" s="87">
        <f>IFERROR(ROUND($N1476*Параметры!$D$36,2),0)</f>
        <v>0</v>
      </c>
      <c r="L1476" s="87">
        <f t="shared" si="159"/>
        <v>0</v>
      </c>
      <c r="M1476" s="87">
        <f t="shared" si="160"/>
        <v>0</v>
      </c>
      <c r="N1476" s="107" t="str">
        <f t="shared" si="161"/>
        <v/>
      </c>
    </row>
    <row r="1477" spans="2:14" x14ac:dyDescent="0.25">
      <c r="B1477" s="82">
        <f>SUBTOTAL(103,$D$8:D1477)</f>
        <v>1470</v>
      </c>
      <c r="C1477" s="83" t="s">
        <v>1478</v>
      </c>
      <c r="D1477" s="84">
        <v>0</v>
      </c>
      <c r="E1477" s="85" t="str">
        <f t="shared" si="156"/>
        <v/>
      </c>
      <c r="F1477" s="106" t="str">
        <f t="shared" si="162"/>
        <v/>
      </c>
      <c r="G1477" s="86"/>
      <c r="H1477" s="107">
        <f t="shared" si="157"/>
        <v>0</v>
      </c>
      <c r="I1477" s="107">
        <f t="shared" si="158"/>
        <v>0</v>
      </c>
      <c r="J1477" s="87">
        <f>IF($D1477&gt;0,IFERROR(Параметры!$D$42*$H1477/$H$2408,0),0)</f>
        <v>0</v>
      </c>
      <c r="K1477" s="87">
        <f>IFERROR(ROUND($N1477*Параметры!$D$36,2),0)</f>
        <v>0</v>
      </c>
      <c r="L1477" s="87">
        <f t="shared" si="159"/>
        <v>0</v>
      </c>
      <c r="M1477" s="87">
        <f t="shared" si="160"/>
        <v>0</v>
      </c>
      <c r="N1477" s="107" t="str">
        <f t="shared" si="161"/>
        <v/>
      </c>
    </row>
    <row r="1478" spans="2:14" x14ac:dyDescent="0.25">
      <c r="B1478" s="82">
        <f>SUBTOTAL(103,$D$8:D1478)</f>
        <v>1471</v>
      </c>
      <c r="C1478" s="83" t="s">
        <v>1479</v>
      </c>
      <c r="D1478" s="84">
        <v>0</v>
      </c>
      <c r="E1478" s="85" t="str">
        <f t="shared" si="156"/>
        <v/>
      </c>
      <c r="F1478" s="106" t="str">
        <f t="shared" si="162"/>
        <v/>
      </c>
      <c r="G1478" s="86"/>
      <c r="H1478" s="107">
        <f t="shared" si="157"/>
        <v>0</v>
      </c>
      <c r="I1478" s="107">
        <f t="shared" si="158"/>
        <v>0</v>
      </c>
      <c r="J1478" s="87">
        <f>IF($D1478&gt;0,IFERROR(Параметры!$D$42*$H1478/$H$2408,0),0)</f>
        <v>0</v>
      </c>
      <c r="K1478" s="87">
        <f>IFERROR(ROUND($N1478*Параметры!$D$36,2),0)</f>
        <v>0</v>
      </c>
      <c r="L1478" s="87">
        <f t="shared" si="159"/>
        <v>0</v>
      </c>
      <c r="M1478" s="87">
        <f t="shared" si="160"/>
        <v>0</v>
      </c>
      <c r="N1478" s="107" t="str">
        <f t="shared" si="161"/>
        <v/>
      </c>
    </row>
    <row r="1479" spans="2:14" x14ac:dyDescent="0.25">
      <c r="B1479" s="82">
        <f>SUBTOTAL(103,$D$8:D1479)</f>
        <v>1472</v>
      </c>
      <c r="C1479" s="83" t="s">
        <v>1480</v>
      </c>
      <c r="D1479" s="84">
        <v>0</v>
      </c>
      <c r="E1479" s="85" t="str">
        <f t="shared" si="156"/>
        <v/>
      </c>
      <c r="F1479" s="106" t="str">
        <f t="shared" si="162"/>
        <v/>
      </c>
      <c r="G1479" s="86"/>
      <c r="H1479" s="107">
        <f t="shared" si="157"/>
        <v>0</v>
      </c>
      <c r="I1479" s="107">
        <f t="shared" si="158"/>
        <v>0</v>
      </c>
      <c r="J1479" s="87">
        <f>IF($D1479&gt;0,IFERROR(Параметры!$D$42*$H1479/$H$2408,0),0)</f>
        <v>0</v>
      </c>
      <c r="K1479" s="87">
        <f>IFERROR(ROUND($N1479*Параметры!$D$36,2),0)</f>
        <v>0</v>
      </c>
      <c r="L1479" s="87">
        <f t="shared" si="159"/>
        <v>0</v>
      </c>
      <c r="M1479" s="87">
        <f t="shared" si="160"/>
        <v>0</v>
      </c>
      <c r="N1479" s="107" t="str">
        <f t="shared" si="161"/>
        <v/>
      </c>
    </row>
    <row r="1480" spans="2:14" x14ac:dyDescent="0.25">
      <c r="B1480" s="82">
        <f>SUBTOTAL(103,$D$8:D1480)</f>
        <v>1473</v>
      </c>
      <c r="C1480" s="83" t="s">
        <v>1481</v>
      </c>
      <c r="D1480" s="84">
        <v>0</v>
      </c>
      <c r="E1480" s="85" t="str">
        <f t="shared" ref="E1480:E1543" si="163">IF($D1480&lt;1,"",$K1480+$L1480)</f>
        <v/>
      </c>
      <c r="F1480" s="106" t="str">
        <f t="shared" si="162"/>
        <v/>
      </c>
      <c r="G1480" s="86"/>
      <c r="H1480" s="107">
        <f t="shared" ref="H1480:H1543" si="164">IF($D1480&gt;0,$D1480*КИС,0)</f>
        <v>0</v>
      </c>
      <c r="I1480" s="107">
        <f t="shared" ref="I1480:I1543" si="165">IF($D1480&gt;0,$D1480-$H1480,0)</f>
        <v>0</v>
      </c>
      <c r="J1480" s="87">
        <f>IF($D1480&gt;0,IFERROR(Параметры!$D$42*$H1480/$H$2408,0),0)</f>
        <v>0</v>
      </c>
      <c r="K1480" s="87">
        <f>IFERROR(ROUND($N1480*Параметры!$D$36,2),0)</f>
        <v>0</v>
      </c>
      <c r="L1480" s="87">
        <f t="shared" ref="L1480:L1543" si="166">IF($K1480&gt;0,$K1480*0.055,0)</f>
        <v>0</v>
      </c>
      <c r="M1480" s="87">
        <f t="shared" ref="M1480:M1543" si="167">IFERROR($L1480/Плотность_ДТ,0)</f>
        <v>0</v>
      </c>
      <c r="N1480" s="107" t="str">
        <f t="shared" ref="N1480:N1543" si="168">IF($D1480&gt;0,MAX(0,$D1480-IF($F1480="",0,$F1480)),"")</f>
        <v/>
      </c>
    </row>
    <row r="1481" spans="2:14" x14ac:dyDescent="0.25">
      <c r="B1481" s="82">
        <f>SUBTOTAL(103,$D$8:D1481)</f>
        <v>1474</v>
      </c>
      <c r="C1481" s="83" t="s">
        <v>1482</v>
      </c>
      <c r="D1481" s="84">
        <v>0</v>
      </c>
      <c r="E1481" s="85" t="str">
        <f t="shared" si="163"/>
        <v/>
      </c>
      <c r="F1481" s="106" t="str">
        <f t="shared" si="162"/>
        <v/>
      </c>
      <c r="G1481" s="86"/>
      <c r="H1481" s="107">
        <f t="shared" si="164"/>
        <v>0</v>
      </c>
      <c r="I1481" s="107">
        <f t="shared" si="165"/>
        <v>0</v>
      </c>
      <c r="J1481" s="87">
        <f>IF($D1481&gt;0,IFERROR(Параметры!$D$42*$H1481/$H$2408,0),0)</f>
        <v>0</v>
      </c>
      <c r="K1481" s="87">
        <f>IFERROR(ROUND($N1481*Параметры!$D$36,2),0)</f>
        <v>0</v>
      </c>
      <c r="L1481" s="87">
        <f t="shared" si="166"/>
        <v>0</v>
      </c>
      <c r="M1481" s="87">
        <f t="shared" si="167"/>
        <v>0</v>
      </c>
      <c r="N1481" s="107" t="str">
        <f t="shared" si="168"/>
        <v/>
      </c>
    </row>
    <row r="1482" spans="2:14" x14ac:dyDescent="0.25">
      <c r="B1482" s="82">
        <f>SUBTOTAL(103,$D$8:D1482)</f>
        <v>1475</v>
      </c>
      <c r="C1482" s="83" t="s">
        <v>1483</v>
      </c>
      <c r="D1482" s="84">
        <v>0</v>
      </c>
      <c r="E1482" s="85" t="str">
        <f t="shared" si="163"/>
        <v/>
      </c>
      <c r="F1482" s="106" t="str">
        <f t="shared" si="162"/>
        <v/>
      </c>
      <c r="G1482" s="86"/>
      <c r="H1482" s="107">
        <f t="shared" si="164"/>
        <v>0</v>
      </c>
      <c r="I1482" s="107">
        <f t="shared" si="165"/>
        <v>0</v>
      </c>
      <c r="J1482" s="87">
        <f>IF($D1482&gt;0,IFERROR(Параметры!$D$42*$H1482/$H$2408,0),0)</f>
        <v>0</v>
      </c>
      <c r="K1482" s="87">
        <f>IFERROR(ROUND($N1482*Параметры!$D$36,2),0)</f>
        <v>0</v>
      </c>
      <c r="L1482" s="87">
        <f t="shared" si="166"/>
        <v>0</v>
      </c>
      <c r="M1482" s="87">
        <f t="shared" si="167"/>
        <v>0</v>
      </c>
      <c r="N1482" s="107" t="str">
        <f t="shared" si="168"/>
        <v/>
      </c>
    </row>
    <row r="1483" spans="2:14" x14ac:dyDescent="0.25">
      <c r="B1483" s="82">
        <f>SUBTOTAL(103,$D$8:D1483)</f>
        <v>1476</v>
      </c>
      <c r="C1483" s="83" t="s">
        <v>1484</v>
      </c>
      <c r="D1483" s="84">
        <v>0</v>
      </c>
      <c r="E1483" s="85" t="str">
        <f t="shared" si="163"/>
        <v/>
      </c>
      <c r="F1483" s="106" t="str">
        <f t="shared" ref="F1483:F1546" si="169">IF(D1483&gt;0,2,"")</f>
        <v/>
      </c>
      <c r="G1483" s="86"/>
      <c r="H1483" s="107">
        <f t="shared" si="164"/>
        <v>0</v>
      </c>
      <c r="I1483" s="107">
        <f t="shared" si="165"/>
        <v>0</v>
      </c>
      <c r="J1483" s="87">
        <f>IF($D1483&gt;0,IFERROR(Параметры!$D$42*$H1483/$H$2408,0),0)</f>
        <v>0</v>
      </c>
      <c r="K1483" s="87">
        <f>IFERROR(ROUND($N1483*Параметры!$D$36,2),0)</f>
        <v>0</v>
      </c>
      <c r="L1483" s="87">
        <f t="shared" si="166"/>
        <v>0</v>
      </c>
      <c r="M1483" s="87">
        <f t="shared" si="167"/>
        <v>0</v>
      </c>
      <c r="N1483" s="107" t="str">
        <f t="shared" si="168"/>
        <v/>
      </c>
    </row>
    <row r="1484" spans="2:14" x14ac:dyDescent="0.25">
      <c r="B1484" s="82">
        <f>SUBTOTAL(103,$D$8:D1484)</f>
        <v>1477</v>
      </c>
      <c r="C1484" s="83" t="s">
        <v>1485</v>
      </c>
      <c r="D1484" s="84">
        <v>0</v>
      </c>
      <c r="E1484" s="85" t="str">
        <f t="shared" si="163"/>
        <v/>
      </c>
      <c r="F1484" s="106" t="str">
        <f t="shared" si="169"/>
        <v/>
      </c>
      <c r="G1484" s="86"/>
      <c r="H1484" s="107">
        <f t="shared" si="164"/>
        <v>0</v>
      </c>
      <c r="I1484" s="107">
        <f t="shared" si="165"/>
        <v>0</v>
      </c>
      <c r="J1484" s="87">
        <f>IF($D1484&gt;0,IFERROR(Параметры!$D$42*$H1484/$H$2408,0),0)</f>
        <v>0</v>
      </c>
      <c r="K1484" s="87">
        <f>IFERROR(ROUND($N1484*Параметры!$D$36,2),0)</f>
        <v>0</v>
      </c>
      <c r="L1484" s="87">
        <f t="shared" si="166"/>
        <v>0</v>
      </c>
      <c r="M1484" s="87">
        <f t="shared" si="167"/>
        <v>0</v>
      </c>
      <c r="N1484" s="107" t="str">
        <f t="shared" si="168"/>
        <v/>
      </c>
    </row>
    <row r="1485" spans="2:14" x14ac:dyDescent="0.25">
      <c r="B1485" s="82">
        <f>SUBTOTAL(103,$D$8:D1485)</f>
        <v>1478</v>
      </c>
      <c r="C1485" s="83" t="s">
        <v>1486</v>
      </c>
      <c r="D1485" s="84">
        <v>0</v>
      </c>
      <c r="E1485" s="85" t="str">
        <f t="shared" si="163"/>
        <v/>
      </c>
      <c r="F1485" s="106" t="str">
        <f t="shared" si="169"/>
        <v/>
      </c>
      <c r="G1485" s="86"/>
      <c r="H1485" s="107">
        <f t="shared" si="164"/>
        <v>0</v>
      </c>
      <c r="I1485" s="107">
        <f t="shared" si="165"/>
        <v>0</v>
      </c>
      <c r="J1485" s="87">
        <f>IF($D1485&gt;0,IFERROR(Параметры!$D$42*$H1485/$H$2408,0),0)</f>
        <v>0</v>
      </c>
      <c r="K1485" s="87">
        <f>IFERROR(ROUND($N1485*Параметры!$D$36,2),0)</f>
        <v>0</v>
      </c>
      <c r="L1485" s="87">
        <f t="shared" si="166"/>
        <v>0</v>
      </c>
      <c r="M1485" s="87">
        <f t="shared" si="167"/>
        <v>0</v>
      </c>
      <c r="N1485" s="107" t="str">
        <f t="shared" si="168"/>
        <v/>
      </c>
    </row>
    <row r="1486" spans="2:14" x14ac:dyDescent="0.25">
      <c r="B1486" s="82">
        <f>SUBTOTAL(103,$D$8:D1486)</f>
        <v>1479</v>
      </c>
      <c r="C1486" s="83" t="s">
        <v>1487</v>
      </c>
      <c r="D1486" s="84">
        <v>0</v>
      </c>
      <c r="E1486" s="85" t="str">
        <f t="shared" si="163"/>
        <v/>
      </c>
      <c r="F1486" s="106" t="str">
        <f t="shared" si="169"/>
        <v/>
      </c>
      <c r="G1486" s="86"/>
      <c r="H1486" s="107">
        <f t="shared" si="164"/>
        <v>0</v>
      </c>
      <c r="I1486" s="107">
        <f t="shared" si="165"/>
        <v>0</v>
      </c>
      <c r="J1486" s="87">
        <f>IF($D1486&gt;0,IFERROR(Параметры!$D$42*$H1486/$H$2408,0),0)</f>
        <v>0</v>
      </c>
      <c r="K1486" s="87">
        <f>IFERROR(ROUND($N1486*Параметры!$D$36,2),0)</f>
        <v>0</v>
      </c>
      <c r="L1486" s="87">
        <f t="shared" si="166"/>
        <v>0</v>
      </c>
      <c r="M1486" s="87">
        <f t="shared" si="167"/>
        <v>0</v>
      </c>
      <c r="N1486" s="107" t="str">
        <f t="shared" si="168"/>
        <v/>
      </c>
    </row>
    <row r="1487" spans="2:14" x14ac:dyDescent="0.25">
      <c r="B1487" s="82">
        <f>SUBTOTAL(103,$D$8:D1487)</f>
        <v>1480</v>
      </c>
      <c r="C1487" s="83" t="s">
        <v>1488</v>
      </c>
      <c r="D1487" s="84">
        <v>0</v>
      </c>
      <c r="E1487" s="85" t="str">
        <f t="shared" si="163"/>
        <v/>
      </c>
      <c r="F1487" s="106" t="str">
        <f t="shared" si="169"/>
        <v/>
      </c>
      <c r="G1487" s="86"/>
      <c r="H1487" s="107">
        <f t="shared" si="164"/>
        <v>0</v>
      </c>
      <c r="I1487" s="107">
        <f t="shared" si="165"/>
        <v>0</v>
      </c>
      <c r="J1487" s="87">
        <f>IF($D1487&gt;0,IFERROR(Параметры!$D$42*$H1487/$H$2408,0),0)</f>
        <v>0</v>
      </c>
      <c r="K1487" s="87">
        <f>IFERROR(ROUND($N1487*Параметры!$D$36,2),0)</f>
        <v>0</v>
      </c>
      <c r="L1487" s="87">
        <f t="shared" si="166"/>
        <v>0</v>
      </c>
      <c r="M1487" s="87">
        <f t="shared" si="167"/>
        <v>0</v>
      </c>
      <c r="N1487" s="107" t="str">
        <f t="shared" si="168"/>
        <v/>
      </c>
    </row>
    <row r="1488" spans="2:14" x14ac:dyDescent="0.25">
      <c r="B1488" s="82">
        <f>SUBTOTAL(103,$D$8:D1488)</f>
        <v>1481</v>
      </c>
      <c r="C1488" s="83" t="s">
        <v>1489</v>
      </c>
      <c r="D1488" s="84">
        <v>0</v>
      </c>
      <c r="E1488" s="85" t="str">
        <f t="shared" si="163"/>
        <v/>
      </c>
      <c r="F1488" s="106" t="str">
        <f t="shared" si="169"/>
        <v/>
      </c>
      <c r="G1488" s="86"/>
      <c r="H1488" s="107">
        <f t="shared" si="164"/>
        <v>0</v>
      </c>
      <c r="I1488" s="107">
        <f t="shared" si="165"/>
        <v>0</v>
      </c>
      <c r="J1488" s="87">
        <f>IF($D1488&gt;0,IFERROR(Параметры!$D$42*$H1488/$H$2408,0),0)</f>
        <v>0</v>
      </c>
      <c r="K1488" s="87">
        <f>IFERROR(ROUND($N1488*Параметры!$D$36,2),0)</f>
        <v>0</v>
      </c>
      <c r="L1488" s="87">
        <f t="shared" si="166"/>
        <v>0</v>
      </c>
      <c r="M1488" s="87">
        <f t="shared" si="167"/>
        <v>0</v>
      </c>
      <c r="N1488" s="107" t="str">
        <f t="shared" si="168"/>
        <v/>
      </c>
    </row>
    <row r="1489" spans="2:14" x14ac:dyDescent="0.25">
      <c r="B1489" s="82">
        <f>SUBTOTAL(103,$D$8:D1489)</f>
        <v>1482</v>
      </c>
      <c r="C1489" s="83" t="s">
        <v>1490</v>
      </c>
      <c r="D1489" s="84">
        <v>0</v>
      </c>
      <c r="E1489" s="85" t="str">
        <f t="shared" si="163"/>
        <v/>
      </c>
      <c r="F1489" s="106" t="str">
        <f t="shared" si="169"/>
        <v/>
      </c>
      <c r="G1489" s="86"/>
      <c r="H1489" s="107">
        <f t="shared" si="164"/>
        <v>0</v>
      </c>
      <c r="I1489" s="107">
        <f t="shared" si="165"/>
        <v>0</v>
      </c>
      <c r="J1489" s="87">
        <f>IF($D1489&gt;0,IFERROR(Параметры!$D$42*$H1489/$H$2408,0),0)</f>
        <v>0</v>
      </c>
      <c r="K1489" s="87">
        <f>IFERROR(ROUND($N1489*Параметры!$D$36,2),0)</f>
        <v>0</v>
      </c>
      <c r="L1489" s="87">
        <f t="shared" si="166"/>
        <v>0</v>
      </c>
      <c r="M1489" s="87">
        <f t="shared" si="167"/>
        <v>0</v>
      </c>
      <c r="N1489" s="107" t="str">
        <f t="shared" si="168"/>
        <v/>
      </c>
    </row>
    <row r="1490" spans="2:14" x14ac:dyDescent="0.25">
      <c r="B1490" s="82">
        <f>SUBTOTAL(103,$D$8:D1490)</f>
        <v>1483</v>
      </c>
      <c r="C1490" s="83" t="s">
        <v>1491</v>
      </c>
      <c r="D1490" s="84">
        <v>0</v>
      </c>
      <c r="E1490" s="85" t="str">
        <f t="shared" si="163"/>
        <v/>
      </c>
      <c r="F1490" s="106" t="str">
        <f t="shared" si="169"/>
        <v/>
      </c>
      <c r="G1490" s="86"/>
      <c r="H1490" s="107">
        <f t="shared" si="164"/>
        <v>0</v>
      </c>
      <c r="I1490" s="107">
        <f t="shared" si="165"/>
        <v>0</v>
      </c>
      <c r="J1490" s="87">
        <f>IF($D1490&gt;0,IFERROR(Параметры!$D$42*$H1490/$H$2408,0),0)</f>
        <v>0</v>
      </c>
      <c r="K1490" s="87">
        <f>IFERROR(ROUND($N1490*Параметры!$D$36,2),0)</f>
        <v>0</v>
      </c>
      <c r="L1490" s="87">
        <f t="shared" si="166"/>
        <v>0</v>
      </c>
      <c r="M1490" s="87">
        <f t="shared" si="167"/>
        <v>0</v>
      </c>
      <c r="N1490" s="107" t="str">
        <f t="shared" si="168"/>
        <v/>
      </c>
    </row>
    <row r="1491" spans="2:14" x14ac:dyDescent="0.25">
      <c r="B1491" s="82">
        <f>SUBTOTAL(103,$D$8:D1491)</f>
        <v>1484</v>
      </c>
      <c r="C1491" s="83" t="s">
        <v>1492</v>
      </c>
      <c r="D1491" s="84">
        <v>0</v>
      </c>
      <c r="E1491" s="85" t="str">
        <f t="shared" si="163"/>
        <v/>
      </c>
      <c r="F1491" s="106" t="str">
        <f t="shared" si="169"/>
        <v/>
      </c>
      <c r="G1491" s="86"/>
      <c r="H1491" s="107">
        <f t="shared" si="164"/>
        <v>0</v>
      </c>
      <c r="I1491" s="107">
        <f t="shared" si="165"/>
        <v>0</v>
      </c>
      <c r="J1491" s="87">
        <f>IF($D1491&gt;0,IFERROR(Параметры!$D$42*$H1491/$H$2408,0),0)</f>
        <v>0</v>
      </c>
      <c r="K1491" s="87">
        <f>IFERROR(ROUND($N1491*Параметры!$D$36,2),0)</f>
        <v>0</v>
      </c>
      <c r="L1491" s="87">
        <f t="shared" si="166"/>
        <v>0</v>
      </c>
      <c r="M1491" s="87">
        <f t="shared" si="167"/>
        <v>0</v>
      </c>
      <c r="N1491" s="107" t="str">
        <f t="shared" si="168"/>
        <v/>
      </c>
    </row>
    <row r="1492" spans="2:14" x14ac:dyDescent="0.25">
      <c r="B1492" s="82">
        <f>SUBTOTAL(103,$D$8:D1492)</f>
        <v>1485</v>
      </c>
      <c r="C1492" s="83" t="s">
        <v>1493</v>
      </c>
      <c r="D1492" s="84">
        <v>0</v>
      </c>
      <c r="E1492" s="85" t="str">
        <f t="shared" si="163"/>
        <v/>
      </c>
      <c r="F1492" s="106" t="str">
        <f t="shared" si="169"/>
        <v/>
      </c>
      <c r="G1492" s="86"/>
      <c r="H1492" s="107">
        <f t="shared" si="164"/>
        <v>0</v>
      </c>
      <c r="I1492" s="107">
        <f t="shared" si="165"/>
        <v>0</v>
      </c>
      <c r="J1492" s="87">
        <f>IF($D1492&gt;0,IFERROR(Параметры!$D$42*$H1492/$H$2408,0),0)</f>
        <v>0</v>
      </c>
      <c r="K1492" s="87">
        <f>IFERROR(ROUND($N1492*Параметры!$D$36,2),0)</f>
        <v>0</v>
      </c>
      <c r="L1492" s="87">
        <f t="shared" si="166"/>
        <v>0</v>
      </c>
      <c r="M1492" s="87">
        <f t="shared" si="167"/>
        <v>0</v>
      </c>
      <c r="N1492" s="107" t="str">
        <f t="shared" si="168"/>
        <v/>
      </c>
    </row>
    <row r="1493" spans="2:14" x14ac:dyDescent="0.25">
      <c r="B1493" s="82">
        <f>SUBTOTAL(103,$D$8:D1493)</f>
        <v>1486</v>
      </c>
      <c r="C1493" s="83" t="s">
        <v>1494</v>
      </c>
      <c r="D1493" s="84">
        <v>0</v>
      </c>
      <c r="E1493" s="85" t="str">
        <f t="shared" si="163"/>
        <v/>
      </c>
      <c r="F1493" s="106" t="str">
        <f t="shared" si="169"/>
        <v/>
      </c>
      <c r="G1493" s="86"/>
      <c r="H1493" s="107">
        <f t="shared" si="164"/>
        <v>0</v>
      </c>
      <c r="I1493" s="107">
        <f t="shared" si="165"/>
        <v>0</v>
      </c>
      <c r="J1493" s="87">
        <f>IF($D1493&gt;0,IFERROR(Параметры!$D$42*$H1493/$H$2408,0),0)</f>
        <v>0</v>
      </c>
      <c r="K1493" s="87">
        <f>IFERROR(ROUND($N1493*Параметры!$D$36,2),0)</f>
        <v>0</v>
      </c>
      <c r="L1493" s="87">
        <f t="shared" si="166"/>
        <v>0</v>
      </c>
      <c r="M1493" s="87">
        <f t="shared" si="167"/>
        <v>0</v>
      </c>
      <c r="N1493" s="107" t="str">
        <f t="shared" si="168"/>
        <v/>
      </c>
    </row>
    <row r="1494" spans="2:14" x14ac:dyDescent="0.25">
      <c r="B1494" s="82">
        <f>SUBTOTAL(103,$D$8:D1494)</f>
        <v>1487</v>
      </c>
      <c r="C1494" s="83" t="s">
        <v>1495</v>
      </c>
      <c r="D1494" s="84">
        <v>0</v>
      </c>
      <c r="E1494" s="85" t="str">
        <f t="shared" si="163"/>
        <v/>
      </c>
      <c r="F1494" s="106" t="str">
        <f t="shared" si="169"/>
        <v/>
      </c>
      <c r="G1494" s="86"/>
      <c r="H1494" s="107">
        <f t="shared" si="164"/>
        <v>0</v>
      </c>
      <c r="I1494" s="107">
        <f t="shared" si="165"/>
        <v>0</v>
      </c>
      <c r="J1494" s="87">
        <f>IF($D1494&gt;0,IFERROR(Параметры!$D$42*$H1494/$H$2408,0),0)</f>
        <v>0</v>
      </c>
      <c r="K1494" s="87">
        <f>IFERROR(ROUND($N1494*Параметры!$D$36,2),0)</f>
        <v>0</v>
      </c>
      <c r="L1494" s="87">
        <f t="shared" si="166"/>
        <v>0</v>
      </c>
      <c r="M1494" s="87">
        <f t="shared" si="167"/>
        <v>0</v>
      </c>
      <c r="N1494" s="107" t="str">
        <f t="shared" si="168"/>
        <v/>
      </c>
    </row>
    <row r="1495" spans="2:14" x14ac:dyDescent="0.25">
      <c r="B1495" s="82">
        <f>SUBTOTAL(103,$D$8:D1495)</f>
        <v>1488</v>
      </c>
      <c r="C1495" s="83" t="s">
        <v>1496</v>
      </c>
      <c r="D1495" s="84">
        <v>0</v>
      </c>
      <c r="E1495" s="85" t="str">
        <f t="shared" si="163"/>
        <v/>
      </c>
      <c r="F1495" s="106" t="str">
        <f t="shared" si="169"/>
        <v/>
      </c>
      <c r="G1495" s="86"/>
      <c r="H1495" s="107">
        <f t="shared" si="164"/>
        <v>0</v>
      </c>
      <c r="I1495" s="107">
        <f t="shared" si="165"/>
        <v>0</v>
      </c>
      <c r="J1495" s="87">
        <f>IF($D1495&gt;0,IFERROR(Параметры!$D$42*$H1495/$H$2408,0),0)</f>
        <v>0</v>
      </c>
      <c r="K1495" s="87">
        <f>IFERROR(ROUND($N1495*Параметры!$D$36,2),0)</f>
        <v>0</v>
      </c>
      <c r="L1495" s="87">
        <f t="shared" si="166"/>
        <v>0</v>
      </c>
      <c r="M1495" s="87">
        <f t="shared" si="167"/>
        <v>0</v>
      </c>
      <c r="N1495" s="107" t="str">
        <f t="shared" si="168"/>
        <v/>
      </c>
    </row>
    <row r="1496" spans="2:14" x14ac:dyDescent="0.25">
      <c r="B1496" s="82">
        <f>SUBTOTAL(103,$D$8:D1496)</f>
        <v>1489</v>
      </c>
      <c r="C1496" s="83" t="s">
        <v>1497</v>
      </c>
      <c r="D1496" s="84">
        <v>0</v>
      </c>
      <c r="E1496" s="85" t="str">
        <f t="shared" si="163"/>
        <v/>
      </c>
      <c r="F1496" s="106" t="str">
        <f t="shared" si="169"/>
        <v/>
      </c>
      <c r="G1496" s="86"/>
      <c r="H1496" s="107">
        <f t="shared" si="164"/>
        <v>0</v>
      </c>
      <c r="I1496" s="107">
        <f t="shared" si="165"/>
        <v>0</v>
      </c>
      <c r="J1496" s="87">
        <f>IF($D1496&gt;0,IFERROR(Параметры!$D$42*$H1496/$H$2408,0),0)</f>
        <v>0</v>
      </c>
      <c r="K1496" s="87">
        <f>IFERROR(ROUND($N1496*Параметры!$D$36,2),0)</f>
        <v>0</v>
      </c>
      <c r="L1496" s="87">
        <f t="shared" si="166"/>
        <v>0</v>
      </c>
      <c r="M1496" s="87">
        <f t="shared" si="167"/>
        <v>0</v>
      </c>
      <c r="N1496" s="107" t="str">
        <f t="shared" si="168"/>
        <v/>
      </c>
    </row>
    <row r="1497" spans="2:14" x14ac:dyDescent="0.25">
      <c r="B1497" s="82">
        <f>SUBTOTAL(103,$D$8:D1497)</f>
        <v>1490</v>
      </c>
      <c r="C1497" s="83" t="s">
        <v>1498</v>
      </c>
      <c r="D1497" s="84">
        <v>0</v>
      </c>
      <c r="E1497" s="85" t="str">
        <f t="shared" si="163"/>
        <v/>
      </c>
      <c r="F1497" s="106" t="str">
        <f t="shared" si="169"/>
        <v/>
      </c>
      <c r="G1497" s="86"/>
      <c r="H1497" s="107">
        <f t="shared" si="164"/>
        <v>0</v>
      </c>
      <c r="I1497" s="107">
        <f t="shared" si="165"/>
        <v>0</v>
      </c>
      <c r="J1497" s="87">
        <f>IF($D1497&gt;0,IFERROR(Параметры!$D$42*$H1497/$H$2408,0),0)</f>
        <v>0</v>
      </c>
      <c r="K1497" s="87">
        <f>IFERROR(ROUND($N1497*Параметры!$D$36,2),0)</f>
        <v>0</v>
      </c>
      <c r="L1497" s="87">
        <f t="shared" si="166"/>
        <v>0</v>
      </c>
      <c r="M1497" s="87">
        <f t="shared" si="167"/>
        <v>0</v>
      </c>
      <c r="N1497" s="107" t="str">
        <f t="shared" si="168"/>
        <v/>
      </c>
    </row>
    <row r="1498" spans="2:14" x14ac:dyDescent="0.25">
      <c r="B1498" s="82">
        <f>SUBTOTAL(103,$D$8:D1498)</f>
        <v>1491</v>
      </c>
      <c r="C1498" s="83" t="s">
        <v>1499</v>
      </c>
      <c r="D1498" s="84">
        <v>0</v>
      </c>
      <c r="E1498" s="85" t="str">
        <f t="shared" si="163"/>
        <v/>
      </c>
      <c r="F1498" s="106" t="str">
        <f t="shared" si="169"/>
        <v/>
      </c>
      <c r="G1498" s="86"/>
      <c r="H1498" s="107">
        <f t="shared" si="164"/>
        <v>0</v>
      </c>
      <c r="I1498" s="107">
        <f t="shared" si="165"/>
        <v>0</v>
      </c>
      <c r="J1498" s="87">
        <f>IF($D1498&gt;0,IFERROR(Параметры!$D$42*$H1498/$H$2408,0),0)</f>
        <v>0</v>
      </c>
      <c r="K1498" s="87">
        <f>IFERROR(ROUND($N1498*Параметры!$D$36,2),0)</f>
        <v>0</v>
      </c>
      <c r="L1498" s="87">
        <f t="shared" si="166"/>
        <v>0</v>
      </c>
      <c r="M1498" s="87">
        <f t="shared" si="167"/>
        <v>0</v>
      </c>
      <c r="N1498" s="107" t="str">
        <f t="shared" si="168"/>
        <v/>
      </c>
    </row>
    <row r="1499" spans="2:14" x14ac:dyDescent="0.25">
      <c r="B1499" s="82">
        <f>SUBTOTAL(103,$D$8:D1499)</f>
        <v>1492</v>
      </c>
      <c r="C1499" s="83" t="s">
        <v>1500</v>
      </c>
      <c r="D1499" s="84">
        <v>0</v>
      </c>
      <c r="E1499" s="85" t="str">
        <f t="shared" si="163"/>
        <v/>
      </c>
      <c r="F1499" s="106" t="str">
        <f t="shared" si="169"/>
        <v/>
      </c>
      <c r="G1499" s="86"/>
      <c r="H1499" s="107">
        <f t="shared" si="164"/>
        <v>0</v>
      </c>
      <c r="I1499" s="107">
        <f t="shared" si="165"/>
        <v>0</v>
      </c>
      <c r="J1499" s="87">
        <f>IF($D1499&gt;0,IFERROR(Параметры!$D$42*$H1499/$H$2408,0),0)</f>
        <v>0</v>
      </c>
      <c r="K1499" s="87">
        <f>IFERROR(ROUND($N1499*Параметры!$D$36,2),0)</f>
        <v>0</v>
      </c>
      <c r="L1499" s="87">
        <f t="shared" si="166"/>
        <v>0</v>
      </c>
      <c r="M1499" s="87">
        <f t="shared" si="167"/>
        <v>0</v>
      </c>
      <c r="N1499" s="107" t="str">
        <f t="shared" si="168"/>
        <v/>
      </c>
    </row>
    <row r="1500" spans="2:14" x14ac:dyDescent="0.25">
      <c r="B1500" s="82">
        <f>SUBTOTAL(103,$D$8:D1500)</f>
        <v>1493</v>
      </c>
      <c r="C1500" s="83" t="s">
        <v>1501</v>
      </c>
      <c r="D1500" s="84">
        <v>0</v>
      </c>
      <c r="E1500" s="85" t="str">
        <f t="shared" si="163"/>
        <v/>
      </c>
      <c r="F1500" s="106" t="str">
        <f t="shared" si="169"/>
        <v/>
      </c>
      <c r="G1500" s="86"/>
      <c r="H1500" s="107">
        <f t="shared" si="164"/>
        <v>0</v>
      </c>
      <c r="I1500" s="107">
        <f t="shared" si="165"/>
        <v>0</v>
      </c>
      <c r="J1500" s="87">
        <f>IF($D1500&gt;0,IFERROR(Параметры!$D$42*$H1500/$H$2408,0),0)</f>
        <v>0</v>
      </c>
      <c r="K1500" s="87">
        <f>IFERROR(ROUND($N1500*Параметры!$D$36,2),0)</f>
        <v>0</v>
      </c>
      <c r="L1500" s="87">
        <f t="shared" si="166"/>
        <v>0</v>
      </c>
      <c r="M1500" s="87">
        <f t="shared" si="167"/>
        <v>0</v>
      </c>
      <c r="N1500" s="107" t="str">
        <f t="shared" si="168"/>
        <v/>
      </c>
    </row>
    <row r="1501" spans="2:14" x14ac:dyDescent="0.25">
      <c r="B1501" s="82">
        <f>SUBTOTAL(103,$D$8:D1501)</f>
        <v>1494</v>
      </c>
      <c r="C1501" s="83" t="s">
        <v>1502</v>
      </c>
      <c r="D1501" s="84">
        <v>0</v>
      </c>
      <c r="E1501" s="85" t="str">
        <f t="shared" si="163"/>
        <v/>
      </c>
      <c r="F1501" s="106" t="str">
        <f t="shared" si="169"/>
        <v/>
      </c>
      <c r="G1501" s="86"/>
      <c r="H1501" s="107">
        <f t="shared" si="164"/>
        <v>0</v>
      </c>
      <c r="I1501" s="107">
        <f t="shared" si="165"/>
        <v>0</v>
      </c>
      <c r="J1501" s="87">
        <f>IF($D1501&gt;0,IFERROR(Параметры!$D$42*$H1501/$H$2408,0),0)</f>
        <v>0</v>
      </c>
      <c r="K1501" s="87">
        <f>IFERROR(ROUND($N1501*Параметры!$D$36,2),0)</f>
        <v>0</v>
      </c>
      <c r="L1501" s="87">
        <f t="shared" si="166"/>
        <v>0</v>
      </c>
      <c r="M1501" s="87">
        <f t="shared" si="167"/>
        <v>0</v>
      </c>
      <c r="N1501" s="107" t="str">
        <f t="shared" si="168"/>
        <v/>
      </c>
    </row>
    <row r="1502" spans="2:14" x14ac:dyDescent="0.25">
      <c r="B1502" s="82">
        <f>SUBTOTAL(103,$D$8:D1502)</f>
        <v>1495</v>
      </c>
      <c r="C1502" s="83" t="s">
        <v>1503</v>
      </c>
      <c r="D1502" s="84">
        <v>0</v>
      </c>
      <c r="E1502" s="85" t="str">
        <f t="shared" si="163"/>
        <v/>
      </c>
      <c r="F1502" s="106" t="str">
        <f t="shared" si="169"/>
        <v/>
      </c>
      <c r="G1502" s="86"/>
      <c r="H1502" s="107">
        <f t="shared" si="164"/>
        <v>0</v>
      </c>
      <c r="I1502" s="107">
        <f t="shared" si="165"/>
        <v>0</v>
      </c>
      <c r="J1502" s="87">
        <f>IF($D1502&gt;0,IFERROR(Параметры!$D$42*$H1502/$H$2408,0),0)</f>
        <v>0</v>
      </c>
      <c r="K1502" s="87">
        <f>IFERROR(ROUND($N1502*Параметры!$D$36,2),0)</f>
        <v>0</v>
      </c>
      <c r="L1502" s="87">
        <f t="shared" si="166"/>
        <v>0</v>
      </c>
      <c r="M1502" s="87">
        <f t="shared" si="167"/>
        <v>0</v>
      </c>
      <c r="N1502" s="107" t="str">
        <f t="shared" si="168"/>
        <v/>
      </c>
    </row>
    <row r="1503" spans="2:14" x14ac:dyDescent="0.25">
      <c r="B1503" s="82">
        <f>SUBTOTAL(103,$D$8:D1503)</f>
        <v>1496</v>
      </c>
      <c r="C1503" s="83" t="s">
        <v>1504</v>
      </c>
      <c r="D1503" s="84">
        <v>0</v>
      </c>
      <c r="E1503" s="85" t="str">
        <f t="shared" si="163"/>
        <v/>
      </c>
      <c r="F1503" s="106" t="str">
        <f t="shared" si="169"/>
        <v/>
      </c>
      <c r="G1503" s="86"/>
      <c r="H1503" s="107">
        <f t="shared" si="164"/>
        <v>0</v>
      </c>
      <c r="I1503" s="107">
        <f t="shared" si="165"/>
        <v>0</v>
      </c>
      <c r="J1503" s="87">
        <f>IF($D1503&gt;0,IFERROR(Параметры!$D$42*$H1503/$H$2408,0),0)</f>
        <v>0</v>
      </c>
      <c r="K1503" s="87">
        <f>IFERROR(ROUND($N1503*Параметры!$D$36,2),0)</f>
        <v>0</v>
      </c>
      <c r="L1503" s="87">
        <f t="shared" si="166"/>
        <v>0</v>
      </c>
      <c r="M1503" s="87">
        <f t="shared" si="167"/>
        <v>0</v>
      </c>
      <c r="N1503" s="107" t="str">
        <f t="shared" si="168"/>
        <v/>
      </c>
    </row>
    <row r="1504" spans="2:14" x14ac:dyDescent="0.25">
      <c r="B1504" s="82">
        <f>SUBTOTAL(103,$D$8:D1504)</f>
        <v>1497</v>
      </c>
      <c r="C1504" s="83" t="s">
        <v>1505</v>
      </c>
      <c r="D1504" s="84">
        <v>0</v>
      </c>
      <c r="E1504" s="85" t="str">
        <f t="shared" si="163"/>
        <v/>
      </c>
      <c r="F1504" s="106" t="str">
        <f t="shared" si="169"/>
        <v/>
      </c>
      <c r="G1504" s="86"/>
      <c r="H1504" s="107">
        <f t="shared" si="164"/>
        <v>0</v>
      </c>
      <c r="I1504" s="107">
        <f t="shared" si="165"/>
        <v>0</v>
      </c>
      <c r="J1504" s="87">
        <f>IF($D1504&gt;0,IFERROR(Параметры!$D$42*$H1504/$H$2408,0),0)</f>
        <v>0</v>
      </c>
      <c r="K1504" s="87">
        <f>IFERROR(ROUND($N1504*Параметры!$D$36,2),0)</f>
        <v>0</v>
      </c>
      <c r="L1504" s="87">
        <f t="shared" si="166"/>
        <v>0</v>
      </c>
      <c r="M1504" s="87">
        <f t="shared" si="167"/>
        <v>0</v>
      </c>
      <c r="N1504" s="107" t="str">
        <f t="shared" si="168"/>
        <v/>
      </c>
    </row>
    <row r="1505" spans="2:14" x14ac:dyDescent="0.25">
      <c r="B1505" s="82">
        <f>SUBTOTAL(103,$D$8:D1505)</f>
        <v>1498</v>
      </c>
      <c r="C1505" s="83" t="s">
        <v>1506</v>
      </c>
      <c r="D1505" s="84">
        <v>0</v>
      </c>
      <c r="E1505" s="85" t="str">
        <f t="shared" si="163"/>
        <v/>
      </c>
      <c r="F1505" s="106" t="str">
        <f t="shared" si="169"/>
        <v/>
      </c>
      <c r="G1505" s="86"/>
      <c r="H1505" s="107">
        <f t="shared" si="164"/>
        <v>0</v>
      </c>
      <c r="I1505" s="107">
        <f t="shared" si="165"/>
        <v>0</v>
      </c>
      <c r="J1505" s="87">
        <f>IF($D1505&gt;0,IFERROR(Параметры!$D$42*$H1505/$H$2408,0),0)</f>
        <v>0</v>
      </c>
      <c r="K1505" s="87">
        <f>IFERROR(ROUND($N1505*Параметры!$D$36,2),0)</f>
        <v>0</v>
      </c>
      <c r="L1505" s="87">
        <f t="shared" si="166"/>
        <v>0</v>
      </c>
      <c r="M1505" s="87">
        <f t="shared" si="167"/>
        <v>0</v>
      </c>
      <c r="N1505" s="107" t="str">
        <f t="shared" si="168"/>
        <v/>
      </c>
    </row>
    <row r="1506" spans="2:14" x14ac:dyDescent="0.25">
      <c r="B1506" s="82">
        <f>SUBTOTAL(103,$D$8:D1506)</f>
        <v>1499</v>
      </c>
      <c r="C1506" s="83" t="s">
        <v>1507</v>
      </c>
      <c r="D1506" s="84">
        <v>0</v>
      </c>
      <c r="E1506" s="85" t="str">
        <f t="shared" si="163"/>
        <v/>
      </c>
      <c r="F1506" s="106" t="str">
        <f t="shared" si="169"/>
        <v/>
      </c>
      <c r="G1506" s="86"/>
      <c r="H1506" s="107">
        <f t="shared" si="164"/>
        <v>0</v>
      </c>
      <c r="I1506" s="107">
        <f t="shared" si="165"/>
        <v>0</v>
      </c>
      <c r="J1506" s="87">
        <f>IF($D1506&gt;0,IFERROR(Параметры!$D$42*$H1506/$H$2408,0),0)</f>
        <v>0</v>
      </c>
      <c r="K1506" s="87">
        <f>IFERROR(ROUND($N1506*Параметры!$D$36,2),0)</f>
        <v>0</v>
      </c>
      <c r="L1506" s="87">
        <f t="shared" si="166"/>
        <v>0</v>
      </c>
      <c r="M1506" s="87">
        <f t="shared" si="167"/>
        <v>0</v>
      </c>
      <c r="N1506" s="107" t="str">
        <f t="shared" si="168"/>
        <v/>
      </c>
    </row>
    <row r="1507" spans="2:14" x14ac:dyDescent="0.25">
      <c r="B1507" s="82">
        <f>SUBTOTAL(103,$D$8:D1507)</f>
        <v>1500</v>
      </c>
      <c r="C1507" s="83" t="s">
        <v>1508</v>
      </c>
      <c r="D1507" s="84">
        <v>0</v>
      </c>
      <c r="E1507" s="85" t="str">
        <f t="shared" si="163"/>
        <v/>
      </c>
      <c r="F1507" s="106" t="str">
        <f t="shared" si="169"/>
        <v/>
      </c>
      <c r="G1507" s="86"/>
      <c r="H1507" s="107">
        <f t="shared" si="164"/>
        <v>0</v>
      </c>
      <c r="I1507" s="107">
        <f t="shared" si="165"/>
        <v>0</v>
      </c>
      <c r="J1507" s="87">
        <f>IF($D1507&gt;0,IFERROR(Параметры!$D$42*$H1507/$H$2408,0),0)</f>
        <v>0</v>
      </c>
      <c r="K1507" s="87">
        <f>IFERROR(ROUND($N1507*Параметры!$D$36,2),0)</f>
        <v>0</v>
      </c>
      <c r="L1507" s="87">
        <f t="shared" si="166"/>
        <v>0</v>
      </c>
      <c r="M1507" s="87">
        <f t="shared" si="167"/>
        <v>0</v>
      </c>
      <c r="N1507" s="107" t="str">
        <f t="shared" si="168"/>
        <v/>
      </c>
    </row>
    <row r="1508" spans="2:14" x14ac:dyDescent="0.25">
      <c r="B1508" s="82">
        <f>SUBTOTAL(103,$D$8:D1508)</f>
        <v>1501</v>
      </c>
      <c r="C1508" s="83" t="s">
        <v>1509</v>
      </c>
      <c r="D1508" s="84">
        <f t="array" ref="D1508:D1567">TRANSPOSE('Зарядная карта'!$C$30:$BJ$30)</f>
        <v>0</v>
      </c>
      <c r="E1508" s="85" t="str">
        <f t="shared" si="163"/>
        <v/>
      </c>
      <c r="F1508" s="106" t="str">
        <f t="shared" si="169"/>
        <v/>
      </c>
      <c r="G1508" s="86"/>
      <c r="H1508" s="107">
        <f t="shared" si="164"/>
        <v>0</v>
      </c>
      <c r="I1508" s="107">
        <f t="shared" si="165"/>
        <v>0</v>
      </c>
      <c r="J1508" s="87">
        <f>IF($D1508&gt;0,IFERROR(Параметры!$D$42*$H1508/$H$2408,0),0)</f>
        <v>0</v>
      </c>
      <c r="K1508" s="87">
        <f>IFERROR(ROUND($N1508*Параметры!$D$36,2),0)</f>
        <v>0</v>
      </c>
      <c r="L1508" s="87">
        <f t="shared" si="166"/>
        <v>0</v>
      </c>
      <c r="M1508" s="87">
        <f t="shared" si="167"/>
        <v>0</v>
      </c>
      <c r="N1508" s="107" t="str">
        <f t="shared" si="168"/>
        <v/>
      </c>
    </row>
    <row r="1509" spans="2:14" x14ac:dyDescent="0.25">
      <c r="B1509" s="82">
        <f>SUBTOTAL(103,$D$8:D1509)</f>
        <v>1502</v>
      </c>
      <c r="C1509" s="83" t="s">
        <v>1510</v>
      </c>
      <c r="D1509" s="84">
        <v>0</v>
      </c>
      <c r="E1509" s="85" t="str">
        <f t="shared" si="163"/>
        <v/>
      </c>
      <c r="F1509" s="106" t="str">
        <f t="shared" si="169"/>
        <v/>
      </c>
      <c r="G1509" s="86"/>
      <c r="H1509" s="107">
        <f t="shared" si="164"/>
        <v>0</v>
      </c>
      <c r="I1509" s="107">
        <f t="shared" si="165"/>
        <v>0</v>
      </c>
      <c r="J1509" s="87">
        <f>IF($D1509&gt;0,IFERROR(Параметры!$D$42*$H1509/$H$2408,0),0)</f>
        <v>0</v>
      </c>
      <c r="K1509" s="87">
        <f>IFERROR(ROUND($N1509*Параметры!$D$36,2),0)</f>
        <v>0</v>
      </c>
      <c r="L1509" s="87">
        <f t="shared" si="166"/>
        <v>0</v>
      </c>
      <c r="M1509" s="87">
        <f t="shared" si="167"/>
        <v>0</v>
      </c>
      <c r="N1509" s="107" t="str">
        <f t="shared" si="168"/>
        <v/>
      </c>
    </row>
    <row r="1510" spans="2:14" x14ac:dyDescent="0.25">
      <c r="B1510" s="82">
        <f>SUBTOTAL(103,$D$8:D1510)</f>
        <v>1503</v>
      </c>
      <c r="C1510" s="83" t="s">
        <v>1511</v>
      </c>
      <c r="D1510" s="84">
        <v>0</v>
      </c>
      <c r="E1510" s="85" t="str">
        <f t="shared" si="163"/>
        <v/>
      </c>
      <c r="F1510" s="106" t="str">
        <f t="shared" si="169"/>
        <v/>
      </c>
      <c r="G1510" s="86"/>
      <c r="H1510" s="107">
        <f t="shared" si="164"/>
        <v>0</v>
      </c>
      <c r="I1510" s="107">
        <f t="shared" si="165"/>
        <v>0</v>
      </c>
      <c r="J1510" s="87">
        <f>IF($D1510&gt;0,IFERROR(Параметры!$D$42*$H1510/$H$2408,0),0)</f>
        <v>0</v>
      </c>
      <c r="K1510" s="87">
        <f>IFERROR(ROUND($N1510*Параметры!$D$36,2),0)</f>
        <v>0</v>
      </c>
      <c r="L1510" s="87">
        <f t="shared" si="166"/>
        <v>0</v>
      </c>
      <c r="M1510" s="87">
        <f t="shared" si="167"/>
        <v>0</v>
      </c>
      <c r="N1510" s="107" t="str">
        <f t="shared" si="168"/>
        <v/>
      </c>
    </row>
    <row r="1511" spans="2:14" x14ac:dyDescent="0.25">
      <c r="B1511" s="82">
        <f>SUBTOTAL(103,$D$8:D1511)</f>
        <v>1504</v>
      </c>
      <c r="C1511" s="83" t="s">
        <v>1512</v>
      </c>
      <c r="D1511" s="84">
        <v>0</v>
      </c>
      <c r="E1511" s="85" t="str">
        <f t="shared" si="163"/>
        <v/>
      </c>
      <c r="F1511" s="106" t="str">
        <f t="shared" si="169"/>
        <v/>
      </c>
      <c r="G1511" s="86"/>
      <c r="H1511" s="107">
        <f t="shared" si="164"/>
        <v>0</v>
      </c>
      <c r="I1511" s="107">
        <f t="shared" si="165"/>
        <v>0</v>
      </c>
      <c r="J1511" s="87">
        <f>IF($D1511&gt;0,IFERROR(Параметры!$D$42*$H1511/$H$2408,0),0)</f>
        <v>0</v>
      </c>
      <c r="K1511" s="87">
        <f>IFERROR(ROUND($N1511*Параметры!$D$36,2),0)</f>
        <v>0</v>
      </c>
      <c r="L1511" s="87">
        <f t="shared" si="166"/>
        <v>0</v>
      </c>
      <c r="M1511" s="87">
        <f t="shared" si="167"/>
        <v>0</v>
      </c>
      <c r="N1511" s="107" t="str">
        <f t="shared" si="168"/>
        <v/>
      </c>
    </row>
    <row r="1512" spans="2:14" x14ac:dyDescent="0.25">
      <c r="B1512" s="82">
        <f>SUBTOTAL(103,$D$8:D1512)</f>
        <v>1505</v>
      </c>
      <c r="C1512" s="83" t="s">
        <v>1513</v>
      </c>
      <c r="D1512" s="84">
        <v>0</v>
      </c>
      <c r="E1512" s="85" t="str">
        <f t="shared" si="163"/>
        <v/>
      </c>
      <c r="F1512" s="106" t="str">
        <f t="shared" si="169"/>
        <v/>
      </c>
      <c r="G1512" s="86"/>
      <c r="H1512" s="107">
        <f t="shared" si="164"/>
        <v>0</v>
      </c>
      <c r="I1512" s="107">
        <f t="shared" si="165"/>
        <v>0</v>
      </c>
      <c r="J1512" s="87">
        <f>IF($D1512&gt;0,IFERROR(Параметры!$D$42*$H1512/$H$2408,0),0)</f>
        <v>0</v>
      </c>
      <c r="K1512" s="87">
        <f>IFERROR(ROUND($N1512*Параметры!$D$36,2),0)</f>
        <v>0</v>
      </c>
      <c r="L1512" s="87">
        <f t="shared" si="166"/>
        <v>0</v>
      </c>
      <c r="M1512" s="87">
        <f t="shared" si="167"/>
        <v>0</v>
      </c>
      <c r="N1512" s="107" t="str">
        <f t="shared" si="168"/>
        <v/>
      </c>
    </row>
    <row r="1513" spans="2:14" x14ac:dyDescent="0.25">
      <c r="B1513" s="82">
        <f>SUBTOTAL(103,$D$8:D1513)</f>
        <v>1506</v>
      </c>
      <c r="C1513" s="83" t="s">
        <v>1514</v>
      </c>
      <c r="D1513" s="84">
        <v>0</v>
      </c>
      <c r="E1513" s="85" t="str">
        <f t="shared" si="163"/>
        <v/>
      </c>
      <c r="F1513" s="106" t="str">
        <f t="shared" si="169"/>
        <v/>
      </c>
      <c r="G1513" s="86"/>
      <c r="H1513" s="107">
        <f t="shared" si="164"/>
        <v>0</v>
      </c>
      <c r="I1513" s="107">
        <f t="shared" si="165"/>
        <v>0</v>
      </c>
      <c r="J1513" s="87">
        <f>IF($D1513&gt;0,IFERROR(Параметры!$D$42*$H1513/$H$2408,0),0)</f>
        <v>0</v>
      </c>
      <c r="K1513" s="87">
        <f>IFERROR(ROUND($N1513*Параметры!$D$36,2),0)</f>
        <v>0</v>
      </c>
      <c r="L1513" s="87">
        <f t="shared" si="166"/>
        <v>0</v>
      </c>
      <c r="M1513" s="87">
        <f t="shared" si="167"/>
        <v>0</v>
      </c>
      <c r="N1513" s="107" t="str">
        <f t="shared" si="168"/>
        <v/>
      </c>
    </row>
    <row r="1514" spans="2:14" x14ac:dyDescent="0.25">
      <c r="B1514" s="82">
        <f>SUBTOTAL(103,$D$8:D1514)</f>
        <v>1507</v>
      </c>
      <c r="C1514" s="83" t="s">
        <v>1515</v>
      </c>
      <c r="D1514" s="84">
        <v>0</v>
      </c>
      <c r="E1514" s="85" t="str">
        <f t="shared" si="163"/>
        <v/>
      </c>
      <c r="F1514" s="106" t="str">
        <f t="shared" si="169"/>
        <v/>
      </c>
      <c r="G1514" s="86"/>
      <c r="H1514" s="107">
        <f t="shared" si="164"/>
        <v>0</v>
      </c>
      <c r="I1514" s="107">
        <f t="shared" si="165"/>
        <v>0</v>
      </c>
      <c r="J1514" s="87">
        <f>IF($D1514&gt;0,IFERROR(Параметры!$D$42*$H1514/$H$2408,0),0)</f>
        <v>0</v>
      </c>
      <c r="K1514" s="87">
        <f>IFERROR(ROUND($N1514*Параметры!$D$36,2),0)</f>
        <v>0</v>
      </c>
      <c r="L1514" s="87">
        <f t="shared" si="166"/>
        <v>0</v>
      </c>
      <c r="M1514" s="87">
        <f t="shared" si="167"/>
        <v>0</v>
      </c>
      <c r="N1514" s="107" t="str">
        <f t="shared" si="168"/>
        <v/>
      </c>
    </row>
    <row r="1515" spans="2:14" x14ac:dyDescent="0.25">
      <c r="B1515" s="82">
        <f>SUBTOTAL(103,$D$8:D1515)</f>
        <v>1508</v>
      </c>
      <c r="C1515" s="83" t="s">
        <v>1516</v>
      </c>
      <c r="D1515" s="84">
        <v>0</v>
      </c>
      <c r="E1515" s="85" t="str">
        <f t="shared" si="163"/>
        <v/>
      </c>
      <c r="F1515" s="106" t="str">
        <f t="shared" si="169"/>
        <v/>
      </c>
      <c r="G1515" s="86"/>
      <c r="H1515" s="107">
        <f t="shared" si="164"/>
        <v>0</v>
      </c>
      <c r="I1515" s="107">
        <f t="shared" si="165"/>
        <v>0</v>
      </c>
      <c r="J1515" s="87">
        <f>IF($D1515&gt;0,IFERROR(Параметры!$D$42*$H1515/$H$2408,0),0)</f>
        <v>0</v>
      </c>
      <c r="K1515" s="87">
        <f>IFERROR(ROUND($N1515*Параметры!$D$36,2),0)</f>
        <v>0</v>
      </c>
      <c r="L1515" s="87">
        <f t="shared" si="166"/>
        <v>0</v>
      </c>
      <c r="M1515" s="87">
        <f t="shared" si="167"/>
        <v>0</v>
      </c>
      <c r="N1515" s="107" t="str">
        <f t="shared" si="168"/>
        <v/>
      </c>
    </row>
    <row r="1516" spans="2:14" x14ac:dyDescent="0.25">
      <c r="B1516" s="82">
        <f>SUBTOTAL(103,$D$8:D1516)</f>
        <v>1509</v>
      </c>
      <c r="C1516" s="83" t="s">
        <v>1517</v>
      </c>
      <c r="D1516" s="84">
        <v>0</v>
      </c>
      <c r="E1516" s="85" t="str">
        <f t="shared" si="163"/>
        <v/>
      </c>
      <c r="F1516" s="106" t="str">
        <f t="shared" si="169"/>
        <v/>
      </c>
      <c r="G1516" s="86"/>
      <c r="H1516" s="107">
        <f t="shared" si="164"/>
        <v>0</v>
      </c>
      <c r="I1516" s="107">
        <f t="shared" si="165"/>
        <v>0</v>
      </c>
      <c r="J1516" s="87">
        <f>IF($D1516&gt;0,IFERROR(Параметры!$D$42*$H1516/$H$2408,0),0)</f>
        <v>0</v>
      </c>
      <c r="K1516" s="87">
        <f>IFERROR(ROUND($N1516*Параметры!$D$36,2),0)</f>
        <v>0</v>
      </c>
      <c r="L1516" s="87">
        <f t="shared" si="166"/>
        <v>0</v>
      </c>
      <c r="M1516" s="87">
        <f t="shared" si="167"/>
        <v>0</v>
      </c>
      <c r="N1516" s="107" t="str">
        <f t="shared" si="168"/>
        <v/>
      </c>
    </row>
    <row r="1517" spans="2:14" x14ac:dyDescent="0.25">
      <c r="B1517" s="82">
        <f>SUBTOTAL(103,$D$8:D1517)</f>
        <v>1510</v>
      </c>
      <c r="C1517" s="83" t="s">
        <v>1518</v>
      </c>
      <c r="D1517" s="84">
        <v>0</v>
      </c>
      <c r="E1517" s="85" t="str">
        <f t="shared" si="163"/>
        <v/>
      </c>
      <c r="F1517" s="106" t="str">
        <f t="shared" si="169"/>
        <v/>
      </c>
      <c r="G1517" s="86"/>
      <c r="H1517" s="107">
        <f t="shared" si="164"/>
        <v>0</v>
      </c>
      <c r="I1517" s="107">
        <f t="shared" si="165"/>
        <v>0</v>
      </c>
      <c r="J1517" s="87">
        <f>IF($D1517&gt;0,IFERROR(Параметры!$D$42*$H1517/$H$2408,0),0)</f>
        <v>0</v>
      </c>
      <c r="K1517" s="87">
        <f>IFERROR(ROUND($N1517*Параметры!$D$36,2),0)</f>
        <v>0</v>
      </c>
      <c r="L1517" s="87">
        <f t="shared" si="166"/>
        <v>0</v>
      </c>
      <c r="M1517" s="87">
        <f t="shared" si="167"/>
        <v>0</v>
      </c>
      <c r="N1517" s="107" t="str">
        <f t="shared" si="168"/>
        <v/>
      </c>
    </row>
    <row r="1518" spans="2:14" x14ac:dyDescent="0.25">
      <c r="B1518" s="82">
        <f>SUBTOTAL(103,$D$8:D1518)</f>
        <v>1511</v>
      </c>
      <c r="C1518" s="83" t="s">
        <v>1519</v>
      </c>
      <c r="D1518" s="84">
        <v>0</v>
      </c>
      <c r="E1518" s="85" t="str">
        <f t="shared" si="163"/>
        <v/>
      </c>
      <c r="F1518" s="106" t="str">
        <f t="shared" si="169"/>
        <v/>
      </c>
      <c r="G1518" s="86"/>
      <c r="H1518" s="107">
        <f t="shared" si="164"/>
        <v>0</v>
      </c>
      <c r="I1518" s="107">
        <f t="shared" si="165"/>
        <v>0</v>
      </c>
      <c r="J1518" s="87">
        <f>IF($D1518&gt;0,IFERROR(Параметры!$D$42*$H1518/$H$2408,0),0)</f>
        <v>0</v>
      </c>
      <c r="K1518" s="87">
        <f>IFERROR(ROUND($N1518*Параметры!$D$36,2),0)</f>
        <v>0</v>
      </c>
      <c r="L1518" s="87">
        <f t="shared" si="166"/>
        <v>0</v>
      </c>
      <c r="M1518" s="87">
        <f t="shared" si="167"/>
        <v>0</v>
      </c>
      <c r="N1518" s="107" t="str">
        <f t="shared" si="168"/>
        <v/>
      </c>
    </row>
    <row r="1519" spans="2:14" x14ac:dyDescent="0.25">
      <c r="B1519" s="82">
        <f>SUBTOTAL(103,$D$8:D1519)</f>
        <v>1512</v>
      </c>
      <c r="C1519" s="83" t="s">
        <v>1520</v>
      </c>
      <c r="D1519" s="84">
        <v>0</v>
      </c>
      <c r="E1519" s="85" t="str">
        <f t="shared" si="163"/>
        <v/>
      </c>
      <c r="F1519" s="106" t="str">
        <f t="shared" si="169"/>
        <v/>
      </c>
      <c r="G1519" s="86"/>
      <c r="H1519" s="107">
        <f t="shared" si="164"/>
        <v>0</v>
      </c>
      <c r="I1519" s="107">
        <f t="shared" si="165"/>
        <v>0</v>
      </c>
      <c r="J1519" s="87">
        <f>IF($D1519&gt;0,IFERROR(Параметры!$D$42*$H1519/$H$2408,0),0)</f>
        <v>0</v>
      </c>
      <c r="K1519" s="87">
        <f>IFERROR(ROUND($N1519*Параметры!$D$36,2),0)</f>
        <v>0</v>
      </c>
      <c r="L1519" s="87">
        <f t="shared" si="166"/>
        <v>0</v>
      </c>
      <c r="M1519" s="87">
        <f t="shared" si="167"/>
        <v>0</v>
      </c>
      <c r="N1519" s="107" t="str">
        <f t="shared" si="168"/>
        <v/>
      </c>
    </row>
    <row r="1520" spans="2:14" x14ac:dyDescent="0.25">
      <c r="B1520" s="82">
        <f>SUBTOTAL(103,$D$8:D1520)</f>
        <v>1513</v>
      </c>
      <c r="C1520" s="83" t="s">
        <v>1521</v>
      </c>
      <c r="D1520" s="84">
        <v>0</v>
      </c>
      <c r="E1520" s="85" t="str">
        <f t="shared" si="163"/>
        <v/>
      </c>
      <c r="F1520" s="106" t="str">
        <f t="shared" si="169"/>
        <v/>
      </c>
      <c r="G1520" s="86"/>
      <c r="H1520" s="107">
        <f t="shared" si="164"/>
        <v>0</v>
      </c>
      <c r="I1520" s="107">
        <f t="shared" si="165"/>
        <v>0</v>
      </c>
      <c r="J1520" s="87">
        <f>IF($D1520&gt;0,IFERROR(Параметры!$D$42*$H1520/$H$2408,0),0)</f>
        <v>0</v>
      </c>
      <c r="K1520" s="87">
        <f>IFERROR(ROUND($N1520*Параметры!$D$36,2),0)</f>
        <v>0</v>
      </c>
      <c r="L1520" s="87">
        <f t="shared" si="166"/>
        <v>0</v>
      </c>
      <c r="M1520" s="87">
        <f t="shared" si="167"/>
        <v>0</v>
      </c>
      <c r="N1520" s="107" t="str">
        <f t="shared" si="168"/>
        <v/>
      </c>
    </row>
    <row r="1521" spans="2:14" x14ac:dyDescent="0.25">
      <c r="B1521" s="82">
        <f>SUBTOTAL(103,$D$8:D1521)</f>
        <v>1514</v>
      </c>
      <c r="C1521" s="83" t="s">
        <v>1522</v>
      </c>
      <c r="D1521" s="84">
        <v>0</v>
      </c>
      <c r="E1521" s="85" t="str">
        <f t="shared" si="163"/>
        <v/>
      </c>
      <c r="F1521" s="106" t="str">
        <f t="shared" si="169"/>
        <v/>
      </c>
      <c r="G1521" s="86"/>
      <c r="H1521" s="107">
        <f t="shared" si="164"/>
        <v>0</v>
      </c>
      <c r="I1521" s="107">
        <f t="shared" si="165"/>
        <v>0</v>
      </c>
      <c r="J1521" s="87">
        <f>IF($D1521&gt;0,IFERROR(Параметры!$D$42*$H1521/$H$2408,0),0)</f>
        <v>0</v>
      </c>
      <c r="K1521" s="87">
        <f>IFERROR(ROUND($N1521*Параметры!$D$36,2),0)</f>
        <v>0</v>
      </c>
      <c r="L1521" s="87">
        <f t="shared" si="166"/>
        <v>0</v>
      </c>
      <c r="M1521" s="87">
        <f t="shared" si="167"/>
        <v>0</v>
      </c>
      <c r="N1521" s="107" t="str">
        <f t="shared" si="168"/>
        <v/>
      </c>
    </row>
    <row r="1522" spans="2:14" x14ac:dyDescent="0.25">
      <c r="B1522" s="82">
        <f>SUBTOTAL(103,$D$8:D1522)</f>
        <v>1515</v>
      </c>
      <c r="C1522" s="83" t="s">
        <v>1523</v>
      </c>
      <c r="D1522" s="84">
        <v>0</v>
      </c>
      <c r="E1522" s="85" t="str">
        <f t="shared" si="163"/>
        <v/>
      </c>
      <c r="F1522" s="106" t="str">
        <f t="shared" si="169"/>
        <v/>
      </c>
      <c r="G1522" s="86"/>
      <c r="H1522" s="107">
        <f t="shared" si="164"/>
        <v>0</v>
      </c>
      <c r="I1522" s="107">
        <f t="shared" si="165"/>
        <v>0</v>
      </c>
      <c r="J1522" s="87">
        <f>IF($D1522&gt;0,IFERROR(Параметры!$D$42*$H1522/$H$2408,0),0)</f>
        <v>0</v>
      </c>
      <c r="K1522" s="87">
        <f>IFERROR(ROUND($N1522*Параметры!$D$36,2),0)</f>
        <v>0</v>
      </c>
      <c r="L1522" s="87">
        <f t="shared" si="166"/>
        <v>0</v>
      </c>
      <c r="M1522" s="87">
        <f t="shared" si="167"/>
        <v>0</v>
      </c>
      <c r="N1522" s="107" t="str">
        <f t="shared" si="168"/>
        <v/>
      </c>
    </row>
    <row r="1523" spans="2:14" x14ac:dyDescent="0.25">
      <c r="B1523" s="82">
        <f>SUBTOTAL(103,$D$8:D1523)</f>
        <v>1516</v>
      </c>
      <c r="C1523" s="83" t="s">
        <v>1524</v>
      </c>
      <c r="D1523" s="84">
        <v>0</v>
      </c>
      <c r="E1523" s="85" t="str">
        <f t="shared" si="163"/>
        <v/>
      </c>
      <c r="F1523" s="106" t="str">
        <f t="shared" si="169"/>
        <v/>
      </c>
      <c r="G1523" s="86"/>
      <c r="H1523" s="107">
        <f t="shared" si="164"/>
        <v>0</v>
      </c>
      <c r="I1523" s="107">
        <f t="shared" si="165"/>
        <v>0</v>
      </c>
      <c r="J1523" s="87">
        <f>IF($D1523&gt;0,IFERROR(Параметры!$D$42*$H1523/$H$2408,0),0)</f>
        <v>0</v>
      </c>
      <c r="K1523" s="87">
        <f>IFERROR(ROUND($N1523*Параметры!$D$36,2),0)</f>
        <v>0</v>
      </c>
      <c r="L1523" s="87">
        <f t="shared" si="166"/>
        <v>0</v>
      </c>
      <c r="M1523" s="87">
        <f t="shared" si="167"/>
        <v>0</v>
      </c>
      <c r="N1523" s="107" t="str">
        <f t="shared" si="168"/>
        <v/>
      </c>
    </row>
    <row r="1524" spans="2:14" x14ac:dyDescent="0.25">
      <c r="B1524" s="82">
        <f>SUBTOTAL(103,$D$8:D1524)</f>
        <v>1517</v>
      </c>
      <c r="C1524" s="83" t="s">
        <v>1525</v>
      </c>
      <c r="D1524" s="84">
        <v>0</v>
      </c>
      <c r="E1524" s="85" t="str">
        <f t="shared" si="163"/>
        <v/>
      </c>
      <c r="F1524" s="106" t="str">
        <f t="shared" si="169"/>
        <v/>
      </c>
      <c r="G1524" s="86"/>
      <c r="H1524" s="107">
        <f t="shared" si="164"/>
        <v>0</v>
      </c>
      <c r="I1524" s="107">
        <f t="shared" si="165"/>
        <v>0</v>
      </c>
      <c r="J1524" s="87">
        <f>IF($D1524&gt;0,IFERROR(Параметры!$D$42*$H1524/$H$2408,0),0)</f>
        <v>0</v>
      </c>
      <c r="K1524" s="87">
        <f>IFERROR(ROUND($N1524*Параметры!$D$36,2),0)</f>
        <v>0</v>
      </c>
      <c r="L1524" s="87">
        <f t="shared" si="166"/>
        <v>0</v>
      </c>
      <c r="M1524" s="87">
        <f t="shared" si="167"/>
        <v>0</v>
      </c>
      <c r="N1524" s="107" t="str">
        <f t="shared" si="168"/>
        <v/>
      </c>
    </row>
    <row r="1525" spans="2:14" x14ac:dyDescent="0.25">
      <c r="B1525" s="82">
        <f>SUBTOTAL(103,$D$8:D1525)</f>
        <v>1518</v>
      </c>
      <c r="C1525" s="83" t="s">
        <v>1526</v>
      </c>
      <c r="D1525" s="84">
        <v>0</v>
      </c>
      <c r="E1525" s="85" t="str">
        <f t="shared" si="163"/>
        <v/>
      </c>
      <c r="F1525" s="106" t="str">
        <f t="shared" si="169"/>
        <v/>
      </c>
      <c r="G1525" s="86"/>
      <c r="H1525" s="107">
        <f t="shared" si="164"/>
        <v>0</v>
      </c>
      <c r="I1525" s="107">
        <f t="shared" si="165"/>
        <v>0</v>
      </c>
      <c r="J1525" s="87">
        <f>IF($D1525&gt;0,IFERROR(Параметры!$D$42*$H1525/$H$2408,0),0)</f>
        <v>0</v>
      </c>
      <c r="K1525" s="87">
        <f>IFERROR(ROUND($N1525*Параметры!$D$36,2),0)</f>
        <v>0</v>
      </c>
      <c r="L1525" s="87">
        <f t="shared" si="166"/>
        <v>0</v>
      </c>
      <c r="M1525" s="87">
        <f t="shared" si="167"/>
        <v>0</v>
      </c>
      <c r="N1525" s="107" t="str">
        <f t="shared" si="168"/>
        <v/>
      </c>
    </row>
    <row r="1526" spans="2:14" x14ac:dyDescent="0.25">
      <c r="B1526" s="82">
        <f>SUBTOTAL(103,$D$8:D1526)</f>
        <v>1519</v>
      </c>
      <c r="C1526" s="83" t="s">
        <v>1527</v>
      </c>
      <c r="D1526" s="84">
        <v>0</v>
      </c>
      <c r="E1526" s="85" t="str">
        <f t="shared" si="163"/>
        <v/>
      </c>
      <c r="F1526" s="106" t="str">
        <f t="shared" si="169"/>
        <v/>
      </c>
      <c r="G1526" s="86"/>
      <c r="H1526" s="107">
        <f t="shared" si="164"/>
        <v>0</v>
      </c>
      <c r="I1526" s="107">
        <f t="shared" si="165"/>
        <v>0</v>
      </c>
      <c r="J1526" s="87">
        <f>IF($D1526&gt;0,IFERROR(Параметры!$D$42*$H1526/$H$2408,0),0)</f>
        <v>0</v>
      </c>
      <c r="K1526" s="87">
        <f>IFERROR(ROUND($N1526*Параметры!$D$36,2),0)</f>
        <v>0</v>
      </c>
      <c r="L1526" s="87">
        <f t="shared" si="166"/>
        <v>0</v>
      </c>
      <c r="M1526" s="87">
        <f t="shared" si="167"/>
        <v>0</v>
      </c>
      <c r="N1526" s="107" t="str">
        <f t="shared" si="168"/>
        <v/>
      </c>
    </row>
    <row r="1527" spans="2:14" x14ac:dyDescent="0.25">
      <c r="B1527" s="82">
        <f>SUBTOTAL(103,$D$8:D1527)</f>
        <v>1520</v>
      </c>
      <c r="C1527" s="83" t="s">
        <v>1528</v>
      </c>
      <c r="D1527" s="84">
        <v>0</v>
      </c>
      <c r="E1527" s="85" t="str">
        <f t="shared" si="163"/>
        <v/>
      </c>
      <c r="F1527" s="106" t="str">
        <f t="shared" si="169"/>
        <v/>
      </c>
      <c r="G1527" s="86"/>
      <c r="H1527" s="107">
        <f t="shared" si="164"/>
        <v>0</v>
      </c>
      <c r="I1527" s="107">
        <f t="shared" si="165"/>
        <v>0</v>
      </c>
      <c r="J1527" s="87">
        <f>IF($D1527&gt;0,IFERROR(Параметры!$D$42*$H1527/$H$2408,0),0)</f>
        <v>0</v>
      </c>
      <c r="K1527" s="87">
        <f>IFERROR(ROUND($N1527*Параметры!$D$36,2),0)</f>
        <v>0</v>
      </c>
      <c r="L1527" s="87">
        <f t="shared" si="166"/>
        <v>0</v>
      </c>
      <c r="M1527" s="87">
        <f t="shared" si="167"/>
        <v>0</v>
      </c>
      <c r="N1527" s="107" t="str">
        <f t="shared" si="168"/>
        <v/>
      </c>
    </row>
    <row r="1528" spans="2:14" x14ac:dyDescent="0.25">
      <c r="B1528" s="82">
        <f>SUBTOTAL(103,$D$8:D1528)</f>
        <v>1521</v>
      </c>
      <c r="C1528" s="83" t="s">
        <v>1529</v>
      </c>
      <c r="D1528" s="84">
        <v>0</v>
      </c>
      <c r="E1528" s="85" t="str">
        <f t="shared" si="163"/>
        <v/>
      </c>
      <c r="F1528" s="106" t="str">
        <f t="shared" si="169"/>
        <v/>
      </c>
      <c r="G1528" s="86"/>
      <c r="H1528" s="107">
        <f t="shared" si="164"/>
        <v>0</v>
      </c>
      <c r="I1528" s="107">
        <f t="shared" si="165"/>
        <v>0</v>
      </c>
      <c r="J1528" s="87">
        <f>IF($D1528&gt;0,IFERROR(Параметры!$D$42*$H1528/$H$2408,0),0)</f>
        <v>0</v>
      </c>
      <c r="K1528" s="87">
        <f>IFERROR(ROUND($N1528*Параметры!$D$36,2),0)</f>
        <v>0</v>
      </c>
      <c r="L1528" s="87">
        <f t="shared" si="166"/>
        <v>0</v>
      </c>
      <c r="M1528" s="87">
        <f t="shared" si="167"/>
        <v>0</v>
      </c>
      <c r="N1528" s="107" t="str">
        <f t="shared" si="168"/>
        <v/>
      </c>
    </row>
    <row r="1529" spans="2:14" x14ac:dyDescent="0.25">
      <c r="B1529" s="82">
        <f>SUBTOTAL(103,$D$8:D1529)</f>
        <v>1522</v>
      </c>
      <c r="C1529" s="83" t="s">
        <v>1530</v>
      </c>
      <c r="D1529" s="84">
        <v>0</v>
      </c>
      <c r="E1529" s="85" t="str">
        <f t="shared" si="163"/>
        <v/>
      </c>
      <c r="F1529" s="106" t="str">
        <f t="shared" si="169"/>
        <v/>
      </c>
      <c r="G1529" s="86"/>
      <c r="H1529" s="107">
        <f t="shared" si="164"/>
        <v>0</v>
      </c>
      <c r="I1529" s="107">
        <f t="shared" si="165"/>
        <v>0</v>
      </c>
      <c r="J1529" s="87">
        <f>IF($D1529&gt;0,IFERROR(Параметры!$D$42*$H1529/$H$2408,0),0)</f>
        <v>0</v>
      </c>
      <c r="K1529" s="87">
        <f>IFERROR(ROUND($N1529*Параметры!$D$36,2),0)</f>
        <v>0</v>
      </c>
      <c r="L1529" s="87">
        <f t="shared" si="166"/>
        <v>0</v>
      </c>
      <c r="M1529" s="87">
        <f t="shared" si="167"/>
        <v>0</v>
      </c>
      <c r="N1529" s="107" t="str">
        <f t="shared" si="168"/>
        <v/>
      </c>
    </row>
    <row r="1530" spans="2:14" x14ac:dyDescent="0.25">
      <c r="B1530" s="82">
        <f>SUBTOTAL(103,$D$8:D1530)</f>
        <v>1523</v>
      </c>
      <c r="C1530" s="83" t="s">
        <v>1531</v>
      </c>
      <c r="D1530" s="84">
        <v>0</v>
      </c>
      <c r="E1530" s="85" t="str">
        <f t="shared" si="163"/>
        <v/>
      </c>
      <c r="F1530" s="106" t="str">
        <f t="shared" si="169"/>
        <v/>
      </c>
      <c r="G1530" s="86"/>
      <c r="H1530" s="107">
        <f t="shared" si="164"/>
        <v>0</v>
      </c>
      <c r="I1530" s="107">
        <f t="shared" si="165"/>
        <v>0</v>
      </c>
      <c r="J1530" s="87">
        <f>IF($D1530&gt;0,IFERROR(Параметры!$D$42*$H1530/$H$2408,0),0)</f>
        <v>0</v>
      </c>
      <c r="K1530" s="87">
        <f>IFERROR(ROUND($N1530*Параметры!$D$36,2),0)</f>
        <v>0</v>
      </c>
      <c r="L1530" s="87">
        <f t="shared" si="166"/>
        <v>0</v>
      </c>
      <c r="M1530" s="87">
        <f t="shared" si="167"/>
        <v>0</v>
      </c>
      <c r="N1530" s="107" t="str">
        <f t="shared" si="168"/>
        <v/>
      </c>
    </row>
    <row r="1531" spans="2:14" x14ac:dyDescent="0.25">
      <c r="B1531" s="82">
        <f>SUBTOTAL(103,$D$8:D1531)</f>
        <v>1524</v>
      </c>
      <c r="C1531" s="83" t="s">
        <v>1532</v>
      </c>
      <c r="D1531" s="84">
        <v>0</v>
      </c>
      <c r="E1531" s="85" t="str">
        <f t="shared" si="163"/>
        <v/>
      </c>
      <c r="F1531" s="106" t="str">
        <f t="shared" si="169"/>
        <v/>
      </c>
      <c r="G1531" s="86"/>
      <c r="H1531" s="107">
        <f t="shared" si="164"/>
        <v>0</v>
      </c>
      <c r="I1531" s="107">
        <f t="shared" si="165"/>
        <v>0</v>
      </c>
      <c r="J1531" s="87">
        <f>IF($D1531&gt;0,IFERROR(Параметры!$D$42*$H1531/$H$2408,0),0)</f>
        <v>0</v>
      </c>
      <c r="K1531" s="87">
        <f>IFERROR(ROUND($N1531*Параметры!$D$36,2),0)</f>
        <v>0</v>
      </c>
      <c r="L1531" s="87">
        <f t="shared" si="166"/>
        <v>0</v>
      </c>
      <c r="M1531" s="87">
        <f t="shared" si="167"/>
        <v>0</v>
      </c>
      <c r="N1531" s="107" t="str">
        <f t="shared" si="168"/>
        <v/>
      </c>
    </row>
    <row r="1532" spans="2:14" x14ac:dyDescent="0.25">
      <c r="B1532" s="82">
        <f>SUBTOTAL(103,$D$8:D1532)</f>
        <v>1525</v>
      </c>
      <c r="C1532" s="83" t="s">
        <v>1533</v>
      </c>
      <c r="D1532" s="84">
        <v>0</v>
      </c>
      <c r="E1532" s="85" t="str">
        <f t="shared" si="163"/>
        <v/>
      </c>
      <c r="F1532" s="106" t="str">
        <f t="shared" si="169"/>
        <v/>
      </c>
      <c r="G1532" s="86"/>
      <c r="H1532" s="107">
        <f t="shared" si="164"/>
        <v>0</v>
      </c>
      <c r="I1532" s="107">
        <f t="shared" si="165"/>
        <v>0</v>
      </c>
      <c r="J1532" s="87">
        <f>IF($D1532&gt;0,IFERROR(Параметры!$D$42*$H1532/$H$2408,0),0)</f>
        <v>0</v>
      </c>
      <c r="K1532" s="87">
        <f>IFERROR(ROUND($N1532*Параметры!$D$36,2),0)</f>
        <v>0</v>
      </c>
      <c r="L1532" s="87">
        <f t="shared" si="166"/>
        <v>0</v>
      </c>
      <c r="M1532" s="87">
        <f t="shared" si="167"/>
        <v>0</v>
      </c>
      <c r="N1532" s="107" t="str">
        <f t="shared" si="168"/>
        <v/>
      </c>
    </row>
    <row r="1533" spans="2:14" x14ac:dyDescent="0.25">
      <c r="B1533" s="82">
        <f>SUBTOTAL(103,$D$8:D1533)</f>
        <v>1526</v>
      </c>
      <c r="C1533" s="83" t="s">
        <v>1526</v>
      </c>
      <c r="D1533" s="84">
        <v>0</v>
      </c>
      <c r="E1533" s="85" t="str">
        <f t="shared" si="163"/>
        <v/>
      </c>
      <c r="F1533" s="106" t="str">
        <f t="shared" si="169"/>
        <v/>
      </c>
      <c r="G1533" s="86"/>
      <c r="H1533" s="107">
        <f t="shared" si="164"/>
        <v>0</v>
      </c>
      <c r="I1533" s="107">
        <f t="shared" si="165"/>
        <v>0</v>
      </c>
      <c r="J1533" s="87">
        <f>IF($D1533&gt;0,IFERROR(Параметры!$D$42*$H1533/$H$2408,0),0)</f>
        <v>0</v>
      </c>
      <c r="K1533" s="87">
        <f>IFERROR(ROUND($N1533*Параметры!$D$36,2),0)</f>
        <v>0</v>
      </c>
      <c r="L1533" s="87">
        <f t="shared" si="166"/>
        <v>0</v>
      </c>
      <c r="M1533" s="87">
        <f t="shared" si="167"/>
        <v>0</v>
      </c>
      <c r="N1533" s="107" t="str">
        <f t="shared" si="168"/>
        <v/>
      </c>
    </row>
    <row r="1534" spans="2:14" x14ac:dyDescent="0.25">
      <c r="B1534" s="82">
        <f>SUBTOTAL(103,$D$8:D1534)</f>
        <v>1527</v>
      </c>
      <c r="C1534" s="83" t="s">
        <v>1534</v>
      </c>
      <c r="D1534" s="84">
        <v>0</v>
      </c>
      <c r="E1534" s="85" t="str">
        <f t="shared" si="163"/>
        <v/>
      </c>
      <c r="F1534" s="106" t="str">
        <f t="shared" si="169"/>
        <v/>
      </c>
      <c r="G1534" s="86"/>
      <c r="H1534" s="107">
        <f t="shared" si="164"/>
        <v>0</v>
      </c>
      <c r="I1534" s="107">
        <f t="shared" si="165"/>
        <v>0</v>
      </c>
      <c r="J1534" s="87">
        <f>IF($D1534&gt;0,IFERROR(Параметры!$D$42*$H1534/$H$2408,0),0)</f>
        <v>0</v>
      </c>
      <c r="K1534" s="87">
        <f>IFERROR(ROUND($N1534*Параметры!$D$36,2),0)</f>
        <v>0</v>
      </c>
      <c r="L1534" s="87">
        <f t="shared" si="166"/>
        <v>0</v>
      </c>
      <c r="M1534" s="87">
        <f t="shared" si="167"/>
        <v>0</v>
      </c>
      <c r="N1534" s="107" t="str">
        <f t="shared" si="168"/>
        <v/>
      </c>
    </row>
    <row r="1535" spans="2:14" x14ac:dyDescent="0.25">
      <c r="B1535" s="82">
        <f>SUBTOTAL(103,$D$8:D1535)</f>
        <v>1528</v>
      </c>
      <c r="C1535" s="83" t="s">
        <v>1535</v>
      </c>
      <c r="D1535" s="84">
        <v>0</v>
      </c>
      <c r="E1535" s="85" t="str">
        <f t="shared" si="163"/>
        <v/>
      </c>
      <c r="F1535" s="106" t="str">
        <f t="shared" si="169"/>
        <v/>
      </c>
      <c r="G1535" s="86"/>
      <c r="H1535" s="107">
        <f t="shared" si="164"/>
        <v>0</v>
      </c>
      <c r="I1535" s="107">
        <f t="shared" si="165"/>
        <v>0</v>
      </c>
      <c r="J1535" s="87">
        <f>IF($D1535&gt;0,IFERROR(Параметры!$D$42*$H1535/$H$2408,0),0)</f>
        <v>0</v>
      </c>
      <c r="K1535" s="87">
        <f>IFERROR(ROUND($N1535*Параметры!$D$36,2),0)</f>
        <v>0</v>
      </c>
      <c r="L1535" s="87">
        <f t="shared" si="166"/>
        <v>0</v>
      </c>
      <c r="M1535" s="87">
        <f t="shared" si="167"/>
        <v>0</v>
      </c>
      <c r="N1535" s="107" t="str">
        <f t="shared" si="168"/>
        <v/>
      </c>
    </row>
    <row r="1536" spans="2:14" x14ac:dyDescent="0.25">
      <c r="B1536" s="82">
        <f>SUBTOTAL(103,$D$8:D1536)</f>
        <v>1529</v>
      </c>
      <c r="C1536" s="83" t="s">
        <v>1536</v>
      </c>
      <c r="D1536" s="84">
        <v>0</v>
      </c>
      <c r="E1536" s="85" t="str">
        <f t="shared" si="163"/>
        <v/>
      </c>
      <c r="F1536" s="106" t="str">
        <f t="shared" si="169"/>
        <v/>
      </c>
      <c r="G1536" s="86"/>
      <c r="H1536" s="107">
        <f t="shared" si="164"/>
        <v>0</v>
      </c>
      <c r="I1536" s="107">
        <f t="shared" si="165"/>
        <v>0</v>
      </c>
      <c r="J1536" s="87">
        <f>IF($D1536&gt;0,IFERROR(Параметры!$D$42*$H1536/$H$2408,0),0)</f>
        <v>0</v>
      </c>
      <c r="K1536" s="87">
        <f>IFERROR(ROUND($N1536*Параметры!$D$36,2),0)</f>
        <v>0</v>
      </c>
      <c r="L1536" s="87">
        <f t="shared" si="166"/>
        <v>0</v>
      </c>
      <c r="M1536" s="87">
        <f t="shared" si="167"/>
        <v>0</v>
      </c>
      <c r="N1536" s="107" t="str">
        <f t="shared" si="168"/>
        <v/>
      </c>
    </row>
    <row r="1537" spans="2:14" x14ac:dyDescent="0.25">
      <c r="B1537" s="82">
        <f>SUBTOTAL(103,$D$8:D1537)</f>
        <v>1530</v>
      </c>
      <c r="C1537" s="83" t="s">
        <v>1537</v>
      </c>
      <c r="D1537" s="84">
        <v>0</v>
      </c>
      <c r="E1537" s="85" t="str">
        <f t="shared" si="163"/>
        <v/>
      </c>
      <c r="F1537" s="106" t="str">
        <f t="shared" si="169"/>
        <v/>
      </c>
      <c r="G1537" s="86"/>
      <c r="H1537" s="107">
        <f t="shared" si="164"/>
        <v>0</v>
      </c>
      <c r="I1537" s="107">
        <f t="shared" si="165"/>
        <v>0</v>
      </c>
      <c r="J1537" s="87">
        <f>IF($D1537&gt;0,IFERROR(Параметры!$D$42*$H1537/$H$2408,0),0)</f>
        <v>0</v>
      </c>
      <c r="K1537" s="87">
        <f>IFERROR(ROUND($N1537*Параметры!$D$36,2),0)</f>
        <v>0</v>
      </c>
      <c r="L1537" s="87">
        <f t="shared" si="166"/>
        <v>0</v>
      </c>
      <c r="M1537" s="87">
        <f t="shared" si="167"/>
        <v>0</v>
      </c>
      <c r="N1537" s="107" t="str">
        <f t="shared" si="168"/>
        <v/>
      </c>
    </row>
    <row r="1538" spans="2:14" x14ac:dyDescent="0.25">
      <c r="B1538" s="82">
        <f>SUBTOTAL(103,$D$8:D1538)</f>
        <v>1531</v>
      </c>
      <c r="C1538" s="83" t="s">
        <v>1538</v>
      </c>
      <c r="D1538" s="84">
        <v>0</v>
      </c>
      <c r="E1538" s="85" t="str">
        <f t="shared" si="163"/>
        <v/>
      </c>
      <c r="F1538" s="106" t="str">
        <f t="shared" si="169"/>
        <v/>
      </c>
      <c r="G1538" s="86"/>
      <c r="H1538" s="107">
        <f t="shared" si="164"/>
        <v>0</v>
      </c>
      <c r="I1538" s="107">
        <f t="shared" si="165"/>
        <v>0</v>
      </c>
      <c r="J1538" s="87">
        <f>IF($D1538&gt;0,IFERROR(Параметры!$D$42*$H1538/$H$2408,0),0)</f>
        <v>0</v>
      </c>
      <c r="K1538" s="87">
        <f>IFERROR(ROUND($N1538*Параметры!$D$36,2),0)</f>
        <v>0</v>
      </c>
      <c r="L1538" s="87">
        <f t="shared" si="166"/>
        <v>0</v>
      </c>
      <c r="M1538" s="87">
        <f t="shared" si="167"/>
        <v>0</v>
      </c>
      <c r="N1538" s="107" t="str">
        <f t="shared" si="168"/>
        <v/>
      </c>
    </row>
    <row r="1539" spans="2:14" x14ac:dyDescent="0.25">
      <c r="B1539" s="82">
        <f>SUBTOTAL(103,$D$8:D1539)</f>
        <v>1532</v>
      </c>
      <c r="C1539" s="83" t="s">
        <v>1539</v>
      </c>
      <c r="D1539" s="84">
        <v>0</v>
      </c>
      <c r="E1539" s="85" t="str">
        <f t="shared" si="163"/>
        <v/>
      </c>
      <c r="F1539" s="106" t="str">
        <f t="shared" si="169"/>
        <v/>
      </c>
      <c r="G1539" s="86"/>
      <c r="H1539" s="107">
        <f t="shared" si="164"/>
        <v>0</v>
      </c>
      <c r="I1539" s="107">
        <f t="shared" si="165"/>
        <v>0</v>
      </c>
      <c r="J1539" s="87">
        <f>IF($D1539&gt;0,IFERROR(Параметры!$D$42*$H1539/$H$2408,0),0)</f>
        <v>0</v>
      </c>
      <c r="K1539" s="87">
        <f>IFERROR(ROUND($N1539*Параметры!$D$36,2),0)</f>
        <v>0</v>
      </c>
      <c r="L1539" s="87">
        <f t="shared" si="166"/>
        <v>0</v>
      </c>
      <c r="M1539" s="87">
        <f t="shared" si="167"/>
        <v>0</v>
      </c>
      <c r="N1539" s="107" t="str">
        <f t="shared" si="168"/>
        <v/>
      </c>
    </row>
    <row r="1540" spans="2:14" x14ac:dyDescent="0.25">
      <c r="B1540" s="82">
        <f>SUBTOTAL(103,$D$8:D1540)</f>
        <v>1533</v>
      </c>
      <c r="C1540" s="83" t="s">
        <v>1540</v>
      </c>
      <c r="D1540" s="84">
        <v>0</v>
      </c>
      <c r="E1540" s="85" t="str">
        <f t="shared" si="163"/>
        <v/>
      </c>
      <c r="F1540" s="106" t="str">
        <f t="shared" si="169"/>
        <v/>
      </c>
      <c r="G1540" s="86"/>
      <c r="H1540" s="107">
        <f t="shared" si="164"/>
        <v>0</v>
      </c>
      <c r="I1540" s="107">
        <f t="shared" si="165"/>
        <v>0</v>
      </c>
      <c r="J1540" s="87">
        <f>IF($D1540&gt;0,IFERROR(Параметры!$D$42*$H1540/$H$2408,0),0)</f>
        <v>0</v>
      </c>
      <c r="K1540" s="87">
        <f>IFERROR(ROUND($N1540*Параметры!$D$36,2),0)</f>
        <v>0</v>
      </c>
      <c r="L1540" s="87">
        <f t="shared" si="166"/>
        <v>0</v>
      </c>
      <c r="M1540" s="87">
        <f t="shared" si="167"/>
        <v>0</v>
      </c>
      <c r="N1540" s="107" t="str">
        <f t="shared" si="168"/>
        <v/>
      </c>
    </row>
    <row r="1541" spans="2:14" x14ac:dyDescent="0.25">
      <c r="B1541" s="82">
        <f>SUBTOTAL(103,$D$8:D1541)</f>
        <v>1534</v>
      </c>
      <c r="C1541" s="83" t="s">
        <v>1541</v>
      </c>
      <c r="D1541" s="84">
        <v>0</v>
      </c>
      <c r="E1541" s="85" t="str">
        <f t="shared" si="163"/>
        <v/>
      </c>
      <c r="F1541" s="106" t="str">
        <f t="shared" si="169"/>
        <v/>
      </c>
      <c r="G1541" s="86"/>
      <c r="H1541" s="107">
        <f t="shared" si="164"/>
        <v>0</v>
      </c>
      <c r="I1541" s="107">
        <f t="shared" si="165"/>
        <v>0</v>
      </c>
      <c r="J1541" s="87">
        <f>IF($D1541&gt;0,IFERROR(Параметры!$D$42*$H1541/$H$2408,0),0)</f>
        <v>0</v>
      </c>
      <c r="K1541" s="87">
        <f>IFERROR(ROUND($N1541*Параметры!$D$36,2),0)</f>
        <v>0</v>
      </c>
      <c r="L1541" s="87">
        <f t="shared" si="166"/>
        <v>0</v>
      </c>
      <c r="M1541" s="87">
        <f t="shared" si="167"/>
        <v>0</v>
      </c>
      <c r="N1541" s="107" t="str">
        <f t="shared" si="168"/>
        <v/>
      </c>
    </row>
    <row r="1542" spans="2:14" x14ac:dyDescent="0.25">
      <c r="B1542" s="82">
        <f>SUBTOTAL(103,$D$8:D1542)</f>
        <v>1535</v>
      </c>
      <c r="C1542" s="83" t="s">
        <v>1542</v>
      </c>
      <c r="D1542" s="84">
        <v>0</v>
      </c>
      <c r="E1542" s="85" t="str">
        <f t="shared" si="163"/>
        <v/>
      </c>
      <c r="F1542" s="106" t="str">
        <f t="shared" si="169"/>
        <v/>
      </c>
      <c r="G1542" s="86"/>
      <c r="H1542" s="107">
        <f t="shared" si="164"/>
        <v>0</v>
      </c>
      <c r="I1542" s="107">
        <f t="shared" si="165"/>
        <v>0</v>
      </c>
      <c r="J1542" s="87">
        <f>IF($D1542&gt;0,IFERROR(Параметры!$D$42*$H1542/$H$2408,0),0)</f>
        <v>0</v>
      </c>
      <c r="K1542" s="87">
        <f>IFERROR(ROUND($N1542*Параметры!$D$36,2),0)</f>
        <v>0</v>
      </c>
      <c r="L1542" s="87">
        <f t="shared" si="166"/>
        <v>0</v>
      </c>
      <c r="M1542" s="87">
        <f t="shared" si="167"/>
        <v>0</v>
      </c>
      <c r="N1542" s="107" t="str">
        <f t="shared" si="168"/>
        <v/>
      </c>
    </row>
    <row r="1543" spans="2:14" x14ac:dyDescent="0.25">
      <c r="B1543" s="82">
        <f>SUBTOTAL(103,$D$8:D1543)</f>
        <v>1536</v>
      </c>
      <c r="C1543" s="83" t="s">
        <v>1543</v>
      </c>
      <c r="D1543" s="84">
        <v>0</v>
      </c>
      <c r="E1543" s="85" t="str">
        <f t="shared" si="163"/>
        <v/>
      </c>
      <c r="F1543" s="106" t="str">
        <f t="shared" si="169"/>
        <v/>
      </c>
      <c r="G1543" s="86"/>
      <c r="H1543" s="107">
        <f t="shared" si="164"/>
        <v>0</v>
      </c>
      <c r="I1543" s="107">
        <f t="shared" si="165"/>
        <v>0</v>
      </c>
      <c r="J1543" s="87">
        <f>IF($D1543&gt;0,IFERROR(Параметры!$D$42*$H1543/$H$2408,0),0)</f>
        <v>0</v>
      </c>
      <c r="K1543" s="87">
        <f>IFERROR(ROUND($N1543*Параметры!$D$36,2),0)</f>
        <v>0</v>
      </c>
      <c r="L1543" s="87">
        <f t="shared" si="166"/>
        <v>0</v>
      </c>
      <c r="M1543" s="87">
        <f t="shared" si="167"/>
        <v>0</v>
      </c>
      <c r="N1543" s="107" t="str">
        <f t="shared" si="168"/>
        <v/>
      </c>
    </row>
    <row r="1544" spans="2:14" x14ac:dyDescent="0.25">
      <c r="B1544" s="82">
        <f>SUBTOTAL(103,$D$8:D1544)</f>
        <v>1537</v>
      </c>
      <c r="C1544" s="83" t="s">
        <v>1544</v>
      </c>
      <c r="D1544" s="84">
        <v>0</v>
      </c>
      <c r="E1544" s="85" t="str">
        <f t="shared" ref="E1544:E1607" si="170">IF($D1544&lt;1,"",$K1544+$L1544)</f>
        <v/>
      </c>
      <c r="F1544" s="106" t="str">
        <f t="shared" si="169"/>
        <v/>
      </c>
      <c r="G1544" s="86"/>
      <c r="H1544" s="107">
        <f t="shared" ref="H1544:H1607" si="171">IF($D1544&gt;0,$D1544*КИС,0)</f>
        <v>0</v>
      </c>
      <c r="I1544" s="107">
        <f t="shared" ref="I1544:I1607" si="172">IF($D1544&gt;0,$D1544-$H1544,0)</f>
        <v>0</v>
      </c>
      <c r="J1544" s="87">
        <f>IF($D1544&gt;0,IFERROR(Параметры!$D$42*$H1544/$H$2408,0),0)</f>
        <v>0</v>
      </c>
      <c r="K1544" s="87">
        <f>IFERROR(ROUND($N1544*Параметры!$D$36,2),0)</f>
        <v>0</v>
      </c>
      <c r="L1544" s="87">
        <f t="shared" ref="L1544:L1607" si="173">IF($K1544&gt;0,$K1544*0.055,0)</f>
        <v>0</v>
      </c>
      <c r="M1544" s="87">
        <f t="shared" ref="M1544:M1607" si="174">IFERROR($L1544/Плотность_ДТ,0)</f>
        <v>0</v>
      </c>
      <c r="N1544" s="107" t="str">
        <f t="shared" ref="N1544:N1607" si="175">IF($D1544&gt;0,MAX(0,$D1544-IF($F1544="",0,$F1544)),"")</f>
        <v/>
      </c>
    </row>
    <row r="1545" spans="2:14" x14ac:dyDescent="0.25">
      <c r="B1545" s="82">
        <f>SUBTOTAL(103,$D$8:D1545)</f>
        <v>1538</v>
      </c>
      <c r="C1545" s="83" t="s">
        <v>1545</v>
      </c>
      <c r="D1545" s="84">
        <v>0</v>
      </c>
      <c r="E1545" s="85" t="str">
        <f t="shared" si="170"/>
        <v/>
      </c>
      <c r="F1545" s="106" t="str">
        <f t="shared" si="169"/>
        <v/>
      </c>
      <c r="G1545" s="86"/>
      <c r="H1545" s="107">
        <f t="shared" si="171"/>
        <v>0</v>
      </c>
      <c r="I1545" s="107">
        <f t="shared" si="172"/>
        <v>0</v>
      </c>
      <c r="J1545" s="87">
        <f>IF($D1545&gt;0,IFERROR(Параметры!$D$42*$H1545/$H$2408,0),0)</f>
        <v>0</v>
      </c>
      <c r="K1545" s="87">
        <f>IFERROR(ROUND($N1545*Параметры!$D$36,2),0)</f>
        <v>0</v>
      </c>
      <c r="L1545" s="87">
        <f t="shared" si="173"/>
        <v>0</v>
      </c>
      <c r="M1545" s="87">
        <f t="shared" si="174"/>
        <v>0</v>
      </c>
      <c r="N1545" s="107" t="str">
        <f t="shared" si="175"/>
        <v/>
      </c>
    </row>
    <row r="1546" spans="2:14" x14ac:dyDescent="0.25">
      <c r="B1546" s="82">
        <f>SUBTOTAL(103,$D$8:D1546)</f>
        <v>1539</v>
      </c>
      <c r="C1546" s="83" t="s">
        <v>1546</v>
      </c>
      <c r="D1546" s="84">
        <v>0</v>
      </c>
      <c r="E1546" s="85" t="str">
        <f t="shared" si="170"/>
        <v/>
      </c>
      <c r="F1546" s="106" t="str">
        <f t="shared" si="169"/>
        <v/>
      </c>
      <c r="G1546" s="86"/>
      <c r="H1546" s="107">
        <f t="shared" si="171"/>
        <v>0</v>
      </c>
      <c r="I1546" s="107">
        <f t="shared" si="172"/>
        <v>0</v>
      </c>
      <c r="J1546" s="87">
        <f>IF($D1546&gt;0,IFERROR(Параметры!$D$42*$H1546/$H$2408,0),0)</f>
        <v>0</v>
      </c>
      <c r="K1546" s="87">
        <f>IFERROR(ROUND($N1546*Параметры!$D$36,2),0)</f>
        <v>0</v>
      </c>
      <c r="L1546" s="87">
        <f t="shared" si="173"/>
        <v>0</v>
      </c>
      <c r="M1546" s="87">
        <f t="shared" si="174"/>
        <v>0</v>
      </c>
      <c r="N1546" s="107" t="str">
        <f t="shared" si="175"/>
        <v/>
      </c>
    </row>
    <row r="1547" spans="2:14" x14ac:dyDescent="0.25">
      <c r="B1547" s="82">
        <f>SUBTOTAL(103,$D$8:D1547)</f>
        <v>1540</v>
      </c>
      <c r="C1547" s="83" t="s">
        <v>1547</v>
      </c>
      <c r="D1547" s="84">
        <v>0</v>
      </c>
      <c r="E1547" s="85" t="str">
        <f t="shared" si="170"/>
        <v/>
      </c>
      <c r="F1547" s="106" t="str">
        <f t="shared" ref="F1547:F1610" si="176">IF(D1547&gt;0,2,"")</f>
        <v/>
      </c>
      <c r="G1547" s="86"/>
      <c r="H1547" s="107">
        <f t="shared" si="171"/>
        <v>0</v>
      </c>
      <c r="I1547" s="107">
        <f t="shared" si="172"/>
        <v>0</v>
      </c>
      <c r="J1547" s="87">
        <f>IF($D1547&gt;0,IFERROR(Параметры!$D$42*$H1547/$H$2408,0),0)</f>
        <v>0</v>
      </c>
      <c r="K1547" s="87">
        <f>IFERROR(ROUND($N1547*Параметры!$D$36,2),0)</f>
        <v>0</v>
      </c>
      <c r="L1547" s="87">
        <f t="shared" si="173"/>
        <v>0</v>
      </c>
      <c r="M1547" s="87">
        <f t="shared" si="174"/>
        <v>0</v>
      </c>
      <c r="N1547" s="107" t="str">
        <f t="shared" si="175"/>
        <v/>
      </c>
    </row>
    <row r="1548" spans="2:14" x14ac:dyDescent="0.25">
      <c r="B1548" s="82">
        <f>SUBTOTAL(103,$D$8:D1548)</f>
        <v>1541</v>
      </c>
      <c r="C1548" s="83" t="s">
        <v>1548</v>
      </c>
      <c r="D1548" s="84">
        <v>0</v>
      </c>
      <c r="E1548" s="85" t="str">
        <f t="shared" si="170"/>
        <v/>
      </c>
      <c r="F1548" s="106" t="str">
        <f t="shared" si="176"/>
        <v/>
      </c>
      <c r="G1548" s="86"/>
      <c r="H1548" s="107">
        <f t="shared" si="171"/>
        <v>0</v>
      </c>
      <c r="I1548" s="107">
        <f t="shared" si="172"/>
        <v>0</v>
      </c>
      <c r="J1548" s="87">
        <f>IF($D1548&gt;0,IFERROR(Параметры!$D$42*$H1548/$H$2408,0),0)</f>
        <v>0</v>
      </c>
      <c r="K1548" s="87">
        <f>IFERROR(ROUND($N1548*Параметры!$D$36,2),0)</f>
        <v>0</v>
      </c>
      <c r="L1548" s="87">
        <f t="shared" si="173"/>
        <v>0</v>
      </c>
      <c r="M1548" s="87">
        <f t="shared" si="174"/>
        <v>0</v>
      </c>
      <c r="N1548" s="107" t="str">
        <f t="shared" si="175"/>
        <v/>
      </c>
    </row>
    <row r="1549" spans="2:14" x14ac:dyDescent="0.25">
      <c r="B1549" s="82">
        <f>SUBTOTAL(103,$D$8:D1549)</f>
        <v>1542</v>
      </c>
      <c r="C1549" s="83" t="s">
        <v>1549</v>
      </c>
      <c r="D1549" s="84">
        <v>0</v>
      </c>
      <c r="E1549" s="85" t="str">
        <f t="shared" si="170"/>
        <v/>
      </c>
      <c r="F1549" s="106" t="str">
        <f t="shared" si="176"/>
        <v/>
      </c>
      <c r="G1549" s="86"/>
      <c r="H1549" s="107">
        <f t="shared" si="171"/>
        <v>0</v>
      </c>
      <c r="I1549" s="107">
        <f t="shared" si="172"/>
        <v>0</v>
      </c>
      <c r="J1549" s="87">
        <f>IF($D1549&gt;0,IFERROR(Параметры!$D$42*$H1549/$H$2408,0),0)</f>
        <v>0</v>
      </c>
      <c r="K1549" s="87">
        <f>IFERROR(ROUND($N1549*Параметры!$D$36,2),0)</f>
        <v>0</v>
      </c>
      <c r="L1549" s="87">
        <f t="shared" si="173"/>
        <v>0</v>
      </c>
      <c r="M1549" s="87">
        <f t="shared" si="174"/>
        <v>0</v>
      </c>
      <c r="N1549" s="107" t="str">
        <f t="shared" si="175"/>
        <v/>
      </c>
    </row>
    <row r="1550" spans="2:14" x14ac:dyDescent="0.25">
      <c r="B1550" s="82">
        <f>SUBTOTAL(103,$D$8:D1550)</f>
        <v>1543</v>
      </c>
      <c r="C1550" s="83" t="s">
        <v>1550</v>
      </c>
      <c r="D1550" s="84">
        <v>0</v>
      </c>
      <c r="E1550" s="85" t="str">
        <f t="shared" si="170"/>
        <v/>
      </c>
      <c r="F1550" s="106" t="str">
        <f t="shared" si="176"/>
        <v/>
      </c>
      <c r="G1550" s="86"/>
      <c r="H1550" s="107">
        <f t="shared" si="171"/>
        <v>0</v>
      </c>
      <c r="I1550" s="107">
        <f t="shared" si="172"/>
        <v>0</v>
      </c>
      <c r="J1550" s="87">
        <f>IF($D1550&gt;0,IFERROR(Параметры!$D$42*$H1550/$H$2408,0),0)</f>
        <v>0</v>
      </c>
      <c r="K1550" s="87">
        <f>IFERROR(ROUND($N1550*Параметры!$D$36,2),0)</f>
        <v>0</v>
      </c>
      <c r="L1550" s="87">
        <f t="shared" si="173"/>
        <v>0</v>
      </c>
      <c r="M1550" s="87">
        <f t="shared" si="174"/>
        <v>0</v>
      </c>
      <c r="N1550" s="107" t="str">
        <f t="shared" si="175"/>
        <v/>
      </c>
    </row>
    <row r="1551" spans="2:14" x14ac:dyDescent="0.25">
      <c r="B1551" s="82">
        <f>SUBTOTAL(103,$D$8:D1551)</f>
        <v>1544</v>
      </c>
      <c r="C1551" s="83" t="s">
        <v>1551</v>
      </c>
      <c r="D1551" s="84">
        <v>0</v>
      </c>
      <c r="E1551" s="85" t="str">
        <f t="shared" si="170"/>
        <v/>
      </c>
      <c r="F1551" s="106" t="str">
        <f t="shared" si="176"/>
        <v/>
      </c>
      <c r="G1551" s="86"/>
      <c r="H1551" s="107">
        <f t="shared" si="171"/>
        <v>0</v>
      </c>
      <c r="I1551" s="107">
        <f t="shared" si="172"/>
        <v>0</v>
      </c>
      <c r="J1551" s="87">
        <f>IF($D1551&gt;0,IFERROR(Параметры!$D$42*$H1551/$H$2408,0),0)</f>
        <v>0</v>
      </c>
      <c r="K1551" s="87">
        <f>IFERROR(ROUND($N1551*Параметры!$D$36,2),0)</f>
        <v>0</v>
      </c>
      <c r="L1551" s="87">
        <f t="shared" si="173"/>
        <v>0</v>
      </c>
      <c r="M1551" s="87">
        <f t="shared" si="174"/>
        <v>0</v>
      </c>
      <c r="N1551" s="107" t="str">
        <f t="shared" si="175"/>
        <v/>
      </c>
    </row>
    <row r="1552" spans="2:14" x14ac:dyDescent="0.25">
      <c r="B1552" s="82">
        <f>SUBTOTAL(103,$D$8:D1552)</f>
        <v>1545</v>
      </c>
      <c r="C1552" s="83" t="s">
        <v>1552</v>
      </c>
      <c r="D1552" s="84">
        <v>0</v>
      </c>
      <c r="E1552" s="85" t="str">
        <f t="shared" si="170"/>
        <v/>
      </c>
      <c r="F1552" s="106" t="str">
        <f t="shared" si="176"/>
        <v/>
      </c>
      <c r="G1552" s="86"/>
      <c r="H1552" s="107">
        <f t="shared" si="171"/>
        <v>0</v>
      </c>
      <c r="I1552" s="107">
        <f t="shared" si="172"/>
        <v>0</v>
      </c>
      <c r="J1552" s="87">
        <f>IF($D1552&gt;0,IFERROR(Параметры!$D$42*$H1552/$H$2408,0),0)</f>
        <v>0</v>
      </c>
      <c r="K1552" s="87">
        <f>IFERROR(ROUND($N1552*Параметры!$D$36,2),0)</f>
        <v>0</v>
      </c>
      <c r="L1552" s="87">
        <f t="shared" si="173"/>
        <v>0</v>
      </c>
      <c r="M1552" s="87">
        <f t="shared" si="174"/>
        <v>0</v>
      </c>
      <c r="N1552" s="107" t="str">
        <f t="shared" si="175"/>
        <v/>
      </c>
    </row>
    <row r="1553" spans="2:14" x14ac:dyDescent="0.25">
      <c r="B1553" s="82">
        <f>SUBTOTAL(103,$D$8:D1553)</f>
        <v>1546</v>
      </c>
      <c r="C1553" s="83" t="s">
        <v>1553</v>
      </c>
      <c r="D1553" s="84">
        <v>0</v>
      </c>
      <c r="E1553" s="85" t="str">
        <f t="shared" si="170"/>
        <v/>
      </c>
      <c r="F1553" s="106" t="str">
        <f t="shared" si="176"/>
        <v/>
      </c>
      <c r="G1553" s="86"/>
      <c r="H1553" s="107">
        <f t="shared" si="171"/>
        <v>0</v>
      </c>
      <c r="I1553" s="107">
        <f t="shared" si="172"/>
        <v>0</v>
      </c>
      <c r="J1553" s="87">
        <f>IF($D1553&gt;0,IFERROR(Параметры!$D$42*$H1553/$H$2408,0),0)</f>
        <v>0</v>
      </c>
      <c r="K1553" s="87">
        <f>IFERROR(ROUND($N1553*Параметры!$D$36,2),0)</f>
        <v>0</v>
      </c>
      <c r="L1553" s="87">
        <f t="shared" si="173"/>
        <v>0</v>
      </c>
      <c r="M1553" s="87">
        <f t="shared" si="174"/>
        <v>0</v>
      </c>
      <c r="N1553" s="107" t="str">
        <f t="shared" si="175"/>
        <v/>
      </c>
    </row>
    <row r="1554" spans="2:14" x14ac:dyDescent="0.25">
      <c r="B1554" s="82">
        <f>SUBTOTAL(103,$D$8:D1554)</f>
        <v>1547</v>
      </c>
      <c r="C1554" s="83" t="s">
        <v>1554</v>
      </c>
      <c r="D1554" s="84">
        <v>0</v>
      </c>
      <c r="E1554" s="85" t="str">
        <f t="shared" si="170"/>
        <v/>
      </c>
      <c r="F1554" s="106" t="str">
        <f t="shared" si="176"/>
        <v/>
      </c>
      <c r="G1554" s="86"/>
      <c r="H1554" s="107">
        <f t="shared" si="171"/>
        <v>0</v>
      </c>
      <c r="I1554" s="107">
        <f t="shared" si="172"/>
        <v>0</v>
      </c>
      <c r="J1554" s="87">
        <f>IF($D1554&gt;0,IFERROR(Параметры!$D$42*$H1554/$H$2408,0),0)</f>
        <v>0</v>
      </c>
      <c r="K1554" s="87">
        <f>IFERROR(ROUND($N1554*Параметры!$D$36,2),0)</f>
        <v>0</v>
      </c>
      <c r="L1554" s="87">
        <f t="shared" si="173"/>
        <v>0</v>
      </c>
      <c r="M1554" s="87">
        <f t="shared" si="174"/>
        <v>0</v>
      </c>
      <c r="N1554" s="107" t="str">
        <f t="shared" si="175"/>
        <v/>
      </c>
    </row>
    <row r="1555" spans="2:14" x14ac:dyDescent="0.25">
      <c r="B1555" s="82">
        <f>SUBTOTAL(103,$D$8:D1555)</f>
        <v>1548</v>
      </c>
      <c r="C1555" s="83" t="s">
        <v>1555</v>
      </c>
      <c r="D1555" s="84">
        <v>0</v>
      </c>
      <c r="E1555" s="85" t="str">
        <f t="shared" si="170"/>
        <v/>
      </c>
      <c r="F1555" s="106" t="str">
        <f t="shared" si="176"/>
        <v/>
      </c>
      <c r="G1555" s="86"/>
      <c r="H1555" s="107">
        <f t="shared" si="171"/>
        <v>0</v>
      </c>
      <c r="I1555" s="107">
        <f t="shared" si="172"/>
        <v>0</v>
      </c>
      <c r="J1555" s="87">
        <f>IF($D1555&gt;0,IFERROR(Параметры!$D$42*$H1555/$H$2408,0),0)</f>
        <v>0</v>
      </c>
      <c r="K1555" s="87">
        <f>IFERROR(ROUND($N1555*Параметры!$D$36,2),0)</f>
        <v>0</v>
      </c>
      <c r="L1555" s="87">
        <f t="shared" si="173"/>
        <v>0</v>
      </c>
      <c r="M1555" s="87">
        <f t="shared" si="174"/>
        <v>0</v>
      </c>
      <c r="N1555" s="107" t="str">
        <f t="shared" si="175"/>
        <v/>
      </c>
    </row>
    <row r="1556" spans="2:14" x14ac:dyDescent="0.25">
      <c r="B1556" s="82">
        <f>SUBTOTAL(103,$D$8:D1556)</f>
        <v>1549</v>
      </c>
      <c r="C1556" s="83" t="s">
        <v>1556</v>
      </c>
      <c r="D1556" s="84">
        <v>0</v>
      </c>
      <c r="E1556" s="85" t="str">
        <f t="shared" si="170"/>
        <v/>
      </c>
      <c r="F1556" s="106" t="str">
        <f t="shared" si="176"/>
        <v/>
      </c>
      <c r="G1556" s="86"/>
      <c r="H1556" s="107">
        <f t="shared" si="171"/>
        <v>0</v>
      </c>
      <c r="I1556" s="107">
        <f t="shared" si="172"/>
        <v>0</v>
      </c>
      <c r="J1556" s="87">
        <f>IF($D1556&gt;0,IFERROR(Параметры!$D$42*$H1556/$H$2408,0),0)</f>
        <v>0</v>
      </c>
      <c r="K1556" s="87">
        <f>IFERROR(ROUND($N1556*Параметры!$D$36,2),0)</f>
        <v>0</v>
      </c>
      <c r="L1556" s="87">
        <f t="shared" si="173"/>
        <v>0</v>
      </c>
      <c r="M1556" s="87">
        <f t="shared" si="174"/>
        <v>0</v>
      </c>
      <c r="N1556" s="107" t="str">
        <f t="shared" si="175"/>
        <v/>
      </c>
    </row>
    <row r="1557" spans="2:14" x14ac:dyDescent="0.25">
      <c r="B1557" s="82">
        <f>SUBTOTAL(103,$D$8:D1557)</f>
        <v>1550</v>
      </c>
      <c r="C1557" s="83" t="s">
        <v>1557</v>
      </c>
      <c r="D1557" s="84">
        <v>0</v>
      </c>
      <c r="E1557" s="85" t="str">
        <f t="shared" si="170"/>
        <v/>
      </c>
      <c r="F1557" s="106" t="str">
        <f t="shared" si="176"/>
        <v/>
      </c>
      <c r="G1557" s="86"/>
      <c r="H1557" s="107">
        <f t="shared" si="171"/>
        <v>0</v>
      </c>
      <c r="I1557" s="107">
        <f t="shared" si="172"/>
        <v>0</v>
      </c>
      <c r="J1557" s="87">
        <f>IF($D1557&gt;0,IFERROR(Параметры!$D$42*$H1557/$H$2408,0),0)</f>
        <v>0</v>
      </c>
      <c r="K1557" s="87">
        <f>IFERROR(ROUND($N1557*Параметры!$D$36,2),0)</f>
        <v>0</v>
      </c>
      <c r="L1557" s="87">
        <f t="shared" si="173"/>
        <v>0</v>
      </c>
      <c r="M1557" s="87">
        <f t="shared" si="174"/>
        <v>0</v>
      </c>
      <c r="N1557" s="107" t="str">
        <f t="shared" si="175"/>
        <v/>
      </c>
    </row>
    <row r="1558" spans="2:14" x14ac:dyDescent="0.25">
      <c r="B1558" s="82">
        <f>SUBTOTAL(103,$D$8:D1558)</f>
        <v>1551</v>
      </c>
      <c r="C1558" s="83" t="s">
        <v>1558</v>
      </c>
      <c r="D1558" s="84">
        <v>0</v>
      </c>
      <c r="E1558" s="85" t="str">
        <f t="shared" si="170"/>
        <v/>
      </c>
      <c r="F1558" s="106" t="str">
        <f t="shared" si="176"/>
        <v/>
      </c>
      <c r="G1558" s="86"/>
      <c r="H1558" s="107">
        <f t="shared" si="171"/>
        <v>0</v>
      </c>
      <c r="I1558" s="107">
        <f t="shared" si="172"/>
        <v>0</v>
      </c>
      <c r="J1558" s="87">
        <f>IF($D1558&gt;0,IFERROR(Параметры!$D$42*$H1558/$H$2408,0),0)</f>
        <v>0</v>
      </c>
      <c r="K1558" s="87">
        <f>IFERROR(ROUND($N1558*Параметры!$D$36,2),0)</f>
        <v>0</v>
      </c>
      <c r="L1558" s="87">
        <f t="shared" si="173"/>
        <v>0</v>
      </c>
      <c r="M1558" s="87">
        <f t="shared" si="174"/>
        <v>0</v>
      </c>
      <c r="N1558" s="107" t="str">
        <f t="shared" si="175"/>
        <v/>
      </c>
    </row>
    <row r="1559" spans="2:14" x14ac:dyDescent="0.25">
      <c r="B1559" s="82">
        <f>SUBTOTAL(103,$D$8:D1559)</f>
        <v>1552</v>
      </c>
      <c r="C1559" s="83" t="s">
        <v>1559</v>
      </c>
      <c r="D1559" s="84">
        <v>0</v>
      </c>
      <c r="E1559" s="85" t="str">
        <f t="shared" si="170"/>
        <v/>
      </c>
      <c r="F1559" s="106" t="str">
        <f t="shared" si="176"/>
        <v/>
      </c>
      <c r="G1559" s="86"/>
      <c r="H1559" s="107">
        <f t="shared" si="171"/>
        <v>0</v>
      </c>
      <c r="I1559" s="107">
        <f t="shared" si="172"/>
        <v>0</v>
      </c>
      <c r="J1559" s="87">
        <f>IF($D1559&gt;0,IFERROR(Параметры!$D$42*$H1559/$H$2408,0),0)</f>
        <v>0</v>
      </c>
      <c r="K1559" s="87">
        <f>IFERROR(ROUND($N1559*Параметры!$D$36,2),0)</f>
        <v>0</v>
      </c>
      <c r="L1559" s="87">
        <f t="shared" si="173"/>
        <v>0</v>
      </c>
      <c r="M1559" s="87">
        <f t="shared" si="174"/>
        <v>0</v>
      </c>
      <c r="N1559" s="107" t="str">
        <f t="shared" si="175"/>
        <v/>
      </c>
    </row>
    <row r="1560" spans="2:14" x14ac:dyDescent="0.25">
      <c r="B1560" s="82">
        <f>SUBTOTAL(103,$D$8:D1560)</f>
        <v>1553</v>
      </c>
      <c r="C1560" s="83" t="s">
        <v>1560</v>
      </c>
      <c r="D1560" s="84">
        <v>0</v>
      </c>
      <c r="E1560" s="85" t="str">
        <f t="shared" si="170"/>
        <v/>
      </c>
      <c r="F1560" s="106" t="str">
        <f t="shared" si="176"/>
        <v/>
      </c>
      <c r="G1560" s="86"/>
      <c r="H1560" s="107">
        <f t="shared" si="171"/>
        <v>0</v>
      </c>
      <c r="I1560" s="107">
        <f t="shared" si="172"/>
        <v>0</v>
      </c>
      <c r="J1560" s="87">
        <f>IF($D1560&gt;0,IFERROR(Параметры!$D$42*$H1560/$H$2408,0),0)</f>
        <v>0</v>
      </c>
      <c r="K1560" s="87">
        <f>IFERROR(ROUND($N1560*Параметры!$D$36,2),0)</f>
        <v>0</v>
      </c>
      <c r="L1560" s="87">
        <f t="shared" si="173"/>
        <v>0</v>
      </c>
      <c r="M1560" s="87">
        <f t="shared" si="174"/>
        <v>0</v>
      </c>
      <c r="N1560" s="107" t="str">
        <f t="shared" si="175"/>
        <v/>
      </c>
    </row>
    <row r="1561" spans="2:14" x14ac:dyDescent="0.25">
      <c r="B1561" s="82">
        <f>SUBTOTAL(103,$D$8:D1561)</f>
        <v>1554</v>
      </c>
      <c r="C1561" s="83" t="s">
        <v>1561</v>
      </c>
      <c r="D1561" s="84">
        <v>0</v>
      </c>
      <c r="E1561" s="85" t="str">
        <f t="shared" si="170"/>
        <v/>
      </c>
      <c r="F1561" s="106" t="str">
        <f t="shared" si="176"/>
        <v/>
      </c>
      <c r="G1561" s="86"/>
      <c r="H1561" s="107">
        <f t="shared" si="171"/>
        <v>0</v>
      </c>
      <c r="I1561" s="107">
        <f t="shared" si="172"/>
        <v>0</v>
      </c>
      <c r="J1561" s="87">
        <f>IF($D1561&gt;0,IFERROR(Параметры!$D$42*$H1561/$H$2408,0),0)</f>
        <v>0</v>
      </c>
      <c r="K1561" s="87">
        <f>IFERROR(ROUND($N1561*Параметры!$D$36,2),0)</f>
        <v>0</v>
      </c>
      <c r="L1561" s="87">
        <f t="shared" si="173"/>
        <v>0</v>
      </c>
      <c r="M1561" s="87">
        <f t="shared" si="174"/>
        <v>0</v>
      </c>
      <c r="N1561" s="107" t="str">
        <f t="shared" si="175"/>
        <v/>
      </c>
    </row>
    <row r="1562" spans="2:14" x14ac:dyDescent="0.25">
      <c r="B1562" s="82">
        <f>SUBTOTAL(103,$D$8:D1562)</f>
        <v>1555</v>
      </c>
      <c r="C1562" s="83" t="s">
        <v>1562</v>
      </c>
      <c r="D1562" s="84">
        <v>0</v>
      </c>
      <c r="E1562" s="85" t="str">
        <f t="shared" si="170"/>
        <v/>
      </c>
      <c r="F1562" s="106" t="str">
        <f t="shared" si="176"/>
        <v/>
      </c>
      <c r="G1562" s="86"/>
      <c r="H1562" s="107">
        <f t="shared" si="171"/>
        <v>0</v>
      </c>
      <c r="I1562" s="107">
        <f t="shared" si="172"/>
        <v>0</v>
      </c>
      <c r="J1562" s="87">
        <f>IF($D1562&gt;0,IFERROR(Параметры!$D$42*$H1562/$H$2408,0),0)</f>
        <v>0</v>
      </c>
      <c r="K1562" s="87">
        <f>IFERROR(ROUND($N1562*Параметры!$D$36,2),0)</f>
        <v>0</v>
      </c>
      <c r="L1562" s="87">
        <f t="shared" si="173"/>
        <v>0</v>
      </c>
      <c r="M1562" s="87">
        <f t="shared" si="174"/>
        <v>0</v>
      </c>
      <c r="N1562" s="107" t="str">
        <f t="shared" si="175"/>
        <v/>
      </c>
    </row>
    <row r="1563" spans="2:14" x14ac:dyDescent="0.25">
      <c r="B1563" s="82">
        <f>SUBTOTAL(103,$D$8:D1563)</f>
        <v>1556</v>
      </c>
      <c r="C1563" s="83" t="s">
        <v>1563</v>
      </c>
      <c r="D1563" s="84">
        <v>0</v>
      </c>
      <c r="E1563" s="85" t="str">
        <f t="shared" si="170"/>
        <v/>
      </c>
      <c r="F1563" s="106" t="str">
        <f t="shared" si="176"/>
        <v/>
      </c>
      <c r="G1563" s="86"/>
      <c r="H1563" s="107">
        <f t="shared" si="171"/>
        <v>0</v>
      </c>
      <c r="I1563" s="107">
        <f t="shared" si="172"/>
        <v>0</v>
      </c>
      <c r="J1563" s="87">
        <f>IF($D1563&gt;0,IFERROR(Параметры!$D$42*$H1563/$H$2408,0),0)</f>
        <v>0</v>
      </c>
      <c r="K1563" s="87">
        <f>IFERROR(ROUND($N1563*Параметры!$D$36,2),0)</f>
        <v>0</v>
      </c>
      <c r="L1563" s="87">
        <f t="shared" si="173"/>
        <v>0</v>
      </c>
      <c r="M1563" s="87">
        <f t="shared" si="174"/>
        <v>0</v>
      </c>
      <c r="N1563" s="107" t="str">
        <f t="shared" si="175"/>
        <v/>
      </c>
    </row>
    <row r="1564" spans="2:14" x14ac:dyDescent="0.25">
      <c r="B1564" s="82">
        <f>SUBTOTAL(103,$D$8:D1564)</f>
        <v>1557</v>
      </c>
      <c r="C1564" s="83" t="s">
        <v>1564</v>
      </c>
      <c r="D1564" s="84">
        <v>0</v>
      </c>
      <c r="E1564" s="85" t="str">
        <f t="shared" si="170"/>
        <v/>
      </c>
      <c r="F1564" s="106" t="str">
        <f t="shared" si="176"/>
        <v/>
      </c>
      <c r="G1564" s="86"/>
      <c r="H1564" s="107">
        <f t="shared" si="171"/>
        <v>0</v>
      </c>
      <c r="I1564" s="107">
        <f t="shared" si="172"/>
        <v>0</v>
      </c>
      <c r="J1564" s="87">
        <f>IF($D1564&gt;0,IFERROR(Параметры!$D$42*$H1564/$H$2408,0),0)</f>
        <v>0</v>
      </c>
      <c r="K1564" s="87">
        <f>IFERROR(ROUND($N1564*Параметры!$D$36,2),0)</f>
        <v>0</v>
      </c>
      <c r="L1564" s="87">
        <f t="shared" si="173"/>
        <v>0</v>
      </c>
      <c r="M1564" s="87">
        <f t="shared" si="174"/>
        <v>0</v>
      </c>
      <c r="N1564" s="107" t="str">
        <f t="shared" si="175"/>
        <v/>
      </c>
    </row>
    <row r="1565" spans="2:14" x14ac:dyDescent="0.25">
      <c r="B1565" s="82">
        <f>SUBTOTAL(103,$D$8:D1565)</f>
        <v>1558</v>
      </c>
      <c r="C1565" s="83" t="s">
        <v>1565</v>
      </c>
      <c r="D1565" s="84">
        <v>0</v>
      </c>
      <c r="E1565" s="85" t="str">
        <f t="shared" si="170"/>
        <v/>
      </c>
      <c r="F1565" s="106" t="str">
        <f t="shared" si="176"/>
        <v/>
      </c>
      <c r="G1565" s="86"/>
      <c r="H1565" s="107">
        <f t="shared" si="171"/>
        <v>0</v>
      </c>
      <c r="I1565" s="107">
        <f t="shared" si="172"/>
        <v>0</v>
      </c>
      <c r="J1565" s="87">
        <f>IF($D1565&gt;0,IFERROR(Параметры!$D$42*$H1565/$H$2408,0),0)</f>
        <v>0</v>
      </c>
      <c r="K1565" s="87">
        <f>IFERROR(ROUND($N1565*Параметры!$D$36,2),0)</f>
        <v>0</v>
      </c>
      <c r="L1565" s="87">
        <f t="shared" si="173"/>
        <v>0</v>
      </c>
      <c r="M1565" s="87">
        <f t="shared" si="174"/>
        <v>0</v>
      </c>
      <c r="N1565" s="107" t="str">
        <f t="shared" si="175"/>
        <v/>
      </c>
    </row>
    <row r="1566" spans="2:14" x14ac:dyDescent="0.25">
      <c r="B1566" s="82">
        <f>SUBTOTAL(103,$D$8:D1566)</f>
        <v>1559</v>
      </c>
      <c r="C1566" s="83" t="s">
        <v>1566</v>
      </c>
      <c r="D1566" s="84">
        <v>0</v>
      </c>
      <c r="E1566" s="85" t="str">
        <f t="shared" si="170"/>
        <v/>
      </c>
      <c r="F1566" s="106" t="str">
        <f t="shared" si="176"/>
        <v/>
      </c>
      <c r="G1566" s="86"/>
      <c r="H1566" s="107">
        <f t="shared" si="171"/>
        <v>0</v>
      </c>
      <c r="I1566" s="107">
        <f t="shared" si="172"/>
        <v>0</v>
      </c>
      <c r="J1566" s="87">
        <f>IF($D1566&gt;0,IFERROR(Параметры!$D$42*$H1566/$H$2408,0),0)</f>
        <v>0</v>
      </c>
      <c r="K1566" s="87">
        <f>IFERROR(ROUND($N1566*Параметры!$D$36,2),0)</f>
        <v>0</v>
      </c>
      <c r="L1566" s="87">
        <f t="shared" si="173"/>
        <v>0</v>
      </c>
      <c r="M1566" s="87">
        <f t="shared" si="174"/>
        <v>0</v>
      </c>
      <c r="N1566" s="107" t="str">
        <f t="shared" si="175"/>
        <v/>
      </c>
    </row>
    <row r="1567" spans="2:14" x14ac:dyDescent="0.25">
      <c r="B1567" s="82">
        <f>SUBTOTAL(103,$D$8:D1567)</f>
        <v>1560</v>
      </c>
      <c r="C1567" s="83" t="s">
        <v>1567</v>
      </c>
      <c r="D1567" s="84">
        <v>0</v>
      </c>
      <c r="E1567" s="85" t="str">
        <f t="shared" si="170"/>
        <v/>
      </c>
      <c r="F1567" s="106" t="str">
        <f t="shared" si="176"/>
        <v/>
      </c>
      <c r="G1567" s="86"/>
      <c r="H1567" s="107">
        <f t="shared" si="171"/>
        <v>0</v>
      </c>
      <c r="I1567" s="107">
        <f t="shared" si="172"/>
        <v>0</v>
      </c>
      <c r="J1567" s="87">
        <f>IF($D1567&gt;0,IFERROR(Параметры!$D$42*$H1567/$H$2408,0),0)</f>
        <v>0</v>
      </c>
      <c r="K1567" s="87">
        <f>IFERROR(ROUND($N1567*Параметры!$D$36,2),0)</f>
        <v>0</v>
      </c>
      <c r="L1567" s="87">
        <f t="shared" si="173"/>
        <v>0</v>
      </c>
      <c r="M1567" s="87">
        <f t="shared" si="174"/>
        <v>0</v>
      </c>
      <c r="N1567" s="107" t="str">
        <f t="shared" si="175"/>
        <v/>
      </c>
    </row>
    <row r="1568" spans="2:14" x14ac:dyDescent="0.25">
      <c r="B1568" s="82">
        <f>SUBTOTAL(103,$D$8:D1568)</f>
        <v>1561</v>
      </c>
      <c r="C1568" s="83" t="s">
        <v>1568</v>
      </c>
      <c r="D1568" s="84">
        <f t="array" ref="D1568:D1627">TRANSPOSE('Зарядная карта'!$C$31:$BJ$31)</f>
        <v>0</v>
      </c>
      <c r="E1568" s="85" t="str">
        <f t="shared" si="170"/>
        <v/>
      </c>
      <c r="F1568" s="106" t="str">
        <f t="shared" si="176"/>
        <v/>
      </c>
      <c r="G1568" s="86"/>
      <c r="H1568" s="107">
        <f t="shared" si="171"/>
        <v>0</v>
      </c>
      <c r="I1568" s="107">
        <f t="shared" si="172"/>
        <v>0</v>
      </c>
      <c r="J1568" s="87">
        <f>IF($D1568&gt;0,IFERROR(Параметры!$D$42*$H1568/$H$2408,0),0)</f>
        <v>0</v>
      </c>
      <c r="K1568" s="87">
        <f>IFERROR(ROUND($N1568*Параметры!$D$36,2),0)</f>
        <v>0</v>
      </c>
      <c r="L1568" s="87">
        <f t="shared" si="173"/>
        <v>0</v>
      </c>
      <c r="M1568" s="87">
        <f t="shared" si="174"/>
        <v>0</v>
      </c>
      <c r="N1568" s="107" t="str">
        <f t="shared" si="175"/>
        <v/>
      </c>
    </row>
    <row r="1569" spans="2:14" x14ac:dyDescent="0.25">
      <c r="B1569" s="82">
        <f>SUBTOTAL(103,$D$8:D1569)</f>
        <v>1562</v>
      </c>
      <c r="C1569" s="83" t="s">
        <v>1569</v>
      </c>
      <c r="D1569" s="84">
        <v>0</v>
      </c>
      <c r="E1569" s="85" t="str">
        <f t="shared" si="170"/>
        <v/>
      </c>
      <c r="F1569" s="106" t="str">
        <f t="shared" si="176"/>
        <v/>
      </c>
      <c r="G1569" s="86"/>
      <c r="H1569" s="107">
        <f t="shared" si="171"/>
        <v>0</v>
      </c>
      <c r="I1569" s="107">
        <f t="shared" si="172"/>
        <v>0</v>
      </c>
      <c r="J1569" s="87">
        <f>IF($D1569&gt;0,IFERROR(Параметры!$D$42*$H1569/$H$2408,0),0)</f>
        <v>0</v>
      </c>
      <c r="K1569" s="87">
        <f>IFERROR(ROUND($N1569*Параметры!$D$36,2),0)</f>
        <v>0</v>
      </c>
      <c r="L1569" s="87">
        <f t="shared" si="173"/>
        <v>0</v>
      </c>
      <c r="M1569" s="87">
        <f t="shared" si="174"/>
        <v>0</v>
      </c>
      <c r="N1569" s="107" t="str">
        <f t="shared" si="175"/>
        <v/>
      </c>
    </row>
    <row r="1570" spans="2:14" x14ac:dyDescent="0.25">
      <c r="B1570" s="82">
        <f>SUBTOTAL(103,$D$8:D1570)</f>
        <v>1563</v>
      </c>
      <c r="C1570" s="83" t="s">
        <v>1570</v>
      </c>
      <c r="D1570" s="84">
        <v>0</v>
      </c>
      <c r="E1570" s="85" t="str">
        <f t="shared" si="170"/>
        <v/>
      </c>
      <c r="F1570" s="106" t="str">
        <f t="shared" si="176"/>
        <v/>
      </c>
      <c r="G1570" s="86"/>
      <c r="H1570" s="107">
        <f t="shared" si="171"/>
        <v>0</v>
      </c>
      <c r="I1570" s="107">
        <f t="shared" si="172"/>
        <v>0</v>
      </c>
      <c r="J1570" s="87">
        <f>IF($D1570&gt;0,IFERROR(Параметры!$D$42*$H1570/$H$2408,0),0)</f>
        <v>0</v>
      </c>
      <c r="K1570" s="87">
        <f>IFERROR(ROUND($N1570*Параметры!$D$36,2),0)</f>
        <v>0</v>
      </c>
      <c r="L1570" s="87">
        <f t="shared" si="173"/>
        <v>0</v>
      </c>
      <c r="M1570" s="87">
        <f t="shared" si="174"/>
        <v>0</v>
      </c>
      <c r="N1570" s="107" t="str">
        <f t="shared" si="175"/>
        <v/>
      </c>
    </row>
    <row r="1571" spans="2:14" x14ac:dyDescent="0.25">
      <c r="B1571" s="82">
        <f>SUBTOTAL(103,$D$8:D1571)</f>
        <v>1564</v>
      </c>
      <c r="C1571" s="83" t="s">
        <v>1571</v>
      </c>
      <c r="D1571" s="84">
        <v>0</v>
      </c>
      <c r="E1571" s="85" t="str">
        <f t="shared" si="170"/>
        <v/>
      </c>
      <c r="F1571" s="106" t="str">
        <f t="shared" si="176"/>
        <v/>
      </c>
      <c r="G1571" s="86"/>
      <c r="H1571" s="107">
        <f t="shared" si="171"/>
        <v>0</v>
      </c>
      <c r="I1571" s="107">
        <f t="shared" si="172"/>
        <v>0</v>
      </c>
      <c r="J1571" s="87">
        <f>IF($D1571&gt;0,IFERROR(Параметры!$D$42*$H1571/$H$2408,0),0)</f>
        <v>0</v>
      </c>
      <c r="K1571" s="87">
        <f>IFERROR(ROUND($N1571*Параметры!$D$36,2),0)</f>
        <v>0</v>
      </c>
      <c r="L1571" s="87">
        <f t="shared" si="173"/>
        <v>0</v>
      </c>
      <c r="M1571" s="87">
        <f t="shared" si="174"/>
        <v>0</v>
      </c>
      <c r="N1571" s="107" t="str">
        <f t="shared" si="175"/>
        <v/>
      </c>
    </row>
    <row r="1572" spans="2:14" x14ac:dyDescent="0.25">
      <c r="B1572" s="82">
        <f>SUBTOTAL(103,$D$8:D1572)</f>
        <v>1565</v>
      </c>
      <c r="C1572" s="83" t="s">
        <v>1572</v>
      </c>
      <c r="D1572" s="84">
        <v>0</v>
      </c>
      <c r="E1572" s="85" t="str">
        <f t="shared" si="170"/>
        <v/>
      </c>
      <c r="F1572" s="106" t="str">
        <f t="shared" si="176"/>
        <v/>
      </c>
      <c r="G1572" s="86"/>
      <c r="H1572" s="107">
        <f t="shared" si="171"/>
        <v>0</v>
      </c>
      <c r="I1572" s="107">
        <f t="shared" si="172"/>
        <v>0</v>
      </c>
      <c r="J1572" s="87">
        <f>IF($D1572&gt;0,IFERROR(Параметры!$D$42*$H1572/$H$2408,0),0)</f>
        <v>0</v>
      </c>
      <c r="K1572" s="87">
        <f>IFERROR(ROUND($N1572*Параметры!$D$36,2),0)</f>
        <v>0</v>
      </c>
      <c r="L1572" s="87">
        <f t="shared" si="173"/>
        <v>0</v>
      </c>
      <c r="M1572" s="87">
        <f t="shared" si="174"/>
        <v>0</v>
      </c>
      <c r="N1572" s="107" t="str">
        <f t="shared" si="175"/>
        <v/>
      </c>
    </row>
    <row r="1573" spans="2:14" x14ac:dyDescent="0.25">
      <c r="B1573" s="82">
        <f>SUBTOTAL(103,$D$8:D1573)</f>
        <v>1566</v>
      </c>
      <c r="C1573" s="83" t="s">
        <v>1573</v>
      </c>
      <c r="D1573" s="84">
        <v>0</v>
      </c>
      <c r="E1573" s="85" t="str">
        <f t="shared" si="170"/>
        <v/>
      </c>
      <c r="F1573" s="106" t="str">
        <f t="shared" si="176"/>
        <v/>
      </c>
      <c r="G1573" s="86"/>
      <c r="H1573" s="107">
        <f t="shared" si="171"/>
        <v>0</v>
      </c>
      <c r="I1573" s="107">
        <f t="shared" si="172"/>
        <v>0</v>
      </c>
      <c r="J1573" s="87">
        <f>IF($D1573&gt;0,IFERROR(Параметры!$D$42*$H1573/$H$2408,0),0)</f>
        <v>0</v>
      </c>
      <c r="K1573" s="87">
        <f>IFERROR(ROUND($N1573*Параметры!$D$36,2),0)</f>
        <v>0</v>
      </c>
      <c r="L1573" s="87">
        <f t="shared" si="173"/>
        <v>0</v>
      </c>
      <c r="M1573" s="87">
        <f t="shared" si="174"/>
        <v>0</v>
      </c>
      <c r="N1573" s="107" t="str">
        <f t="shared" si="175"/>
        <v/>
      </c>
    </row>
    <row r="1574" spans="2:14" x14ac:dyDescent="0.25">
      <c r="B1574" s="82">
        <f>SUBTOTAL(103,$D$8:D1574)</f>
        <v>1567</v>
      </c>
      <c r="C1574" s="83" t="s">
        <v>1574</v>
      </c>
      <c r="D1574" s="84">
        <v>0</v>
      </c>
      <c r="E1574" s="85" t="str">
        <f t="shared" si="170"/>
        <v/>
      </c>
      <c r="F1574" s="106" t="str">
        <f t="shared" si="176"/>
        <v/>
      </c>
      <c r="G1574" s="86"/>
      <c r="H1574" s="107">
        <f t="shared" si="171"/>
        <v>0</v>
      </c>
      <c r="I1574" s="107">
        <f t="shared" si="172"/>
        <v>0</v>
      </c>
      <c r="J1574" s="87">
        <f>IF($D1574&gt;0,IFERROR(Параметры!$D$42*$H1574/$H$2408,0),0)</f>
        <v>0</v>
      </c>
      <c r="K1574" s="87">
        <f>IFERROR(ROUND($N1574*Параметры!$D$36,2),0)</f>
        <v>0</v>
      </c>
      <c r="L1574" s="87">
        <f t="shared" si="173"/>
        <v>0</v>
      </c>
      <c r="M1574" s="87">
        <f t="shared" si="174"/>
        <v>0</v>
      </c>
      <c r="N1574" s="107" t="str">
        <f t="shared" si="175"/>
        <v/>
      </c>
    </row>
    <row r="1575" spans="2:14" x14ac:dyDescent="0.25">
      <c r="B1575" s="82">
        <f>SUBTOTAL(103,$D$8:D1575)</f>
        <v>1568</v>
      </c>
      <c r="C1575" s="83" t="s">
        <v>1575</v>
      </c>
      <c r="D1575" s="84">
        <v>0</v>
      </c>
      <c r="E1575" s="85" t="str">
        <f t="shared" si="170"/>
        <v/>
      </c>
      <c r="F1575" s="106" t="str">
        <f t="shared" si="176"/>
        <v/>
      </c>
      <c r="G1575" s="86"/>
      <c r="H1575" s="107">
        <f t="shared" si="171"/>
        <v>0</v>
      </c>
      <c r="I1575" s="107">
        <f t="shared" si="172"/>
        <v>0</v>
      </c>
      <c r="J1575" s="87">
        <f>IF($D1575&gt;0,IFERROR(Параметры!$D$42*$H1575/$H$2408,0),0)</f>
        <v>0</v>
      </c>
      <c r="K1575" s="87">
        <f>IFERROR(ROUND($N1575*Параметры!$D$36,2),0)</f>
        <v>0</v>
      </c>
      <c r="L1575" s="87">
        <f t="shared" si="173"/>
        <v>0</v>
      </c>
      <c r="M1575" s="87">
        <f t="shared" si="174"/>
        <v>0</v>
      </c>
      <c r="N1575" s="107" t="str">
        <f t="shared" si="175"/>
        <v/>
      </c>
    </row>
    <row r="1576" spans="2:14" x14ac:dyDescent="0.25">
      <c r="B1576" s="82">
        <f>SUBTOTAL(103,$D$8:D1576)</f>
        <v>1569</v>
      </c>
      <c r="C1576" s="83" t="s">
        <v>1576</v>
      </c>
      <c r="D1576" s="84">
        <v>0</v>
      </c>
      <c r="E1576" s="85" t="str">
        <f t="shared" si="170"/>
        <v/>
      </c>
      <c r="F1576" s="106" t="str">
        <f t="shared" si="176"/>
        <v/>
      </c>
      <c r="G1576" s="86"/>
      <c r="H1576" s="107">
        <f t="shared" si="171"/>
        <v>0</v>
      </c>
      <c r="I1576" s="107">
        <f t="shared" si="172"/>
        <v>0</v>
      </c>
      <c r="J1576" s="87">
        <f>IF($D1576&gt;0,IFERROR(Параметры!$D$42*$H1576/$H$2408,0),0)</f>
        <v>0</v>
      </c>
      <c r="K1576" s="87">
        <f>IFERROR(ROUND($N1576*Параметры!$D$36,2),0)</f>
        <v>0</v>
      </c>
      <c r="L1576" s="87">
        <f t="shared" si="173"/>
        <v>0</v>
      </c>
      <c r="M1576" s="87">
        <f t="shared" si="174"/>
        <v>0</v>
      </c>
      <c r="N1576" s="107" t="str">
        <f t="shared" si="175"/>
        <v/>
      </c>
    </row>
    <row r="1577" spans="2:14" x14ac:dyDescent="0.25">
      <c r="B1577" s="82">
        <f>SUBTOTAL(103,$D$8:D1577)</f>
        <v>1570</v>
      </c>
      <c r="C1577" s="83" t="s">
        <v>1577</v>
      </c>
      <c r="D1577" s="84">
        <v>0</v>
      </c>
      <c r="E1577" s="85" t="str">
        <f t="shared" si="170"/>
        <v/>
      </c>
      <c r="F1577" s="106" t="str">
        <f t="shared" si="176"/>
        <v/>
      </c>
      <c r="G1577" s="86"/>
      <c r="H1577" s="107">
        <f t="shared" si="171"/>
        <v>0</v>
      </c>
      <c r="I1577" s="107">
        <f t="shared" si="172"/>
        <v>0</v>
      </c>
      <c r="J1577" s="87">
        <f>IF($D1577&gt;0,IFERROR(Параметры!$D$42*$H1577/$H$2408,0),0)</f>
        <v>0</v>
      </c>
      <c r="K1577" s="87">
        <f>IFERROR(ROUND($N1577*Параметры!$D$36,2),0)</f>
        <v>0</v>
      </c>
      <c r="L1577" s="87">
        <f t="shared" si="173"/>
        <v>0</v>
      </c>
      <c r="M1577" s="87">
        <f t="shared" si="174"/>
        <v>0</v>
      </c>
      <c r="N1577" s="107" t="str">
        <f t="shared" si="175"/>
        <v/>
      </c>
    </row>
    <row r="1578" spans="2:14" x14ac:dyDescent="0.25">
      <c r="B1578" s="82">
        <f>SUBTOTAL(103,$D$8:D1578)</f>
        <v>1571</v>
      </c>
      <c r="C1578" s="83" t="s">
        <v>1578</v>
      </c>
      <c r="D1578" s="84">
        <v>0</v>
      </c>
      <c r="E1578" s="85" t="str">
        <f t="shared" si="170"/>
        <v/>
      </c>
      <c r="F1578" s="106" t="str">
        <f t="shared" si="176"/>
        <v/>
      </c>
      <c r="G1578" s="86"/>
      <c r="H1578" s="107">
        <f t="shared" si="171"/>
        <v>0</v>
      </c>
      <c r="I1578" s="107">
        <f t="shared" si="172"/>
        <v>0</v>
      </c>
      <c r="J1578" s="87">
        <f>IF($D1578&gt;0,IFERROR(Параметры!$D$42*$H1578/$H$2408,0),0)</f>
        <v>0</v>
      </c>
      <c r="K1578" s="87">
        <f>IFERROR(ROUND($N1578*Параметры!$D$36,2),0)</f>
        <v>0</v>
      </c>
      <c r="L1578" s="87">
        <f t="shared" si="173"/>
        <v>0</v>
      </c>
      <c r="M1578" s="87">
        <f t="shared" si="174"/>
        <v>0</v>
      </c>
      <c r="N1578" s="107" t="str">
        <f t="shared" si="175"/>
        <v/>
      </c>
    </row>
    <row r="1579" spans="2:14" x14ac:dyDescent="0.25">
      <c r="B1579" s="82">
        <f>SUBTOTAL(103,$D$8:D1579)</f>
        <v>1572</v>
      </c>
      <c r="C1579" s="83" t="s">
        <v>1579</v>
      </c>
      <c r="D1579" s="84">
        <v>0</v>
      </c>
      <c r="E1579" s="85" t="str">
        <f t="shared" si="170"/>
        <v/>
      </c>
      <c r="F1579" s="106" t="str">
        <f t="shared" si="176"/>
        <v/>
      </c>
      <c r="G1579" s="86"/>
      <c r="H1579" s="107">
        <f t="shared" si="171"/>
        <v>0</v>
      </c>
      <c r="I1579" s="107">
        <f t="shared" si="172"/>
        <v>0</v>
      </c>
      <c r="J1579" s="87">
        <f>IF($D1579&gt;0,IFERROR(Параметры!$D$42*$H1579/$H$2408,0),0)</f>
        <v>0</v>
      </c>
      <c r="K1579" s="87">
        <f>IFERROR(ROUND($N1579*Параметры!$D$36,2),0)</f>
        <v>0</v>
      </c>
      <c r="L1579" s="87">
        <f t="shared" si="173"/>
        <v>0</v>
      </c>
      <c r="M1579" s="87">
        <f t="shared" si="174"/>
        <v>0</v>
      </c>
      <c r="N1579" s="107" t="str">
        <f t="shared" si="175"/>
        <v/>
      </c>
    </row>
    <row r="1580" spans="2:14" x14ac:dyDescent="0.25">
      <c r="B1580" s="82">
        <f>SUBTOTAL(103,$D$8:D1580)</f>
        <v>1573</v>
      </c>
      <c r="C1580" s="83" t="s">
        <v>1580</v>
      </c>
      <c r="D1580" s="84">
        <v>0</v>
      </c>
      <c r="E1580" s="85" t="str">
        <f t="shared" si="170"/>
        <v/>
      </c>
      <c r="F1580" s="106" t="str">
        <f t="shared" si="176"/>
        <v/>
      </c>
      <c r="G1580" s="86"/>
      <c r="H1580" s="107">
        <f t="shared" si="171"/>
        <v>0</v>
      </c>
      <c r="I1580" s="107">
        <f t="shared" si="172"/>
        <v>0</v>
      </c>
      <c r="J1580" s="87">
        <f>IF($D1580&gt;0,IFERROR(Параметры!$D$42*$H1580/$H$2408,0),0)</f>
        <v>0</v>
      </c>
      <c r="K1580" s="87">
        <f>IFERROR(ROUND($N1580*Параметры!$D$36,2),0)</f>
        <v>0</v>
      </c>
      <c r="L1580" s="87">
        <f t="shared" si="173"/>
        <v>0</v>
      </c>
      <c r="M1580" s="87">
        <f t="shared" si="174"/>
        <v>0</v>
      </c>
      <c r="N1580" s="107" t="str">
        <f t="shared" si="175"/>
        <v/>
      </c>
    </row>
    <row r="1581" spans="2:14" x14ac:dyDescent="0.25">
      <c r="B1581" s="82">
        <f>SUBTOTAL(103,$D$8:D1581)</f>
        <v>1574</v>
      </c>
      <c r="C1581" s="83" t="s">
        <v>1581</v>
      </c>
      <c r="D1581" s="84">
        <v>0</v>
      </c>
      <c r="E1581" s="85" t="str">
        <f t="shared" si="170"/>
        <v/>
      </c>
      <c r="F1581" s="106" t="str">
        <f t="shared" si="176"/>
        <v/>
      </c>
      <c r="G1581" s="86"/>
      <c r="H1581" s="107">
        <f t="shared" si="171"/>
        <v>0</v>
      </c>
      <c r="I1581" s="107">
        <f t="shared" si="172"/>
        <v>0</v>
      </c>
      <c r="J1581" s="87">
        <f>IF($D1581&gt;0,IFERROR(Параметры!$D$42*$H1581/$H$2408,0),0)</f>
        <v>0</v>
      </c>
      <c r="K1581" s="87">
        <f>IFERROR(ROUND($N1581*Параметры!$D$36,2),0)</f>
        <v>0</v>
      </c>
      <c r="L1581" s="87">
        <f t="shared" si="173"/>
        <v>0</v>
      </c>
      <c r="M1581" s="87">
        <f t="shared" si="174"/>
        <v>0</v>
      </c>
      <c r="N1581" s="107" t="str">
        <f t="shared" si="175"/>
        <v/>
      </c>
    </row>
    <row r="1582" spans="2:14" x14ac:dyDescent="0.25">
      <c r="B1582" s="82">
        <f>SUBTOTAL(103,$D$8:D1582)</f>
        <v>1575</v>
      </c>
      <c r="C1582" s="83" t="s">
        <v>1582</v>
      </c>
      <c r="D1582" s="84">
        <v>0</v>
      </c>
      <c r="E1582" s="85" t="str">
        <f t="shared" si="170"/>
        <v/>
      </c>
      <c r="F1582" s="106" t="str">
        <f t="shared" si="176"/>
        <v/>
      </c>
      <c r="G1582" s="86"/>
      <c r="H1582" s="107">
        <f t="shared" si="171"/>
        <v>0</v>
      </c>
      <c r="I1582" s="107">
        <f t="shared" si="172"/>
        <v>0</v>
      </c>
      <c r="J1582" s="87">
        <f>IF($D1582&gt;0,IFERROR(Параметры!$D$42*$H1582/$H$2408,0),0)</f>
        <v>0</v>
      </c>
      <c r="K1582" s="87">
        <f>IFERROR(ROUND($N1582*Параметры!$D$36,2),0)</f>
        <v>0</v>
      </c>
      <c r="L1582" s="87">
        <f t="shared" si="173"/>
        <v>0</v>
      </c>
      <c r="M1582" s="87">
        <f t="shared" si="174"/>
        <v>0</v>
      </c>
      <c r="N1582" s="107" t="str">
        <f t="shared" si="175"/>
        <v/>
      </c>
    </row>
    <row r="1583" spans="2:14" x14ac:dyDescent="0.25">
      <c r="B1583" s="82">
        <f>SUBTOTAL(103,$D$8:D1583)</f>
        <v>1576</v>
      </c>
      <c r="C1583" s="83" t="s">
        <v>1583</v>
      </c>
      <c r="D1583" s="84">
        <v>0</v>
      </c>
      <c r="E1583" s="85" t="str">
        <f t="shared" si="170"/>
        <v/>
      </c>
      <c r="F1583" s="106" t="str">
        <f t="shared" si="176"/>
        <v/>
      </c>
      <c r="G1583" s="86"/>
      <c r="H1583" s="107">
        <f t="shared" si="171"/>
        <v>0</v>
      </c>
      <c r="I1583" s="107">
        <f t="shared" si="172"/>
        <v>0</v>
      </c>
      <c r="J1583" s="87">
        <f>IF($D1583&gt;0,IFERROR(Параметры!$D$42*$H1583/$H$2408,0),0)</f>
        <v>0</v>
      </c>
      <c r="K1583" s="87">
        <f>IFERROR(ROUND($N1583*Параметры!$D$36,2),0)</f>
        <v>0</v>
      </c>
      <c r="L1583" s="87">
        <f t="shared" si="173"/>
        <v>0</v>
      </c>
      <c r="M1583" s="87">
        <f t="shared" si="174"/>
        <v>0</v>
      </c>
      <c r="N1583" s="107" t="str">
        <f t="shared" si="175"/>
        <v/>
      </c>
    </row>
    <row r="1584" spans="2:14" x14ac:dyDescent="0.25">
      <c r="B1584" s="82">
        <f>SUBTOTAL(103,$D$8:D1584)</f>
        <v>1577</v>
      </c>
      <c r="C1584" s="83" t="s">
        <v>1584</v>
      </c>
      <c r="D1584" s="84">
        <v>0</v>
      </c>
      <c r="E1584" s="85" t="str">
        <f t="shared" si="170"/>
        <v/>
      </c>
      <c r="F1584" s="106" t="str">
        <f t="shared" si="176"/>
        <v/>
      </c>
      <c r="G1584" s="86"/>
      <c r="H1584" s="107">
        <f t="shared" si="171"/>
        <v>0</v>
      </c>
      <c r="I1584" s="107">
        <f t="shared" si="172"/>
        <v>0</v>
      </c>
      <c r="J1584" s="87">
        <f>IF($D1584&gt;0,IFERROR(Параметры!$D$42*$H1584/$H$2408,0),0)</f>
        <v>0</v>
      </c>
      <c r="K1584" s="87">
        <f>IFERROR(ROUND($N1584*Параметры!$D$36,2),0)</f>
        <v>0</v>
      </c>
      <c r="L1584" s="87">
        <f t="shared" si="173"/>
        <v>0</v>
      </c>
      <c r="M1584" s="87">
        <f t="shared" si="174"/>
        <v>0</v>
      </c>
      <c r="N1584" s="107" t="str">
        <f t="shared" si="175"/>
        <v/>
      </c>
    </row>
    <row r="1585" spans="2:14" x14ac:dyDescent="0.25">
      <c r="B1585" s="82">
        <f>SUBTOTAL(103,$D$8:D1585)</f>
        <v>1578</v>
      </c>
      <c r="C1585" s="83" t="s">
        <v>1585</v>
      </c>
      <c r="D1585" s="84">
        <v>0</v>
      </c>
      <c r="E1585" s="85" t="str">
        <f t="shared" si="170"/>
        <v/>
      </c>
      <c r="F1585" s="106" t="str">
        <f t="shared" si="176"/>
        <v/>
      </c>
      <c r="G1585" s="86"/>
      <c r="H1585" s="107">
        <f t="shared" si="171"/>
        <v>0</v>
      </c>
      <c r="I1585" s="107">
        <f t="shared" si="172"/>
        <v>0</v>
      </c>
      <c r="J1585" s="87">
        <f>IF($D1585&gt;0,IFERROR(Параметры!$D$42*$H1585/$H$2408,0),0)</f>
        <v>0</v>
      </c>
      <c r="K1585" s="87">
        <f>IFERROR(ROUND($N1585*Параметры!$D$36,2),0)</f>
        <v>0</v>
      </c>
      <c r="L1585" s="87">
        <f t="shared" si="173"/>
        <v>0</v>
      </c>
      <c r="M1585" s="87">
        <f t="shared" si="174"/>
        <v>0</v>
      </c>
      <c r="N1585" s="107" t="str">
        <f t="shared" si="175"/>
        <v/>
      </c>
    </row>
    <row r="1586" spans="2:14" x14ac:dyDescent="0.25">
      <c r="B1586" s="82">
        <f>SUBTOTAL(103,$D$8:D1586)</f>
        <v>1579</v>
      </c>
      <c r="C1586" s="83" t="s">
        <v>1586</v>
      </c>
      <c r="D1586" s="84">
        <v>0</v>
      </c>
      <c r="E1586" s="85" t="str">
        <f t="shared" si="170"/>
        <v/>
      </c>
      <c r="F1586" s="106" t="str">
        <f t="shared" si="176"/>
        <v/>
      </c>
      <c r="G1586" s="86"/>
      <c r="H1586" s="107">
        <f t="shared" si="171"/>
        <v>0</v>
      </c>
      <c r="I1586" s="107">
        <f t="shared" si="172"/>
        <v>0</v>
      </c>
      <c r="J1586" s="87">
        <f>IF($D1586&gt;0,IFERROR(Параметры!$D$42*$H1586/$H$2408,0),0)</f>
        <v>0</v>
      </c>
      <c r="K1586" s="87">
        <f>IFERROR(ROUND($N1586*Параметры!$D$36,2),0)</f>
        <v>0</v>
      </c>
      <c r="L1586" s="87">
        <f t="shared" si="173"/>
        <v>0</v>
      </c>
      <c r="M1586" s="87">
        <f t="shared" si="174"/>
        <v>0</v>
      </c>
      <c r="N1586" s="107" t="str">
        <f t="shared" si="175"/>
        <v/>
      </c>
    </row>
    <row r="1587" spans="2:14" x14ac:dyDescent="0.25">
      <c r="B1587" s="82">
        <f>SUBTOTAL(103,$D$8:D1587)</f>
        <v>1580</v>
      </c>
      <c r="C1587" s="83" t="s">
        <v>1587</v>
      </c>
      <c r="D1587" s="84">
        <v>0</v>
      </c>
      <c r="E1587" s="85" t="str">
        <f t="shared" si="170"/>
        <v/>
      </c>
      <c r="F1587" s="106" t="str">
        <f t="shared" si="176"/>
        <v/>
      </c>
      <c r="G1587" s="86"/>
      <c r="H1587" s="107">
        <f t="shared" si="171"/>
        <v>0</v>
      </c>
      <c r="I1587" s="107">
        <f t="shared" si="172"/>
        <v>0</v>
      </c>
      <c r="J1587" s="87">
        <f>IF($D1587&gt;0,IFERROR(Параметры!$D$42*$H1587/$H$2408,0),0)</f>
        <v>0</v>
      </c>
      <c r="K1587" s="87">
        <f>IFERROR(ROUND($N1587*Параметры!$D$36,2),0)</f>
        <v>0</v>
      </c>
      <c r="L1587" s="87">
        <f t="shared" si="173"/>
        <v>0</v>
      </c>
      <c r="M1587" s="87">
        <f t="shared" si="174"/>
        <v>0</v>
      </c>
      <c r="N1587" s="107" t="str">
        <f t="shared" si="175"/>
        <v/>
      </c>
    </row>
    <row r="1588" spans="2:14" x14ac:dyDescent="0.25">
      <c r="B1588" s="82">
        <f>SUBTOTAL(103,$D$8:D1588)</f>
        <v>1581</v>
      </c>
      <c r="C1588" s="83" t="s">
        <v>1588</v>
      </c>
      <c r="D1588" s="84">
        <v>0</v>
      </c>
      <c r="E1588" s="85" t="str">
        <f t="shared" si="170"/>
        <v/>
      </c>
      <c r="F1588" s="106" t="str">
        <f t="shared" si="176"/>
        <v/>
      </c>
      <c r="G1588" s="86"/>
      <c r="H1588" s="107">
        <f t="shared" si="171"/>
        <v>0</v>
      </c>
      <c r="I1588" s="107">
        <f t="shared" si="172"/>
        <v>0</v>
      </c>
      <c r="J1588" s="87">
        <f>IF($D1588&gt;0,IFERROR(Параметры!$D$42*$H1588/$H$2408,0),0)</f>
        <v>0</v>
      </c>
      <c r="K1588" s="87">
        <f>IFERROR(ROUND($N1588*Параметры!$D$36,2),0)</f>
        <v>0</v>
      </c>
      <c r="L1588" s="87">
        <f t="shared" si="173"/>
        <v>0</v>
      </c>
      <c r="M1588" s="87">
        <f t="shared" si="174"/>
        <v>0</v>
      </c>
      <c r="N1588" s="107" t="str">
        <f t="shared" si="175"/>
        <v/>
      </c>
    </row>
    <row r="1589" spans="2:14" x14ac:dyDescent="0.25">
      <c r="B1589" s="82">
        <f>SUBTOTAL(103,$D$8:D1589)</f>
        <v>1582</v>
      </c>
      <c r="C1589" s="83" t="s">
        <v>1589</v>
      </c>
      <c r="D1589" s="84">
        <v>0</v>
      </c>
      <c r="E1589" s="85" t="str">
        <f t="shared" si="170"/>
        <v/>
      </c>
      <c r="F1589" s="106" t="str">
        <f t="shared" si="176"/>
        <v/>
      </c>
      <c r="G1589" s="86"/>
      <c r="H1589" s="107">
        <f t="shared" si="171"/>
        <v>0</v>
      </c>
      <c r="I1589" s="107">
        <f t="shared" si="172"/>
        <v>0</v>
      </c>
      <c r="J1589" s="87">
        <f>IF($D1589&gt;0,IFERROR(Параметры!$D$42*$H1589/$H$2408,0),0)</f>
        <v>0</v>
      </c>
      <c r="K1589" s="87">
        <f>IFERROR(ROUND($N1589*Параметры!$D$36,2),0)</f>
        <v>0</v>
      </c>
      <c r="L1589" s="87">
        <f t="shared" si="173"/>
        <v>0</v>
      </c>
      <c r="M1589" s="87">
        <f t="shared" si="174"/>
        <v>0</v>
      </c>
      <c r="N1589" s="107" t="str">
        <f t="shared" si="175"/>
        <v/>
      </c>
    </row>
    <row r="1590" spans="2:14" x14ac:dyDescent="0.25">
      <c r="B1590" s="82">
        <f>SUBTOTAL(103,$D$8:D1590)</f>
        <v>1583</v>
      </c>
      <c r="C1590" s="83" t="s">
        <v>1590</v>
      </c>
      <c r="D1590" s="84">
        <v>0</v>
      </c>
      <c r="E1590" s="85" t="str">
        <f t="shared" si="170"/>
        <v/>
      </c>
      <c r="F1590" s="106" t="str">
        <f t="shared" si="176"/>
        <v/>
      </c>
      <c r="G1590" s="86"/>
      <c r="H1590" s="107">
        <f t="shared" si="171"/>
        <v>0</v>
      </c>
      <c r="I1590" s="107">
        <f t="shared" si="172"/>
        <v>0</v>
      </c>
      <c r="J1590" s="87">
        <f>IF($D1590&gt;0,IFERROR(Параметры!$D$42*$H1590/$H$2408,0),0)</f>
        <v>0</v>
      </c>
      <c r="K1590" s="87">
        <f>IFERROR(ROUND($N1590*Параметры!$D$36,2),0)</f>
        <v>0</v>
      </c>
      <c r="L1590" s="87">
        <f t="shared" si="173"/>
        <v>0</v>
      </c>
      <c r="M1590" s="87">
        <f t="shared" si="174"/>
        <v>0</v>
      </c>
      <c r="N1590" s="107" t="str">
        <f t="shared" si="175"/>
        <v/>
      </c>
    </row>
    <row r="1591" spans="2:14" x14ac:dyDescent="0.25">
      <c r="B1591" s="82">
        <f>SUBTOTAL(103,$D$8:D1591)</f>
        <v>1584</v>
      </c>
      <c r="C1591" s="83" t="s">
        <v>1591</v>
      </c>
      <c r="D1591" s="84">
        <v>0</v>
      </c>
      <c r="E1591" s="85" t="str">
        <f t="shared" si="170"/>
        <v/>
      </c>
      <c r="F1591" s="106" t="str">
        <f t="shared" si="176"/>
        <v/>
      </c>
      <c r="G1591" s="86"/>
      <c r="H1591" s="107">
        <f t="shared" si="171"/>
        <v>0</v>
      </c>
      <c r="I1591" s="107">
        <f t="shared" si="172"/>
        <v>0</v>
      </c>
      <c r="J1591" s="87">
        <f>IF($D1591&gt;0,IFERROR(Параметры!$D$42*$H1591/$H$2408,0),0)</f>
        <v>0</v>
      </c>
      <c r="K1591" s="87">
        <f>IFERROR(ROUND($N1591*Параметры!$D$36,2),0)</f>
        <v>0</v>
      </c>
      <c r="L1591" s="87">
        <f t="shared" si="173"/>
        <v>0</v>
      </c>
      <c r="M1591" s="87">
        <f t="shared" si="174"/>
        <v>0</v>
      </c>
      <c r="N1591" s="107" t="str">
        <f t="shared" si="175"/>
        <v/>
      </c>
    </row>
    <row r="1592" spans="2:14" x14ac:dyDescent="0.25">
      <c r="B1592" s="82">
        <f>SUBTOTAL(103,$D$8:D1592)</f>
        <v>1585</v>
      </c>
      <c r="C1592" s="83" t="s">
        <v>1592</v>
      </c>
      <c r="D1592" s="84">
        <v>0</v>
      </c>
      <c r="E1592" s="85" t="str">
        <f t="shared" si="170"/>
        <v/>
      </c>
      <c r="F1592" s="106" t="str">
        <f t="shared" si="176"/>
        <v/>
      </c>
      <c r="G1592" s="86"/>
      <c r="H1592" s="107">
        <f t="shared" si="171"/>
        <v>0</v>
      </c>
      <c r="I1592" s="107">
        <f t="shared" si="172"/>
        <v>0</v>
      </c>
      <c r="J1592" s="87">
        <f>IF($D1592&gt;0,IFERROR(Параметры!$D$42*$H1592/$H$2408,0),0)</f>
        <v>0</v>
      </c>
      <c r="K1592" s="87">
        <f>IFERROR(ROUND($N1592*Параметры!$D$36,2),0)</f>
        <v>0</v>
      </c>
      <c r="L1592" s="87">
        <f t="shared" si="173"/>
        <v>0</v>
      </c>
      <c r="M1592" s="87">
        <f t="shared" si="174"/>
        <v>0</v>
      </c>
      <c r="N1592" s="107" t="str">
        <f t="shared" si="175"/>
        <v/>
      </c>
    </row>
    <row r="1593" spans="2:14" x14ac:dyDescent="0.25">
      <c r="B1593" s="82">
        <f>SUBTOTAL(103,$D$8:D1593)</f>
        <v>1586</v>
      </c>
      <c r="C1593" s="83" t="s">
        <v>1593</v>
      </c>
      <c r="D1593" s="84">
        <v>0</v>
      </c>
      <c r="E1593" s="85" t="str">
        <f t="shared" si="170"/>
        <v/>
      </c>
      <c r="F1593" s="106" t="str">
        <f t="shared" si="176"/>
        <v/>
      </c>
      <c r="G1593" s="86"/>
      <c r="H1593" s="107">
        <f t="shared" si="171"/>
        <v>0</v>
      </c>
      <c r="I1593" s="107">
        <f t="shared" si="172"/>
        <v>0</v>
      </c>
      <c r="J1593" s="87">
        <f>IF($D1593&gt;0,IFERROR(Параметры!$D$42*$H1593/$H$2408,0),0)</f>
        <v>0</v>
      </c>
      <c r="K1593" s="87">
        <f>IFERROR(ROUND($N1593*Параметры!$D$36,2),0)</f>
        <v>0</v>
      </c>
      <c r="L1593" s="87">
        <f t="shared" si="173"/>
        <v>0</v>
      </c>
      <c r="M1593" s="87">
        <f t="shared" si="174"/>
        <v>0</v>
      </c>
      <c r="N1593" s="107" t="str">
        <f t="shared" si="175"/>
        <v/>
      </c>
    </row>
    <row r="1594" spans="2:14" x14ac:dyDescent="0.25">
      <c r="B1594" s="82">
        <f>SUBTOTAL(103,$D$8:D1594)</f>
        <v>1587</v>
      </c>
      <c r="C1594" s="83" t="s">
        <v>1585</v>
      </c>
      <c r="D1594" s="84">
        <v>0</v>
      </c>
      <c r="E1594" s="85" t="str">
        <f t="shared" si="170"/>
        <v/>
      </c>
      <c r="F1594" s="106" t="str">
        <f t="shared" si="176"/>
        <v/>
      </c>
      <c r="G1594" s="86"/>
      <c r="H1594" s="107">
        <f t="shared" si="171"/>
        <v>0</v>
      </c>
      <c r="I1594" s="107">
        <f t="shared" si="172"/>
        <v>0</v>
      </c>
      <c r="J1594" s="87">
        <f>IF($D1594&gt;0,IFERROR(Параметры!$D$42*$H1594/$H$2408,0),0)</f>
        <v>0</v>
      </c>
      <c r="K1594" s="87">
        <f>IFERROR(ROUND($N1594*Параметры!$D$36,2),0)</f>
        <v>0</v>
      </c>
      <c r="L1594" s="87">
        <f t="shared" si="173"/>
        <v>0</v>
      </c>
      <c r="M1594" s="87">
        <f t="shared" si="174"/>
        <v>0</v>
      </c>
      <c r="N1594" s="107" t="str">
        <f t="shared" si="175"/>
        <v/>
      </c>
    </row>
    <row r="1595" spans="2:14" x14ac:dyDescent="0.25">
      <c r="B1595" s="82">
        <f>SUBTOTAL(103,$D$8:D1595)</f>
        <v>1588</v>
      </c>
      <c r="C1595" s="83" t="s">
        <v>1594</v>
      </c>
      <c r="D1595" s="84">
        <v>0</v>
      </c>
      <c r="E1595" s="85" t="str">
        <f t="shared" si="170"/>
        <v/>
      </c>
      <c r="F1595" s="106" t="str">
        <f t="shared" si="176"/>
        <v/>
      </c>
      <c r="G1595" s="86"/>
      <c r="H1595" s="107">
        <f t="shared" si="171"/>
        <v>0</v>
      </c>
      <c r="I1595" s="107">
        <f t="shared" si="172"/>
        <v>0</v>
      </c>
      <c r="J1595" s="87">
        <f>IF($D1595&gt;0,IFERROR(Параметры!$D$42*$H1595/$H$2408,0),0)</f>
        <v>0</v>
      </c>
      <c r="K1595" s="87">
        <f>IFERROR(ROUND($N1595*Параметры!$D$36,2),0)</f>
        <v>0</v>
      </c>
      <c r="L1595" s="87">
        <f t="shared" si="173"/>
        <v>0</v>
      </c>
      <c r="M1595" s="87">
        <f t="shared" si="174"/>
        <v>0</v>
      </c>
      <c r="N1595" s="107" t="str">
        <f t="shared" si="175"/>
        <v/>
      </c>
    </row>
    <row r="1596" spans="2:14" x14ac:dyDescent="0.25">
      <c r="B1596" s="82">
        <f>SUBTOTAL(103,$D$8:D1596)</f>
        <v>1589</v>
      </c>
      <c r="C1596" s="83" t="s">
        <v>1595</v>
      </c>
      <c r="D1596" s="84">
        <v>0</v>
      </c>
      <c r="E1596" s="85" t="str">
        <f t="shared" si="170"/>
        <v/>
      </c>
      <c r="F1596" s="106" t="str">
        <f t="shared" si="176"/>
        <v/>
      </c>
      <c r="G1596" s="86"/>
      <c r="H1596" s="107">
        <f t="shared" si="171"/>
        <v>0</v>
      </c>
      <c r="I1596" s="107">
        <f t="shared" si="172"/>
        <v>0</v>
      </c>
      <c r="J1596" s="87">
        <f>IF($D1596&gt;0,IFERROR(Параметры!$D$42*$H1596/$H$2408,0),0)</f>
        <v>0</v>
      </c>
      <c r="K1596" s="87">
        <f>IFERROR(ROUND($N1596*Параметры!$D$36,2),0)</f>
        <v>0</v>
      </c>
      <c r="L1596" s="87">
        <f t="shared" si="173"/>
        <v>0</v>
      </c>
      <c r="M1596" s="87">
        <f t="shared" si="174"/>
        <v>0</v>
      </c>
      <c r="N1596" s="107" t="str">
        <f t="shared" si="175"/>
        <v/>
      </c>
    </row>
    <row r="1597" spans="2:14" x14ac:dyDescent="0.25">
      <c r="B1597" s="82">
        <f>SUBTOTAL(103,$D$8:D1597)</f>
        <v>1590</v>
      </c>
      <c r="C1597" s="83" t="s">
        <v>1596</v>
      </c>
      <c r="D1597" s="84">
        <v>0</v>
      </c>
      <c r="E1597" s="85" t="str">
        <f t="shared" si="170"/>
        <v/>
      </c>
      <c r="F1597" s="106" t="str">
        <f t="shared" si="176"/>
        <v/>
      </c>
      <c r="G1597" s="86"/>
      <c r="H1597" s="107">
        <f t="shared" si="171"/>
        <v>0</v>
      </c>
      <c r="I1597" s="107">
        <f t="shared" si="172"/>
        <v>0</v>
      </c>
      <c r="J1597" s="87">
        <f>IF($D1597&gt;0,IFERROR(Параметры!$D$42*$H1597/$H$2408,0),0)</f>
        <v>0</v>
      </c>
      <c r="K1597" s="87">
        <f>IFERROR(ROUND($N1597*Параметры!$D$36,2),0)</f>
        <v>0</v>
      </c>
      <c r="L1597" s="87">
        <f t="shared" si="173"/>
        <v>0</v>
      </c>
      <c r="M1597" s="87">
        <f t="shared" si="174"/>
        <v>0</v>
      </c>
      <c r="N1597" s="107" t="str">
        <f t="shared" si="175"/>
        <v/>
      </c>
    </row>
    <row r="1598" spans="2:14" x14ac:dyDescent="0.25">
      <c r="B1598" s="82">
        <f>SUBTOTAL(103,$D$8:D1598)</f>
        <v>1591</v>
      </c>
      <c r="C1598" s="83" t="s">
        <v>1597</v>
      </c>
      <c r="D1598" s="84">
        <v>0</v>
      </c>
      <c r="E1598" s="85" t="str">
        <f t="shared" si="170"/>
        <v/>
      </c>
      <c r="F1598" s="106" t="str">
        <f t="shared" si="176"/>
        <v/>
      </c>
      <c r="G1598" s="86"/>
      <c r="H1598" s="107">
        <f t="shared" si="171"/>
        <v>0</v>
      </c>
      <c r="I1598" s="107">
        <f t="shared" si="172"/>
        <v>0</v>
      </c>
      <c r="J1598" s="87">
        <f>IF($D1598&gt;0,IFERROR(Параметры!$D$42*$H1598/$H$2408,0),0)</f>
        <v>0</v>
      </c>
      <c r="K1598" s="87">
        <f>IFERROR(ROUND($N1598*Параметры!$D$36,2),0)</f>
        <v>0</v>
      </c>
      <c r="L1598" s="87">
        <f t="shared" si="173"/>
        <v>0</v>
      </c>
      <c r="M1598" s="87">
        <f t="shared" si="174"/>
        <v>0</v>
      </c>
      <c r="N1598" s="107" t="str">
        <f t="shared" si="175"/>
        <v/>
      </c>
    </row>
    <row r="1599" spans="2:14" x14ac:dyDescent="0.25">
      <c r="B1599" s="82">
        <f>SUBTOTAL(103,$D$8:D1599)</f>
        <v>1592</v>
      </c>
      <c r="C1599" s="83" t="s">
        <v>1598</v>
      </c>
      <c r="D1599" s="84">
        <v>0</v>
      </c>
      <c r="E1599" s="85" t="str">
        <f t="shared" si="170"/>
        <v/>
      </c>
      <c r="F1599" s="106" t="str">
        <f t="shared" si="176"/>
        <v/>
      </c>
      <c r="G1599" s="86"/>
      <c r="H1599" s="107">
        <f t="shared" si="171"/>
        <v>0</v>
      </c>
      <c r="I1599" s="107">
        <f t="shared" si="172"/>
        <v>0</v>
      </c>
      <c r="J1599" s="87">
        <f>IF($D1599&gt;0,IFERROR(Параметры!$D$42*$H1599/$H$2408,0),0)</f>
        <v>0</v>
      </c>
      <c r="K1599" s="87">
        <f>IFERROR(ROUND($N1599*Параметры!$D$36,2),0)</f>
        <v>0</v>
      </c>
      <c r="L1599" s="87">
        <f t="shared" si="173"/>
        <v>0</v>
      </c>
      <c r="M1599" s="87">
        <f t="shared" si="174"/>
        <v>0</v>
      </c>
      <c r="N1599" s="107" t="str">
        <f t="shared" si="175"/>
        <v/>
      </c>
    </row>
    <row r="1600" spans="2:14" x14ac:dyDescent="0.25">
      <c r="B1600" s="82">
        <f>SUBTOTAL(103,$D$8:D1600)</f>
        <v>1593</v>
      </c>
      <c r="C1600" s="83" t="s">
        <v>1599</v>
      </c>
      <c r="D1600" s="84">
        <v>0</v>
      </c>
      <c r="E1600" s="85" t="str">
        <f t="shared" si="170"/>
        <v/>
      </c>
      <c r="F1600" s="106" t="str">
        <f t="shared" si="176"/>
        <v/>
      </c>
      <c r="G1600" s="86"/>
      <c r="H1600" s="107">
        <f t="shared" si="171"/>
        <v>0</v>
      </c>
      <c r="I1600" s="107">
        <f t="shared" si="172"/>
        <v>0</v>
      </c>
      <c r="J1600" s="87">
        <f>IF($D1600&gt;0,IFERROR(Параметры!$D$42*$H1600/$H$2408,0),0)</f>
        <v>0</v>
      </c>
      <c r="K1600" s="87">
        <f>IFERROR(ROUND($N1600*Параметры!$D$36,2),0)</f>
        <v>0</v>
      </c>
      <c r="L1600" s="87">
        <f t="shared" si="173"/>
        <v>0</v>
      </c>
      <c r="M1600" s="87">
        <f t="shared" si="174"/>
        <v>0</v>
      </c>
      <c r="N1600" s="107" t="str">
        <f t="shared" si="175"/>
        <v/>
      </c>
    </row>
    <row r="1601" spans="2:14" x14ac:dyDescent="0.25">
      <c r="B1601" s="82">
        <f>SUBTOTAL(103,$D$8:D1601)</f>
        <v>1594</v>
      </c>
      <c r="C1601" s="83" t="s">
        <v>1600</v>
      </c>
      <c r="D1601" s="84">
        <v>0</v>
      </c>
      <c r="E1601" s="85" t="str">
        <f t="shared" si="170"/>
        <v/>
      </c>
      <c r="F1601" s="106" t="str">
        <f t="shared" si="176"/>
        <v/>
      </c>
      <c r="G1601" s="86"/>
      <c r="H1601" s="107">
        <f t="shared" si="171"/>
        <v>0</v>
      </c>
      <c r="I1601" s="107">
        <f t="shared" si="172"/>
        <v>0</v>
      </c>
      <c r="J1601" s="87">
        <f>IF($D1601&gt;0,IFERROR(Параметры!$D$42*$H1601/$H$2408,0),0)</f>
        <v>0</v>
      </c>
      <c r="K1601" s="87">
        <f>IFERROR(ROUND($N1601*Параметры!$D$36,2),0)</f>
        <v>0</v>
      </c>
      <c r="L1601" s="87">
        <f t="shared" si="173"/>
        <v>0</v>
      </c>
      <c r="M1601" s="87">
        <f t="shared" si="174"/>
        <v>0</v>
      </c>
      <c r="N1601" s="107" t="str">
        <f t="shared" si="175"/>
        <v/>
      </c>
    </row>
    <row r="1602" spans="2:14" x14ac:dyDescent="0.25">
      <c r="B1602" s="82">
        <f>SUBTOTAL(103,$D$8:D1602)</f>
        <v>1595</v>
      </c>
      <c r="C1602" s="83" t="s">
        <v>1601</v>
      </c>
      <c r="D1602" s="84">
        <v>0</v>
      </c>
      <c r="E1602" s="85" t="str">
        <f t="shared" si="170"/>
        <v/>
      </c>
      <c r="F1602" s="106" t="str">
        <f t="shared" si="176"/>
        <v/>
      </c>
      <c r="G1602" s="86"/>
      <c r="H1602" s="107">
        <f t="shared" si="171"/>
        <v>0</v>
      </c>
      <c r="I1602" s="107">
        <f t="shared" si="172"/>
        <v>0</v>
      </c>
      <c r="J1602" s="87">
        <f>IF($D1602&gt;0,IFERROR(Параметры!$D$42*$H1602/$H$2408,0),0)</f>
        <v>0</v>
      </c>
      <c r="K1602" s="87">
        <f>IFERROR(ROUND($N1602*Параметры!$D$36,2),0)</f>
        <v>0</v>
      </c>
      <c r="L1602" s="87">
        <f t="shared" si="173"/>
        <v>0</v>
      </c>
      <c r="M1602" s="87">
        <f t="shared" si="174"/>
        <v>0</v>
      </c>
      <c r="N1602" s="107" t="str">
        <f t="shared" si="175"/>
        <v/>
      </c>
    </row>
    <row r="1603" spans="2:14" x14ac:dyDescent="0.25">
      <c r="B1603" s="82">
        <f>SUBTOTAL(103,$D$8:D1603)</f>
        <v>1596</v>
      </c>
      <c r="C1603" s="83" t="s">
        <v>1602</v>
      </c>
      <c r="D1603" s="84">
        <v>0</v>
      </c>
      <c r="E1603" s="85" t="str">
        <f t="shared" si="170"/>
        <v/>
      </c>
      <c r="F1603" s="106" t="str">
        <f t="shared" si="176"/>
        <v/>
      </c>
      <c r="G1603" s="86"/>
      <c r="H1603" s="107">
        <f t="shared" si="171"/>
        <v>0</v>
      </c>
      <c r="I1603" s="107">
        <f t="shared" si="172"/>
        <v>0</v>
      </c>
      <c r="J1603" s="87">
        <f>IF($D1603&gt;0,IFERROR(Параметры!$D$42*$H1603/$H$2408,0),0)</f>
        <v>0</v>
      </c>
      <c r="K1603" s="87">
        <f>IFERROR(ROUND($N1603*Параметры!$D$36,2),0)</f>
        <v>0</v>
      </c>
      <c r="L1603" s="87">
        <f t="shared" si="173"/>
        <v>0</v>
      </c>
      <c r="M1603" s="87">
        <f t="shared" si="174"/>
        <v>0</v>
      </c>
      <c r="N1603" s="107" t="str">
        <f t="shared" si="175"/>
        <v/>
      </c>
    </row>
    <row r="1604" spans="2:14" x14ac:dyDescent="0.25">
      <c r="B1604" s="82">
        <f>SUBTOTAL(103,$D$8:D1604)</f>
        <v>1597</v>
      </c>
      <c r="C1604" s="83" t="s">
        <v>1603</v>
      </c>
      <c r="D1604" s="84">
        <v>0</v>
      </c>
      <c r="E1604" s="85" t="str">
        <f t="shared" si="170"/>
        <v/>
      </c>
      <c r="F1604" s="106" t="str">
        <f t="shared" si="176"/>
        <v/>
      </c>
      <c r="G1604" s="86"/>
      <c r="H1604" s="107">
        <f t="shared" si="171"/>
        <v>0</v>
      </c>
      <c r="I1604" s="107">
        <f t="shared" si="172"/>
        <v>0</v>
      </c>
      <c r="J1604" s="87">
        <f>IF($D1604&gt;0,IFERROR(Параметры!$D$42*$H1604/$H$2408,0),0)</f>
        <v>0</v>
      </c>
      <c r="K1604" s="87">
        <f>IFERROR(ROUND($N1604*Параметры!$D$36,2),0)</f>
        <v>0</v>
      </c>
      <c r="L1604" s="87">
        <f t="shared" si="173"/>
        <v>0</v>
      </c>
      <c r="M1604" s="87">
        <f t="shared" si="174"/>
        <v>0</v>
      </c>
      <c r="N1604" s="107" t="str">
        <f t="shared" si="175"/>
        <v/>
      </c>
    </row>
    <row r="1605" spans="2:14" x14ac:dyDescent="0.25">
      <c r="B1605" s="82">
        <f>SUBTOTAL(103,$D$8:D1605)</f>
        <v>1598</v>
      </c>
      <c r="C1605" s="83" t="s">
        <v>1604</v>
      </c>
      <c r="D1605" s="84">
        <v>0</v>
      </c>
      <c r="E1605" s="85" t="str">
        <f t="shared" si="170"/>
        <v/>
      </c>
      <c r="F1605" s="106" t="str">
        <f t="shared" si="176"/>
        <v/>
      </c>
      <c r="G1605" s="86"/>
      <c r="H1605" s="107">
        <f t="shared" si="171"/>
        <v>0</v>
      </c>
      <c r="I1605" s="107">
        <f t="shared" si="172"/>
        <v>0</v>
      </c>
      <c r="J1605" s="87">
        <f>IF($D1605&gt;0,IFERROR(Параметры!$D$42*$H1605/$H$2408,0),0)</f>
        <v>0</v>
      </c>
      <c r="K1605" s="87">
        <f>IFERROR(ROUND($N1605*Параметры!$D$36,2),0)</f>
        <v>0</v>
      </c>
      <c r="L1605" s="87">
        <f t="shared" si="173"/>
        <v>0</v>
      </c>
      <c r="M1605" s="87">
        <f t="shared" si="174"/>
        <v>0</v>
      </c>
      <c r="N1605" s="107" t="str">
        <f t="shared" si="175"/>
        <v/>
      </c>
    </row>
    <row r="1606" spans="2:14" x14ac:dyDescent="0.25">
      <c r="B1606" s="82">
        <f>SUBTOTAL(103,$D$8:D1606)</f>
        <v>1599</v>
      </c>
      <c r="C1606" s="83" t="s">
        <v>1605</v>
      </c>
      <c r="D1606" s="84">
        <v>0</v>
      </c>
      <c r="E1606" s="85" t="str">
        <f t="shared" si="170"/>
        <v/>
      </c>
      <c r="F1606" s="106" t="str">
        <f t="shared" si="176"/>
        <v/>
      </c>
      <c r="G1606" s="86"/>
      <c r="H1606" s="107">
        <f t="shared" si="171"/>
        <v>0</v>
      </c>
      <c r="I1606" s="107">
        <f t="shared" si="172"/>
        <v>0</v>
      </c>
      <c r="J1606" s="87">
        <f>IF($D1606&gt;0,IFERROR(Параметры!$D$42*$H1606/$H$2408,0),0)</f>
        <v>0</v>
      </c>
      <c r="K1606" s="87">
        <f>IFERROR(ROUND($N1606*Параметры!$D$36,2),0)</f>
        <v>0</v>
      </c>
      <c r="L1606" s="87">
        <f t="shared" si="173"/>
        <v>0</v>
      </c>
      <c r="M1606" s="87">
        <f t="shared" si="174"/>
        <v>0</v>
      </c>
      <c r="N1606" s="107" t="str">
        <f t="shared" si="175"/>
        <v/>
      </c>
    </row>
    <row r="1607" spans="2:14" x14ac:dyDescent="0.25">
      <c r="B1607" s="82">
        <f>SUBTOTAL(103,$D$8:D1607)</f>
        <v>1600</v>
      </c>
      <c r="C1607" s="83" t="s">
        <v>1606</v>
      </c>
      <c r="D1607" s="84">
        <v>0</v>
      </c>
      <c r="E1607" s="85" t="str">
        <f t="shared" si="170"/>
        <v/>
      </c>
      <c r="F1607" s="106" t="str">
        <f t="shared" si="176"/>
        <v/>
      </c>
      <c r="G1607" s="86"/>
      <c r="H1607" s="107">
        <f t="shared" si="171"/>
        <v>0</v>
      </c>
      <c r="I1607" s="107">
        <f t="shared" si="172"/>
        <v>0</v>
      </c>
      <c r="J1607" s="87">
        <f>IF($D1607&gt;0,IFERROR(Параметры!$D$42*$H1607/$H$2408,0),0)</f>
        <v>0</v>
      </c>
      <c r="K1607" s="87">
        <f>IFERROR(ROUND($N1607*Параметры!$D$36,2),0)</f>
        <v>0</v>
      </c>
      <c r="L1607" s="87">
        <f t="shared" si="173"/>
        <v>0</v>
      </c>
      <c r="M1607" s="87">
        <f t="shared" si="174"/>
        <v>0</v>
      </c>
      <c r="N1607" s="107" t="str">
        <f t="shared" si="175"/>
        <v/>
      </c>
    </row>
    <row r="1608" spans="2:14" x14ac:dyDescent="0.25">
      <c r="B1608" s="82">
        <f>SUBTOTAL(103,$D$8:D1608)</f>
        <v>1601</v>
      </c>
      <c r="C1608" s="83" t="s">
        <v>1607</v>
      </c>
      <c r="D1608" s="84">
        <v>0</v>
      </c>
      <c r="E1608" s="85" t="str">
        <f t="shared" ref="E1608:E1671" si="177">IF($D1608&lt;1,"",$K1608+$L1608)</f>
        <v/>
      </c>
      <c r="F1608" s="106" t="str">
        <f t="shared" si="176"/>
        <v/>
      </c>
      <c r="G1608" s="86"/>
      <c r="H1608" s="107">
        <f t="shared" ref="H1608:H1671" si="178">IF($D1608&gt;0,$D1608*КИС,0)</f>
        <v>0</v>
      </c>
      <c r="I1608" s="107">
        <f t="shared" ref="I1608:I1671" si="179">IF($D1608&gt;0,$D1608-$H1608,0)</f>
        <v>0</v>
      </c>
      <c r="J1608" s="87">
        <f>IF($D1608&gt;0,IFERROR(Параметры!$D$42*$H1608/$H$2408,0),0)</f>
        <v>0</v>
      </c>
      <c r="K1608" s="87">
        <f>IFERROR(ROUND($N1608*Параметры!$D$36,2),0)</f>
        <v>0</v>
      </c>
      <c r="L1608" s="87">
        <f t="shared" ref="L1608:L1671" si="180">IF($K1608&gt;0,$K1608*0.055,0)</f>
        <v>0</v>
      </c>
      <c r="M1608" s="87">
        <f t="shared" ref="M1608:M1671" si="181">IFERROR($L1608/Плотность_ДТ,0)</f>
        <v>0</v>
      </c>
      <c r="N1608" s="107" t="str">
        <f t="shared" ref="N1608:N1671" si="182">IF($D1608&gt;0,MAX(0,$D1608-IF($F1608="",0,$F1608)),"")</f>
        <v/>
      </c>
    </row>
    <row r="1609" spans="2:14" x14ac:dyDescent="0.25">
      <c r="B1609" s="82">
        <f>SUBTOTAL(103,$D$8:D1609)</f>
        <v>1602</v>
      </c>
      <c r="C1609" s="83" t="s">
        <v>1608</v>
      </c>
      <c r="D1609" s="84">
        <v>0</v>
      </c>
      <c r="E1609" s="85" t="str">
        <f t="shared" si="177"/>
        <v/>
      </c>
      <c r="F1609" s="106" t="str">
        <f t="shared" si="176"/>
        <v/>
      </c>
      <c r="G1609" s="86"/>
      <c r="H1609" s="107">
        <f t="shared" si="178"/>
        <v>0</v>
      </c>
      <c r="I1609" s="107">
        <f t="shared" si="179"/>
        <v>0</v>
      </c>
      <c r="J1609" s="87">
        <f>IF($D1609&gt;0,IFERROR(Параметры!$D$42*$H1609/$H$2408,0),0)</f>
        <v>0</v>
      </c>
      <c r="K1609" s="87">
        <f>IFERROR(ROUND($N1609*Параметры!$D$36,2),0)</f>
        <v>0</v>
      </c>
      <c r="L1609" s="87">
        <f t="shared" si="180"/>
        <v>0</v>
      </c>
      <c r="M1609" s="87">
        <f t="shared" si="181"/>
        <v>0</v>
      </c>
      <c r="N1609" s="107" t="str">
        <f t="shared" si="182"/>
        <v/>
      </c>
    </row>
    <row r="1610" spans="2:14" x14ac:dyDescent="0.25">
      <c r="B1610" s="82">
        <f>SUBTOTAL(103,$D$8:D1610)</f>
        <v>1603</v>
      </c>
      <c r="C1610" s="83" t="s">
        <v>1609</v>
      </c>
      <c r="D1610" s="84">
        <v>0</v>
      </c>
      <c r="E1610" s="85" t="str">
        <f t="shared" si="177"/>
        <v/>
      </c>
      <c r="F1610" s="106" t="str">
        <f t="shared" si="176"/>
        <v/>
      </c>
      <c r="G1610" s="86"/>
      <c r="H1610" s="107">
        <f t="shared" si="178"/>
        <v>0</v>
      </c>
      <c r="I1610" s="107">
        <f t="shared" si="179"/>
        <v>0</v>
      </c>
      <c r="J1610" s="87">
        <f>IF($D1610&gt;0,IFERROR(Параметры!$D$42*$H1610/$H$2408,0),0)</f>
        <v>0</v>
      </c>
      <c r="K1610" s="87">
        <f>IFERROR(ROUND($N1610*Параметры!$D$36,2),0)</f>
        <v>0</v>
      </c>
      <c r="L1610" s="87">
        <f t="shared" si="180"/>
        <v>0</v>
      </c>
      <c r="M1610" s="87">
        <f t="shared" si="181"/>
        <v>0</v>
      </c>
      <c r="N1610" s="107" t="str">
        <f t="shared" si="182"/>
        <v/>
      </c>
    </row>
    <row r="1611" spans="2:14" x14ac:dyDescent="0.25">
      <c r="B1611" s="82">
        <f>SUBTOTAL(103,$D$8:D1611)</f>
        <v>1604</v>
      </c>
      <c r="C1611" s="83" t="s">
        <v>1610</v>
      </c>
      <c r="D1611" s="84">
        <v>0</v>
      </c>
      <c r="E1611" s="85" t="str">
        <f t="shared" si="177"/>
        <v/>
      </c>
      <c r="F1611" s="106" t="str">
        <f t="shared" ref="F1611:F1674" si="183">IF(D1611&gt;0,2,"")</f>
        <v/>
      </c>
      <c r="G1611" s="86"/>
      <c r="H1611" s="107">
        <f t="shared" si="178"/>
        <v>0</v>
      </c>
      <c r="I1611" s="107">
        <f t="shared" si="179"/>
        <v>0</v>
      </c>
      <c r="J1611" s="87">
        <f>IF($D1611&gt;0,IFERROR(Параметры!$D$42*$H1611/$H$2408,0),0)</f>
        <v>0</v>
      </c>
      <c r="K1611" s="87">
        <f>IFERROR(ROUND($N1611*Параметры!$D$36,2),0)</f>
        <v>0</v>
      </c>
      <c r="L1611" s="87">
        <f t="shared" si="180"/>
        <v>0</v>
      </c>
      <c r="M1611" s="87">
        <f t="shared" si="181"/>
        <v>0</v>
      </c>
      <c r="N1611" s="107" t="str">
        <f t="shared" si="182"/>
        <v/>
      </c>
    </row>
    <row r="1612" spans="2:14" x14ac:dyDescent="0.25">
      <c r="B1612" s="82">
        <f>SUBTOTAL(103,$D$8:D1612)</f>
        <v>1605</v>
      </c>
      <c r="C1612" s="83" t="s">
        <v>1611</v>
      </c>
      <c r="D1612" s="84">
        <v>0</v>
      </c>
      <c r="E1612" s="85" t="str">
        <f t="shared" si="177"/>
        <v/>
      </c>
      <c r="F1612" s="106" t="str">
        <f t="shared" si="183"/>
        <v/>
      </c>
      <c r="G1612" s="86"/>
      <c r="H1612" s="107">
        <f t="shared" si="178"/>
        <v>0</v>
      </c>
      <c r="I1612" s="107">
        <f t="shared" si="179"/>
        <v>0</v>
      </c>
      <c r="J1612" s="87">
        <f>IF($D1612&gt;0,IFERROR(Параметры!$D$42*$H1612/$H$2408,0),0)</f>
        <v>0</v>
      </c>
      <c r="K1612" s="87">
        <f>IFERROR(ROUND($N1612*Параметры!$D$36,2),0)</f>
        <v>0</v>
      </c>
      <c r="L1612" s="87">
        <f t="shared" si="180"/>
        <v>0</v>
      </c>
      <c r="M1612" s="87">
        <f t="shared" si="181"/>
        <v>0</v>
      </c>
      <c r="N1612" s="107" t="str">
        <f t="shared" si="182"/>
        <v/>
      </c>
    </row>
    <row r="1613" spans="2:14" x14ac:dyDescent="0.25">
      <c r="B1613" s="82">
        <f>SUBTOTAL(103,$D$8:D1613)</f>
        <v>1606</v>
      </c>
      <c r="C1613" s="83" t="s">
        <v>1612</v>
      </c>
      <c r="D1613" s="84">
        <v>0</v>
      </c>
      <c r="E1613" s="85" t="str">
        <f t="shared" si="177"/>
        <v/>
      </c>
      <c r="F1613" s="106" t="str">
        <f t="shared" si="183"/>
        <v/>
      </c>
      <c r="G1613" s="86"/>
      <c r="H1613" s="107">
        <f t="shared" si="178"/>
        <v>0</v>
      </c>
      <c r="I1613" s="107">
        <f t="shared" si="179"/>
        <v>0</v>
      </c>
      <c r="J1613" s="87">
        <f>IF($D1613&gt;0,IFERROR(Параметры!$D$42*$H1613/$H$2408,0),0)</f>
        <v>0</v>
      </c>
      <c r="K1613" s="87">
        <f>IFERROR(ROUND($N1613*Параметры!$D$36,2),0)</f>
        <v>0</v>
      </c>
      <c r="L1613" s="87">
        <f t="shared" si="180"/>
        <v>0</v>
      </c>
      <c r="M1613" s="87">
        <f t="shared" si="181"/>
        <v>0</v>
      </c>
      <c r="N1613" s="107" t="str">
        <f t="shared" si="182"/>
        <v/>
      </c>
    </row>
    <row r="1614" spans="2:14" x14ac:dyDescent="0.25">
      <c r="B1614" s="82">
        <f>SUBTOTAL(103,$D$8:D1614)</f>
        <v>1607</v>
      </c>
      <c r="C1614" s="83" t="s">
        <v>1613</v>
      </c>
      <c r="D1614" s="84">
        <v>0</v>
      </c>
      <c r="E1614" s="85" t="str">
        <f t="shared" si="177"/>
        <v/>
      </c>
      <c r="F1614" s="106" t="str">
        <f t="shared" si="183"/>
        <v/>
      </c>
      <c r="G1614" s="86"/>
      <c r="H1614" s="107">
        <f t="shared" si="178"/>
        <v>0</v>
      </c>
      <c r="I1614" s="107">
        <f t="shared" si="179"/>
        <v>0</v>
      </c>
      <c r="J1614" s="87">
        <f>IF($D1614&gt;0,IFERROR(Параметры!$D$42*$H1614/$H$2408,0),0)</f>
        <v>0</v>
      </c>
      <c r="K1614" s="87">
        <f>IFERROR(ROUND($N1614*Параметры!$D$36,2),0)</f>
        <v>0</v>
      </c>
      <c r="L1614" s="87">
        <f t="shared" si="180"/>
        <v>0</v>
      </c>
      <c r="M1614" s="87">
        <f t="shared" si="181"/>
        <v>0</v>
      </c>
      <c r="N1614" s="107" t="str">
        <f t="shared" si="182"/>
        <v/>
      </c>
    </row>
    <row r="1615" spans="2:14" x14ac:dyDescent="0.25">
      <c r="B1615" s="82">
        <f>SUBTOTAL(103,$D$8:D1615)</f>
        <v>1608</v>
      </c>
      <c r="C1615" s="83" t="s">
        <v>1614</v>
      </c>
      <c r="D1615" s="84">
        <v>0</v>
      </c>
      <c r="E1615" s="85" t="str">
        <f t="shared" si="177"/>
        <v/>
      </c>
      <c r="F1615" s="106" t="str">
        <f t="shared" si="183"/>
        <v/>
      </c>
      <c r="G1615" s="86"/>
      <c r="H1615" s="107">
        <f t="shared" si="178"/>
        <v>0</v>
      </c>
      <c r="I1615" s="107">
        <f t="shared" si="179"/>
        <v>0</v>
      </c>
      <c r="J1615" s="87">
        <f>IF($D1615&gt;0,IFERROR(Параметры!$D$42*$H1615/$H$2408,0),0)</f>
        <v>0</v>
      </c>
      <c r="K1615" s="87">
        <f>IFERROR(ROUND($N1615*Параметры!$D$36,2),0)</f>
        <v>0</v>
      </c>
      <c r="L1615" s="87">
        <f t="shared" si="180"/>
        <v>0</v>
      </c>
      <c r="M1615" s="87">
        <f t="shared" si="181"/>
        <v>0</v>
      </c>
      <c r="N1615" s="107" t="str">
        <f t="shared" si="182"/>
        <v/>
      </c>
    </row>
    <row r="1616" spans="2:14" x14ac:dyDescent="0.25">
      <c r="B1616" s="82">
        <f>SUBTOTAL(103,$D$8:D1616)</f>
        <v>1609</v>
      </c>
      <c r="C1616" s="83" t="s">
        <v>1615</v>
      </c>
      <c r="D1616" s="84">
        <v>0</v>
      </c>
      <c r="E1616" s="85" t="str">
        <f t="shared" si="177"/>
        <v/>
      </c>
      <c r="F1616" s="106" t="str">
        <f t="shared" si="183"/>
        <v/>
      </c>
      <c r="G1616" s="86"/>
      <c r="H1616" s="107">
        <f t="shared" si="178"/>
        <v>0</v>
      </c>
      <c r="I1616" s="107">
        <f t="shared" si="179"/>
        <v>0</v>
      </c>
      <c r="J1616" s="87">
        <f>IF($D1616&gt;0,IFERROR(Параметры!$D$42*$H1616/$H$2408,0),0)</f>
        <v>0</v>
      </c>
      <c r="K1616" s="87">
        <f>IFERROR(ROUND($N1616*Параметры!$D$36,2),0)</f>
        <v>0</v>
      </c>
      <c r="L1616" s="87">
        <f t="shared" si="180"/>
        <v>0</v>
      </c>
      <c r="M1616" s="87">
        <f t="shared" si="181"/>
        <v>0</v>
      </c>
      <c r="N1616" s="107" t="str">
        <f t="shared" si="182"/>
        <v/>
      </c>
    </row>
    <row r="1617" spans="2:14" x14ac:dyDescent="0.25">
      <c r="B1617" s="82">
        <f>SUBTOTAL(103,$D$8:D1617)</f>
        <v>1610</v>
      </c>
      <c r="C1617" s="83" t="s">
        <v>1616</v>
      </c>
      <c r="D1617" s="84">
        <v>0</v>
      </c>
      <c r="E1617" s="85" t="str">
        <f t="shared" si="177"/>
        <v/>
      </c>
      <c r="F1617" s="106" t="str">
        <f t="shared" si="183"/>
        <v/>
      </c>
      <c r="G1617" s="86"/>
      <c r="H1617" s="107">
        <f t="shared" si="178"/>
        <v>0</v>
      </c>
      <c r="I1617" s="107">
        <f t="shared" si="179"/>
        <v>0</v>
      </c>
      <c r="J1617" s="87">
        <f>IF($D1617&gt;0,IFERROR(Параметры!$D$42*$H1617/$H$2408,0),0)</f>
        <v>0</v>
      </c>
      <c r="K1617" s="87">
        <f>IFERROR(ROUND($N1617*Параметры!$D$36,2),0)</f>
        <v>0</v>
      </c>
      <c r="L1617" s="87">
        <f t="shared" si="180"/>
        <v>0</v>
      </c>
      <c r="M1617" s="87">
        <f t="shared" si="181"/>
        <v>0</v>
      </c>
      <c r="N1617" s="107" t="str">
        <f t="shared" si="182"/>
        <v/>
      </c>
    </row>
    <row r="1618" spans="2:14" x14ac:dyDescent="0.25">
      <c r="B1618" s="82">
        <f>SUBTOTAL(103,$D$8:D1618)</f>
        <v>1611</v>
      </c>
      <c r="C1618" s="83" t="s">
        <v>1617</v>
      </c>
      <c r="D1618" s="84">
        <v>0</v>
      </c>
      <c r="E1618" s="85" t="str">
        <f t="shared" si="177"/>
        <v/>
      </c>
      <c r="F1618" s="106" t="str">
        <f t="shared" si="183"/>
        <v/>
      </c>
      <c r="G1618" s="86"/>
      <c r="H1618" s="107">
        <f t="shared" si="178"/>
        <v>0</v>
      </c>
      <c r="I1618" s="107">
        <f t="shared" si="179"/>
        <v>0</v>
      </c>
      <c r="J1618" s="87">
        <f>IF($D1618&gt;0,IFERROR(Параметры!$D$42*$H1618/$H$2408,0),0)</f>
        <v>0</v>
      </c>
      <c r="K1618" s="87">
        <f>IFERROR(ROUND($N1618*Параметры!$D$36,2),0)</f>
        <v>0</v>
      </c>
      <c r="L1618" s="87">
        <f t="shared" si="180"/>
        <v>0</v>
      </c>
      <c r="M1618" s="87">
        <f t="shared" si="181"/>
        <v>0</v>
      </c>
      <c r="N1618" s="107" t="str">
        <f t="shared" si="182"/>
        <v/>
      </c>
    </row>
    <row r="1619" spans="2:14" x14ac:dyDescent="0.25">
      <c r="B1619" s="82">
        <f>SUBTOTAL(103,$D$8:D1619)</f>
        <v>1612</v>
      </c>
      <c r="C1619" s="83" t="s">
        <v>1618</v>
      </c>
      <c r="D1619" s="84">
        <v>0</v>
      </c>
      <c r="E1619" s="85" t="str">
        <f t="shared" si="177"/>
        <v/>
      </c>
      <c r="F1619" s="106" t="str">
        <f t="shared" si="183"/>
        <v/>
      </c>
      <c r="G1619" s="86"/>
      <c r="H1619" s="107">
        <f t="shared" si="178"/>
        <v>0</v>
      </c>
      <c r="I1619" s="107">
        <f t="shared" si="179"/>
        <v>0</v>
      </c>
      <c r="J1619" s="87">
        <f>IF($D1619&gt;0,IFERROR(Параметры!$D$42*$H1619/$H$2408,0),0)</f>
        <v>0</v>
      </c>
      <c r="K1619" s="87">
        <f>IFERROR(ROUND($N1619*Параметры!$D$36,2),0)</f>
        <v>0</v>
      </c>
      <c r="L1619" s="87">
        <f t="shared" si="180"/>
        <v>0</v>
      </c>
      <c r="M1619" s="87">
        <f t="shared" si="181"/>
        <v>0</v>
      </c>
      <c r="N1619" s="107" t="str">
        <f t="shared" si="182"/>
        <v/>
      </c>
    </row>
    <row r="1620" spans="2:14" x14ac:dyDescent="0.25">
      <c r="B1620" s="82">
        <f>SUBTOTAL(103,$D$8:D1620)</f>
        <v>1613</v>
      </c>
      <c r="C1620" s="83" t="s">
        <v>1619</v>
      </c>
      <c r="D1620" s="84">
        <v>0</v>
      </c>
      <c r="E1620" s="85" t="str">
        <f t="shared" si="177"/>
        <v/>
      </c>
      <c r="F1620" s="106" t="str">
        <f t="shared" si="183"/>
        <v/>
      </c>
      <c r="G1620" s="86"/>
      <c r="H1620" s="107">
        <f t="shared" si="178"/>
        <v>0</v>
      </c>
      <c r="I1620" s="107">
        <f t="shared" si="179"/>
        <v>0</v>
      </c>
      <c r="J1620" s="87">
        <f>IF($D1620&gt;0,IFERROR(Параметры!$D$42*$H1620/$H$2408,0),0)</f>
        <v>0</v>
      </c>
      <c r="K1620" s="87">
        <f>IFERROR(ROUND($N1620*Параметры!$D$36,2),0)</f>
        <v>0</v>
      </c>
      <c r="L1620" s="87">
        <f t="shared" si="180"/>
        <v>0</v>
      </c>
      <c r="M1620" s="87">
        <f t="shared" si="181"/>
        <v>0</v>
      </c>
      <c r="N1620" s="107" t="str">
        <f t="shared" si="182"/>
        <v/>
      </c>
    </row>
    <row r="1621" spans="2:14" x14ac:dyDescent="0.25">
      <c r="B1621" s="82">
        <f>SUBTOTAL(103,$D$8:D1621)</f>
        <v>1614</v>
      </c>
      <c r="C1621" s="83" t="s">
        <v>1620</v>
      </c>
      <c r="D1621" s="84">
        <v>0</v>
      </c>
      <c r="E1621" s="85" t="str">
        <f t="shared" si="177"/>
        <v/>
      </c>
      <c r="F1621" s="106" t="str">
        <f t="shared" si="183"/>
        <v/>
      </c>
      <c r="G1621" s="86"/>
      <c r="H1621" s="107">
        <f t="shared" si="178"/>
        <v>0</v>
      </c>
      <c r="I1621" s="107">
        <f t="shared" si="179"/>
        <v>0</v>
      </c>
      <c r="J1621" s="87">
        <f>IF($D1621&gt;0,IFERROR(Параметры!$D$42*$H1621/$H$2408,0),0)</f>
        <v>0</v>
      </c>
      <c r="K1621" s="87">
        <f>IFERROR(ROUND($N1621*Параметры!$D$36,2),0)</f>
        <v>0</v>
      </c>
      <c r="L1621" s="87">
        <f t="shared" si="180"/>
        <v>0</v>
      </c>
      <c r="M1621" s="87">
        <f t="shared" si="181"/>
        <v>0</v>
      </c>
      <c r="N1621" s="107" t="str">
        <f t="shared" si="182"/>
        <v/>
      </c>
    </row>
    <row r="1622" spans="2:14" x14ac:dyDescent="0.25">
      <c r="B1622" s="82">
        <f>SUBTOTAL(103,$D$8:D1622)</f>
        <v>1615</v>
      </c>
      <c r="C1622" s="83" t="s">
        <v>1621</v>
      </c>
      <c r="D1622" s="84">
        <v>0</v>
      </c>
      <c r="E1622" s="85" t="str">
        <f t="shared" si="177"/>
        <v/>
      </c>
      <c r="F1622" s="106" t="str">
        <f t="shared" si="183"/>
        <v/>
      </c>
      <c r="G1622" s="86"/>
      <c r="H1622" s="107">
        <f t="shared" si="178"/>
        <v>0</v>
      </c>
      <c r="I1622" s="107">
        <f t="shared" si="179"/>
        <v>0</v>
      </c>
      <c r="J1622" s="87">
        <f>IF($D1622&gt;0,IFERROR(Параметры!$D$42*$H1622/$H$2408,0),0)</f>
        <v>0</v>
      </c>
      <c r="K1622" s="87">
        <f>IFERROR(ROUND($N1622*Параметры!$D$36,2),0)</f>
        <v>0</v>
      </c>
      <c r="L1622" s="87">
        <f t="shared" si="180"/>
        <v>0</v>
      </c>
      <c r="M1622" s="87">
        <f t="shared" si="181"/>
        <v>0</v>
      </c>
      <c r="N1622" s="107" t="str">
        <f t="shared" si="182"/>
        <v/>
      </c>
    </row>
    <row r="1623" spans="2:14" x14ac:dyDescent="0.25">
      <c r="B1623" s="82">
        <f>SUBTOTAL(103,$D$8:D1623)</f>
        <v>1616</v>
      </c>
      <c r="C1623" s="83" t="s">
        <v>1622</v>
      </c>
      <c r="D1623" s="84">
        <v>0</v>
      </c>
      <c r="E1623" s="85" t="str">
        <f t="shared" si="177"/>
        <v/>
      </c>
      <c r="F1623" s="106" t="str">
        <f t="shared" si="183"/>
        <v/>
      </c>
      <c r="G1623" s="86"/>
      <c r="H1623" s="107">
        <f t="shared" si="178"/>
        <v>0</v>
      </c>
      <c r="I1623" s="107">
        <f t="shared" si="179"/>
        <v>0</v>
      </c>
      <c r="J1623" s="87">
        <f>IF($D1623&gt;0,IFERROR(Параметры!$D$42*$H1623/$H$2408,0),0)</f>
        <v>0</v>
      </c>
      <c r="K1623" s="87">
        <f>IFERROR(ROUND($N1623*Параметры!$D$36,2),0)</f>
        <v>0</v>
      </c>
      <c r="L1623" s="87">
        <f t="shared" si="180"/>
        <v>0</v>
      </c>
      <c r="M1623" s="87">
        <f t="shared" si="181"/>
        <v>0</v>
      </c>
      <c r="N1623" s="107" t="str">
        <f t="shared" si="182"/>
        <v/>
      </c>
    </row>
    <row r="1624" spans="2:14" x14ac:dyDescent="0.25">
      <c r="B1624" s="82">
        <f>SUBTOTAL(103,$D$8:D1624)</f>
        <v>1617</v>
      </c>
      <c r="C1624" s="83" t="s">
        <v>1623</v>
      </c>
      <c r="D1624" s="84">
        <v>0</v>
      </c>
      <c r="E1624" s="85" t="str">
        <f t="shared" si="177"/>
        <v/>
      </c>
      <c r="F1624" s="106" t="str">
        <f t="shared" si="183"/>
        <v/>
      </c>
      <c r="G1624" s="86"/>
      <c r="H1624" s="107">
        <f t="shared" si="178"/>
        <v>0</v>
      </c>
      <c r="I1624" s="107">
        <f t="shared" si="179"/>
        <v>0</v>
      </c>
      <c r="J1624" s="87">
        <f>IF($D1624&gt;0,IFERROR(Параметры!$D$42*$H1624/$H$2408,0),0)</f>
        <v>0</v>
      </c>
      <c r="K1624" s="87">
        <f>IFERROR(ROUND($N1624*Параметры!$D$36,2),0)</f>
        <v>0</v>
      </c>
      <c r="L1624" s="87">
        <f t="shared" si="180"/>
        <v>0</v>
      </c>
      <c r="M1624" s="87">
        <f t="shared" si="181"/>
        <v>0</v>
      </c>
      <c r="N1624" s="107" t="str">
        <f t="shared" si="182"/>
        <v/>
      </c>
    </row>
    <row r="1625" spans="2:14" x14ac:dyDescent="0.25">
      <c r="B1625" s="82">
        <f>SUBTOTAL(103,$D$8:D1625)</f>
        <v>1618</v>
      </c>
      <c r="C1625" s="83" t="s">
        <v>1624</v>
      </c>
      <c r="D1625" s="84">
        <v>0</v>
      </c>
      <c r="E1625" s="85" t="str">
        <f t="shared" si="177"/>
        <v/>
      </c>
      <c r="F1625" s="106" t="str">
        <f t="shared" si="183"/>
        <v/>
      </c>
      <c r="G1625" s="86"/>
      <c r="H1625" s="107">
        <f t="shared" si="178"/>
        <v>0</v>
      </c>
      <c r="I1625" s="107">
        <f t="shared" si="179"/>
        <v>0</v>
      </c>
      <c r="J1625" s="87">
        <f>IF($D1625&gt;0,IFERROR(Параметры!$D$42*$H1625/$H$2408,0),0)</f>
        <v>0</v>
      </c>
      <c r="K1625" s="87">
        <f>IFERROR(ROUND($N1625*Параметры!$D$36,2),0)</f>
        <v>0</v>
      </c>
      <c r="L1625" s="87">
        <f t="shared" si="180"/>
        <v>0</v>
      </c>
      <c r="M1625" s="87">
        <f t="shared" si="181"/>
        <v>0</v>
      </c>
      <c r="N1625" s="107" t="str">
        <f t="shared" si="182"/>
        <v/>
      </c>
    </row>
    <row r="1626" spans="2:14" x14ac:dyDescent="0.25">
      <c r="B1626" s="82">
        <f>SUBTOTAL(103,$D$8:D1626)</f>
        <v>1619</v>
      </c>
      <c r="C1626" s="83" t="s">
        <v>1625</v>
      </c>
      <c r="D1626" s="84">
        <v>0</v>
      </c>
      <c r="E1626" s="85" t="str">
        <f t="shared" si="177"/>
        <v/>
      </c>
      <c r="F1626" s="106" t="str">
        <f t="shared" si="183"/>
        <v/>
      </c>
      <c r="G1626" s="86"/>
      <c r="H1626" s="107">
        <f t="shared" si="178"/>
        <v>0</v>
      </c>
      <c r="I1626" s="107">
        <f t="shared" si="179"/>
        <v>0</v>
      </c>
      <c r="J1626" s="87">
        <f>IF($D1626&gt;0,IFERROR(Параметры!$D$42*$H1626/$H$2408,0),0)</f>
        <v>0</v>
      </c>
      <c r="K1626" s="87">
        <f>IFERROR(ROUND($N1626*Параметры!$D$36,2),0)</f>
        <v>0</v>
      </c>
      <c r="L1626" s="87">
        <f t="shared" si="180"/>
        <v>0</v>
      </c>
      <c r="M1626" s="87">
        <f t="shared" si="181"/>
        <v>0</v>
      </c>
      <c r="N1626" s="107" t="str">
        <f t="shared" si="182"/>
        <v/>
      </c>
    </row>
    <row r="1627" spans="2:14" x14ac:dyDescent="0.25">
      <c r="B1627" s="82">
        <f>SUBTOTAL(103,$D$8:D1627)</f>
        <v>1620</v>
      </c>
      <c r="C1627" s="83" t="s">
        <v>1626</v>
      </c>
      <c r="D1627" s="84">
        <v>0</v>
      </c>
      <c r="E1627" s="85" t="str">
        <f t="shared" si="177"/>
        <v/>
      </c>
      <c r="F1627" s="106" t="str">
        <f t="shared" si="183"/>
        <v/>
      </c>
      <c r="G1627" s="86"/>
      <c r="H1627" s="107">
        <f t="shared" si="178"/>
        <v>0</v>
      </c>
      <c r="I1627" s="107">
        <f t="shared" si="179"/>
        <v>0</v>
      </c>
      <c r="J1627" s="87">
        <f>IF($D1627&gt;0,IFERROR(Параметры!$D$42*$H1627/$H$2408,0),0)</f>
        <v>0</v>
      </c>
      <c r="K1627" s="87">
        <f>IFERROR(ROUND($N1627*Параметры!$D$36,2),0)</f>
        <v>0</v>
      </c>
      <c r="L1627" s="87">
        <f t="shared" si="180"/>
        <v>0</v>
      </c>
      <c r="M1627" s="87">
        <f t="shared" si="181"/>
        <v>0</v>
      </c>
      <c r="N1627" s="107" t="str">
        <f t="shared" si="182"/>
        <v/>
      </c>
    </row>
    <row r="1628" spans="2:14" x14ac:dyDescent="0.25">
      <c r="B1628" s="82">
        <f>SUBTOTAL(103,$D$8:D1628)</f>
        <v>1621</v>
      </c>
      <c r="C1628" s="83" t="s">
        <v>1627</v>
      </c>
      <c r="D1628" s="84">
        <f t="array" ref="D1628:D1687">TRANSPOSE('Зарядная карта'!$C$32:$BJ$32)</f>
        <v>0</v>
      </c>
      <c r="E1628" s="85" t="str">
        <f t="shared" si="177"/>
        <v/>
      </c>
      <c r="F1628" s="106" t="str">
        <f t="shared" si="183"/>
        <v/>
      </c>
      <c r="G1628" s="86"/>
      <c r="H1628" s="107">
        <f t="shared" si="178"/>
        <v>0</v>
      </c>
      <c r="I1628" s="107">
        <f t="shared" si="179"/>
        <v>0</v>
      </c>
      <c r="J1628" s="87">
        <f>IF($D1628&gt;0,IFERROR(Параметры!$D$42*$H1628/$H$2408,0),0)</f>
        <v>0</v>
      </c>
      <c r="K1628" s="87">
        <f>IFERROR(ROUND($N1628*Параметры!$D$36,2),0)</f>
        <v>0</v>
      </c>
      <c r="L1628" s="87">
        <f t="shared" si="180"/>
        <v>0</v>
      </c>
      <c r="M1628" s="87">
        <f t="shared" si="181"/>
        <v>0</v>
      </c>
      <c r="N1628" s="107" t="str">
        <f t="shared" si="182"/>
        <v/>
      </c>
    </row>
    <row r="1629" spans="2:14" x14ac:dyDescent="0.25">
      <c r="B1629" s="82">
        <f>SUBTOTAL(103,$D$8:D1629)</f>
        <v>1622</v>
      </c>
      <c r="C1629" s="83" t="s">
        <v>1628</v>
      </c>
      <c r="D1629" s="84">
        <v>0</v>
      </c>
      <c r="E1629" s="85" t="str">
        <f t="shared" si="177"/>
        <v/>
      </c>
      <c r="F1629" s="106" t="str">
        <f t="shared" si="183"/>
        <v/>
      </c>
      <c r="G1629" s="86"/>
      <c r="H1629" s="107">
        <f t="shared" si="178"/>
        <v>0</v>
      </c>
      <c r="I1629" s="107">
        <f t="shared" si="179"/>
        <v>0</v>
      </c>
      <c r="J1629" s="87">
        <f>IF($D1629&gt;0,IFERROR(Параметры!$D$42*$H1629/$H$2408,0),0)</f>
        <v>0</v>
      </c>
      <c r="K1629" s="87">
        <f>IFERROR(ROUND($N1629*Параметры!$D$36,2),0)</f>
        <v>0</v>
      </c>
      <c r="L1629" s="87">
        <f t="shared" si="180"/>
        <v>0</v>
      </c>
      <c r="M1629" s="87">
        <f t="shared" si="181"/>
        <v>0</v>
      </c>
      <c r="N1629" s="107" t="str">
        <f t="shared" si="182"/>
        <v/>
      </c>
    </row>
    <row r="1630" spans="2:14" x14ac:dyDescent="0.25">
      <c r="B1630" s="82">
        <f>SUBTOTAL(103,$D$8:D1630)</f>
        <v>1623</v>
      </c>
      <c r="C1630" s="83" t="s">
        <v>1629</v>
      </c>
      <c r="D1630" s="84">
        <v>0</v>
      </c>
      <c r="E1630" s="85" t="str">
        <f t="shared" si="177"/>
        <v/>
      </c>
      <c r="F1630" s="106" t="str">
        <f t="shared" si="183"/>
        <v/>
      </c>
      <c r="G1630" s="86"/>
      <c r="H1630" s="107">
        <f t="shared" si="178"/>
        <v>0</v>
      </c>
      <c r="I1630" s="107">
        <f t="shared" si="179"/>
        <v>0</v>
      </c>
      <c r="J1630" s="87">
        <f>IF($D1630&gt;0,IFERROR(Параметры!$D$42*$H1630/$H$2408,0),0)</f>
        <v>0</v>
      </c>
      <c r="K1630" s="87">
        <f>IFERROR(ROUND($N1630*Параметры!$D$36,2),0)</f>
        <v>0</v>
      </c>
      <c r="L1630" s="87">
        <f t="shared" si="180"/>
        <v>0</v>
      </c>
      <c r="M1630" s="87">
        <f t="shared" si="181"/>
        <v>0</v>
      </c>
      <c r="N1630" s="107" t="str">
        <f t="shared" si="182"/>
        <v/>
      </c>
    </row>
    <row r="1631" spans="2:14" x14ac:dyDescent="0.25">
      <c r="B1631" s="82">
        <f>SUBTOTAL(103,$D$8:D1631)</f>
        <v>1624</v>
      </c>
      <c r="C1631" s="83" t="s">
        <v>1630</v>
      </c>
      <c r="D1631" s="84">
        <v>0</v>
      </c>
      <c r="E1631" s="85" t="str">
        <f t="shared" si="177"/>
        <v/>
      </c>
      <c r="F1631" s="106" t="str">
        <f t="shared" si="183"/>
        <v/>
      </c>
      <c r="G1631" s="86"/>
      <c r="H1631" s="107">
        <f t="shared" si="178"/>
        <v>0</v>
      </c>
      <c r="I1631" s="107">
        <f t="shared" si="179"/>
        <v>0</v>
      </c>
      <c r="J1631" s="87">
        <f>IF($D1631&gt;0,IFERROR(Параметры!$D$42*$H1631/$H$2408,0),0)</f>
        <v>0</v>
      </c>
      <c r="K1631" s="87">
        <f>IFERROR(ROUND($N1631*Параметры!$D$36,2),0)</f>
        <v>0</v>
      </c>
      <c r="L1631" s="87">
        <f t="shared" si="180"/>
        <v>0</v>
      </c>
      <c r="M1631" s="87">
        <f t="shared" si="181"/>
        <v>0</v>
      </c>
      <c r="N1631" s="107" t="str">
        <f t="shared" si="182"/>
        <v/>
      </c>
    </row>
    <row r="1632" spans="2:14" x14ac:dyDescent="0.25">
      <c r="B1632" s="82">
        <f>SUBTOTAL(103,$D$8:D1632)</f>
        <v>1625</v>
      </c>
      <c r="C1632" s="83" t="s">
        <v>1631</v>
      </c>
      <c r="D1632" s="84">
        <v>0</v>
      </c>
      <c r="E1632" s="85" t="str">
        <f t="shared" si="177"/>
        <v/>
      </c>
      <c r="F1632" s="106" t="str">
        <f t="shared" si="183"/>
        <v/>
      </c>
      <c r="G1632" s="86"/>
      <c r="H1632" s="107">
        <f t="shared" si="178"/>
        <v>0</v>
      </c>
      <c r="I1632" s="107">
        <f t="shared" si="179"/>
        <v>0</v>
      </c>
      <c r="J1632" s="87">
        <f>IF($D1632&gt;0,IFERROR(Параметры!$D$42*$H1632/$H$2408,0),0)</f>
        <v>0</v>
      </c>
      <c r="K1632" s="87">
        <f>IFERROR(ROUND($N1632*Параметры!$D$36,2),0)</f>
        <v>0</v>
      </c>
      <c r="L1632" s="87">
        <f t="shared" si="180"/>
        <v>0</v>
      </c>
      <c r="M1632" s="87">
        <f t="shared" si="181"/>
        <v>0</v>
      </c>
      <c r="N1632" s="107" t="str">
        <f t="shared" si="182"/>
        <v/>
      </c>
    </row>
    <row r="1633" spans="2:14" x14ac:dyDescent="0.25">
      <c r="B1633" s="82">
        <f>SUBTOTAL(103,$D$8:D1633)</f>
        <v>1626</v>
      </c>
      <c r="C1633" s="83" t="s">
        <v>1632</v>
      </c>
      <c r="D1633" s="84">
        <v>0</v>
      </c>
      <c r="E1633" s="85" t="str">
        <f t="shared" si="177"/>
        <v/>
      </c>
      <c r="F1633" s="106" t="str">
        <f t="shared" si="183"/>
        <v/>
      </c>
      <c r="G1633" s="86"/>
      <c r="H1633" s="107">
        <f t="shared" si="178"/>
        <v>0</v>
      </c>
      <c r="I1633" s="107">
        <f t="shared" si="179"/>
        <v>0</v>
      </c>
      <c r="J1633" s="87">
        <f>IF($D1633&gt;0,IFERROR(Параметры!$D$42*$H1633/$H$2408,0),0)</f>
        <v>0</v>
      </c>
      <c r="K1633" s="87">
        <f>IFERROR(ROUND($N1633*Параметры!$D$36,2),0)</f>
        <v>0</v>
      </c>
      <c r="L1633" s="87">
        <f t="shared" si="180"/>
        <v>0</v>
      </c>
      <c r="M1633" s="87">
        <f t="shared" si="181"/>
        <v>0</v>
      </c>
      <c r="N1633" s="107" t="str">
        <f t="shared" si="182"/>
        <v/>
      </c>
    </row>
    <row r="1634" spans="2:14" x14ac:dyDescent="0.25">
      <c r="B1634" s="82">
        <f>SUBTOTAL(103,$D$8:D1634)</f>
        <v>1627</v>
      </c>
      <c r="C1634" s="83" t="s">
        <v>1633</v>
      </c>
      <c r="D1634" s="84">
        <v>0</v>
      </c>
      <c r="E1634" s="85" t="str">
        <f t="shared" si="177"/>
        <v/>
      </c>
      <c r="F1634" s="106" t="str">
        <f t="shared" si="183"/>
        <v/>
      </c>
      <c r="G1634" s="86"/>
      <c r="H1634" s="107">
        <f t="shared" si="178"/>
        <v>0</v>
      </c>
      <c r="I1634" s="107">
        <f t="shared" si="179"/>
        <v>0</v>
      </c>
      <c r="J1634" s="87">
        <f>IF($D1634&gt;0,IFERROR(Параметры!$D$42*$H1634/$H$2408,0),0)</f>
        <v>0</v>
      </c>
      <c r="K1634" s="87">
        <f>IFERROR(ROUND($N1634*Параметры!$D$36,2),0)</f>
        <v>0</v>
      </c>
      <c r="L1634" s="87">
        <f t="shared" si="180"/>
        <v>0</v>
      </c>
      <c r="M1634" s="87">
        <f t="shared" si="181"/>
        <v>0</v>
      </c>
      <c r="N1634" s="107" t="str">
        <f t="shared" si="182"/>
        <v/>
      </c>
    </row>
    <row r="1635" spans="2:14" x14ac:dyDescent="0.25">
      <c r="B1635" s="82">
        <f>SUBTOTAL(103,$D$8:D1635)</f>
        <v>1628</v>
      </c>
      <c r="C1635" s="83" t="s">
        <v>1634</v>
      </c>
      <c r="D1635" s="84">
        <v>0</v>
      </c>
      <c r="E1635" s="85" t="str">
        <f t="shared" si="177"/>
        <v/>
      </c>
      <c r="F1635" s="106" t="str">
        <f t="shared" si="183"/>
        <v/>
      </c>
      <c r="G1635" s="86"/>
      <c r="H1635" s="107">
        <f t="shared" si="178"/>
        <v>0</v>
      </c>
      <c r="I1635" s="107">
        <f t="shared" si="179"/>
        <v>0</v>
      </c>
      <c r="J1635" s="87">
        <f>IF($D1635&gt;0,IFERROR(Параметры!$D$42*$H1635/$H$2408,0),0)</f>
        <v>0</v>
      </c>
      <c r="K1635" s="87">
        <f>IFERROR(ROUND($N1635*Параметры!$D$36,2),0)</f>
        <v>0</v>
      </c>
      <c r="L1635" s="87">
        <f t="shared" si="180"/>
        <v>0</v>
      </c>
      <c r="M1635" s="87">
        <f t="shared" si="181"/>
        <v>0</v>
      </c>
      <c r="N1635" s="107" t="str">
        <f t="shared" si="182"/>
        <v/>
      </c>
    </row>
    <row r="1636" spans="2:14" x14ac:dyDescent="0.25">
      <c r="B1636" s="82">
        <f>SUBTOTAL(103,$D$8:D1636)</f>
        <v>1629</v>
      </c>
      <c r="C1636" s="83" t="s">
        <v>1635</v>
      </c>
      <c r="D1636" s="84">
        <v>0</v>
      </c>
      <c r="E1636" s="85" t="str">
        <f t="shared" si="177"/>
        <v/>
      </c>
      <c r="F1636" s="106" t="str">
        <f t="shared" si="183"/>
        <v/>
      </c>
      <c r="G1636" s="86"/>
      <c r="H1636" s="107">
        <f t="shared" si="178"/>
        <v>0</v>
      </c>
      <c r="I1636" s="107">
        <f t="shared" si="179"/>
        <v>0</v>
      </c>
      <c r="J1636" s="87">
        <f>IF($D1636&gt;0,IFERROR(Параметры!$D$42*$H1636/$H$2408,0),0)</f>
        <v>0</v>
      </c>
      <c r="K1636" s="87">
        <f>IFERROR(ROUND($N1636*Параметры!$D$36,2),0)</f>
        <v>0</v>
      </c>
      <c r="L1636" s="87">
        <f t="shared" si="180"/>
        <v>0</v>
      </c>
      <c r="M1636" s="87">
        <f t="shared" si="181"/>
        <v>0</v>
      </c>
      <c r="N1636" s="107" t="str">
        <f t="shared" si="182"/>
        <v/>
      </c>
    </row>
    <row r="1637" spans="2:14" x14ac:dyDescent="0.25">
      <c r="B1637" s="82">
        <f>SUBTOTAL(103,$D$8:D1637)</f>
        <v>1630</v>
      </c>
      <c r="C1637" s="83" t="s">
        <v>1636</v>
      </c>
      <c r="D1637" s="84">
        <v>0</v>
      </c>
      <c r="E1637" s="85" t="str">
        <f t="shared" si="177"/>
        <v/>
      </c>
      <c r="F1637" s="106" t="str">
        <f t="shared" si="183"/>
        <v/>
      </c>
      <c r="G1637" s="86"/>
      <c r="H1637" s="107">
        <f t="shared" si="178"/>
        <v>0</v>
      </c>
      <c r="I1637" s="107">
        <f t="shared" si="179"/>
        <v>0</v>
      </c>
      <c r="J1637" s="87">
        <f>IF($D1637&gt;0,IFERROR(Параметры!$D$42*$H1637/$H$2408,0),0)</f>
        <v>0</v>
      </c>
      <c r="K1637" s="87">
        <f>IFERROR(ROUND($N1637*Параметры!$D$36,2),0)</f>
        <v>0</v>
      </c>
      <c r="L1637" s="87">
        <f t="shared" si="180"/>
        <v>0</v>
      </c>
      <c r="M1637" s="87">
        <f t="shared" si="181"/>
        <v>0</v>
      </c>
      <c r="N1637" s="107" t="str">
        <f t="shared" si="182"/>
        <v/>
      </c>
    </row>
    <row r="1638" spans="2:14" x14ac:dyDescent="0.25">
      <c r="B1638" s="82">
        <f>SUBTOTAL(103,$D$8:D1638)</f>
        <v>1631</v>
      </c>
      <c r="C1638" s="83" t="s">
        <v>1637</v>
      </c>
      <c r="D1638" s="84">
        <v>0</v>
      </c>
      <c r="E1638" s="85" t="str">
        <f t="shared" si="177"/>
        <v/>
      </c>
      <c r="F1638" s="106" t="str">
        <f t="shared" si="183"/>
        <v/>
      </c>
      <c r="G1638" s="86"/>
      <c r="H1638" s="107">
        <f t="shared" si="178"/>
        <v>0</v>
      </c>
      <c r="I1638" s="107">
        <f t="shared" si="179"/>
        <v>0</v>
      </c>
      <c r="J1638" s="87">
        <f>IF($D1638&gt;0,IFERROR(Параметры!$D$42*$H1638/$H$2408,0),0)</f>
        <v>0</v>
      </c>
      <c r="K1638" s="87">
        <f>IFERROR(ROUND($N1638*Параметры!$D$36,2),0)</f>
        <v>0</v>
      </c>
      <c r="L1638" s="87">
        <f t="shared" si="180"/>
        <v>0</v>
      </c>
      <c r="M1638" s="87">
        <f t="shared" si="181"/>
        <v>0</v>
      </c>
      <c r="N1638" s="107" t="str">
        <f t="shared" si="182"/>
        <v/>
      </c>
    </row>
    <row r="1639" spans="2:14" x14ac:dyDescent="0.25">
      <c r="B1639" s="82">
        <f>SUBTOTAL(103,$D$8:D1639)</f>
        <v>1632</v>
      </c>
      <c r="C1639" s="83" t="s">
        <v>1638</v>
      </c>
      <c r="D1639" s="84">
        <v>0</v>
      </c>
      <c r="E1639" s="85" t="str">
        <f t="shared" si="177"/>
        <v/>
      </c>
      <c r="F1639" s="106" t="str">
        <f t="shared" si="183"/>
        <v/>
      </c>
      <c r="G1639" s="86"/>
      <c r="H1639" s="107">
        <f t="shared" si="178"/>
        <v>0</v>
      </c>
      <c r="I1639" s="107">
        <f t="shared" si="179"/>
        <v>0</v>
      </c>
      <c r="J1639" s="87">
        <f>IF($D1639&gt;0,IFERROR(Параметры!$D$42*$H1639/$H$2408,0),0)</f>
        <v>0</v>
      </c>
      <c r="K1639" s="87">
        <f>IFERROR(ROUND($N1639*Параметры!$D$36,2),0)</f>
        <v>0</v>
      </c>
      <c r="L1639" s="87">
        <f t="shared" si="180"/>
        <v>0</v>
      </c>
      <c r="M1639" s="87">
        <f t="shared" si="181"/>
        <v>0</v>
      </c>
      <c r="N1639" s="107" t="str">
        <f t="shared" si="182"/>
        <v/>
      </c>
    </row>
    <row r="1640" spans="2:14" x14ac:dyDescent="0.25">
      <c r="B1640" s="82">
        <f>SUBTOTAL(103,$D$8:D1640)</f>
        <v>1633</v>
      </c>
      <c r="C1640" s="83" t="s">
        <v>1639</v>
      </c>
      <c r="D1640" s="84">
        <v>0</v>
      </c>
      <c r="E1640" s="85" t="str">
        <f t="shared" si="177"/>
        <v/>
      </c>
      <c r="F1640" s="106" t="str">
        <f t="shared" si="183"/>
        <v/>
      </c>
      <c r="G1640" s="86"/>
      <c r="H1640" s="107">
        <f t="shared" si="178"/>
        <v>0</v>
      </c>
      <c r="I1640" s="107">
        <f t="shared" si="179"/>
        <v>0</v>
      </c>
      <c r="J1640" s="87">
        <f>IF($D1640&gt;0,IFERROR(Параметры!$D$42*$H1640/$H$2408,0),0)</f>
        <v>0</v>
      </c>
      <c r="K1640" s="87">
        <f>IFERROR(ROUND($N1640*Параметры!$D$36,2),0)</f>
        <v>0</v>
      </c>
      <c r="L1640" s="87">
        <f t="shared" si="180"/>
        <v>0</v>
      </c>
      <c r="M1640" s="87">
        <f t="shared" si="181"/>
        <v>0</v>
      </c>
      <c r="N1640" s="107" t="str">
        <f t="shared" si="182"/>
        <v/>
      </c>
    </row>
    <row r="1641" spans="2:14" x14ac:dyDescent="0.25">
      <c r="B1641" s="82">
        <f>SUBTOTAL(103,$D$8:D1641)</f>
        <v>1634</v>
      </c>
      <c r="C1641" s="83" t="s">
        <v>1640</v>
      </c>
      <c r="D1641" s="84">
        <v>0</v>
      </c>
      <c r="E1641" s="85" t="str">
        <f t="shared" si="177"/>
        <v/>
      </c>
      <c r="F1641" s="106" t="str">
        <f t="shared" si="183"/>
        <v/>
      </c>
      <c r="G1641" s="86"/>
      <c r="H1641" s="107">
        <f t="shared" si="178"/>
        <v>0</v>
      </c>
      <c r="I1641" s="107">
        <f t="shared" si="179"/>
        <v>0</v>
      </c>
      <c r="J1641" s="87">
        <f>IF($D1641&gt;0,IFERROR(Параметры!$D$42*$H1641/$H$2408,0),0)</f>
        <v>0</v>
      </c>
      <c r="K1641" s="87">
        <f>IFERROR(ROUND($N1641*Параметры!$D$36,2),0)</f>
        <v>0</v>
      </c>
      <c r="L1641" s="87">
        <f t="shared" si="180"/>
        <v>0</v>
      </c>
      <c r="M1641" s="87">
        <f t="shared" si="181"/>
        <v>0</v>
      </c>
      <c r="N1641" s="107" t="str">
        <f t="shared" si="182"/>
        <v/>
      </c>
    </row>
    <row r="1642" spans="2:14" x14ac:dyDescent="0.25">
      <c r="B1642" s="82">
        <f>SUBTOTAL(103,$D$8:D1642)</f>
        <v>1635</v>
      </c>
      <c r="C1642" s="83" t="s">
        <v>1641</v>
      </c>
      <c r="D1642" s="84">
        <v>0</v>
      </c>
      <c r="E1642" s="85" t="str">
        <f t="shared" si="177"/>
        <v/>
      </c>
      <c r="F1642" s="106" t="str">
        <f t="shared" si="183"/>
        <v/>
      </c>
      <c r="G1642" s="86"/>
      <c r="H1642" s="107">
        <f t="shared" si="178"/>
        <v>0</v>
      </c>
      <c r="I1642" s="107">
        <f t="shared" si="179"/>
        <v>0</v>
      </c>
      <c r="J1642" s="87">
        <f>IF($D1642&gt;0,IFERROR(Параметры!$D$42*$H1642/$H$2408,0),0)</f>
        <v>0</v>
      </c>
      <c r="K1642" s="87">
        <f>IFERROR(ROUND($N1642*Параметры!$D$36,2),0)</f>
        <v>0</v>
      </c>
      <c r="L1642" s="87">
        <f t="shared" si="180"/>
        <v>0</v>
      </c>
      <c r="M1642" s="87">
        <f t="shared" si="181"/>
        <v>0</v>
      </c>
      <c r="N1642" s="107" t="str">
        <f t="shared" si="182"/>
        <v/>
      </c>
    </row>
    <row r="1643" spans="2:14" x14ac:dyDescent="0.25">
      <c r="B1643" s="82">
        <f>SUBTOTAL(103,$D$8:D1643)</f>
        <v>1636</v>
      </c>
      <c r="C1643" s="83" t="s">
        <v>1642</v>
      </c>
      <c r="D1643" s="84">
        <v>0</v>
      </c>
      <c r="E1643" s="85" t="str">
        <f t="shared" si="177"/>
        <v/>
      </c>
      <c r="F1643" s="106" t="str">
        <f t="shared" si="183"/>
        <v/>
      </c>
      <c r="G1643" s="86"/>
      <c r="H1643" s="107">
        <f t="shared" si="178"/>
        <v>0</v>
      </c>
      <c r="I1643" s="107">
        <f t="shared" si="179"/>
        <v>0</v>
      </c>
      <c r="J1643" s="87">
        <f>IF($D1643&gt;0,IFERROR(Параметры!$D$42*$H1643/$H$2408,0),0)</f>
        <v>0</v>
      </c>
      <c r="K1643" s="87">
        <f>IFERROR(ROUND($N1643*Параметры!$D$36,2),0)</f>
        <v>0</v>
      </c>
      <c r="L1643" s="87">
        <f t="shared" si="180"/>
        <v>0</v>
      </c>
      <c r="M1643" s="87">
        <f t="shared" si="181"/>
        <v>0</v>
      </c>
      <c r="N1643" s="107" t="str">
        <f t="shared" si="182"/>
        <v/>
      </c>
    </row>
    <row r="1644" spans="2:14" x14ac:dyDescent="0.25">
      <c r="B1644" s="82">
        <f>SUBTOTAL(103,$D$8:D1644)</f>
        <v>1637</v>
      </c>
      <c r="C1644" s="83" t="s">
        <v>1643</v>
      </c>
      <c r="D1644" s="84">
        <v>0</v>
      </c>
      <c r="E1644" s="85" t="str">
        <f t="shared" si="177"/>
        <v/>
      </c>
      <c r="F1644" s="106" t="str">
        <f t="shared" si="183"/>
        <v/>
      </c>
      <c r="G1644" s="86"/>
      <c r="H1644" s="107">
        <f t="shared" si="178"/>
        <v>0</v>
      </c>
      <c r="I1644" s="107">
        <f t="shared" si="179"/>
        <v>0</v>
      </c>
      <c r="J1644" s="87">
        <f>IF($D1644&gt;0,IFERROR(Параметры!$D$42*$H1644/$H$2408,0),0)</f>
        <v>0</v>
      </c>
      <c r="K1644" s="87">
        <f>IFERROR(ROUND($N1644*Параметры!$D$36,2),0)</f>
        <v>0</v>
      </c>
      <c r="L1644" s="87">
        <f t="shared" si="180"/>
        <v>0</v>
      </c>
      <c r="M1644" s="87">
        <f t="shared" si="181"/>
        <v>0</v>
      </c>
      <c r="N1644" s="107" t="str">
        <f t="shared" si="182"/>
        <v/>
      </c>
    </row>
    <row r="1645" spans="2:14" x14ac:dyDescent="0.25">
      <c r="B1645" s="82">
        <f>SUBTOTAL(103,$D$8:D1645)</f>
        <v>1638</v>
      </c>
      <c r="C1645" s="83" t="s">
        <v>1644</v>
      </c>
      <c r="D1645" s="84">
        <v>0</v>
      </c>
      <c r="E1645" s="85" t="str">
        <f t="shared" si="177"/>
        <v/>
      </c>
      <c r="F1645" s="106" t="str">
        <f t="shared" si="183"/>
        <v/>
      </c>
      <c r="G1645" s="86"/>
      <c r="H1645" s="107">
        <f t="shared" si="178"/>
        <v>0</v>
      </c>
      <c r="I1645" s="107">
        <f t="shared" si="179"/>
        <v>0</v>
      </c>
      <c r="J1645" s="87">
        <f>IF($D1645&gt;0,IFERROR(Параметры!$D$42*$H1645/$H$2408,0),0)</f>
        <v>0</v>
      </c>
      <c r="K1645" s="87">
        <f>IFERROR(ROUND($N1645*Параметры!$D$36,2),0)</f>
        <v>0</v>
      </c>
      <c r="L1645" s="87">
        <f t="shared" si="180"/>
        <v>0</v>
      </c>
      <c r="M1645" s="87">
        <f t="shared" si="181"/>
        <v>0</v>
      </c>
      <c r="N1645" s="107" t="str">
        <f t="shared" si="182"/>
        <v/>
      </c>
    </row>
    <row r="1646" spans="2:14" x14ac:dyDescent="0.25">
      <c r="B1646" s="82">
        <f>SUBTOTAL(103,$D$8:D1646)</f>
        <v>1639</v>
      </c>
      <c r="C1646" s="83" t="s">
        <v>1645</v>
      </c>
      <c r="D1646" s="84">
        <v>0</v>
      </c>
      <c r="E1646" s="85" t="str">
        <f t="shared" si="177"/>
        <v/>
      </c>
      <c r="F1646" s="106" t="str">
        <f t="shared" si="183"/>
        <v/>
      </c>
      <c r="G1646" s="86"/>
      <c r="H1646" s="107">
        <f t="shared" si="178"/>
        <v>0</v>
      </c>
      <c r="I1646" s="107">
        <f t="shared" si="179"/>
        <v>0</v>
      </c>
      <c r="J1646" s="87">
        <f>IF($D1646&gt;0,IFERROR(Параметры!$D$42*$H1646/$H$2408,0),0)</f>
        <v>0</v>
      </c>
      <c r="K1646" s="87">
        <f>IFERROR(ROUND($N1646*Параметры!$D$36,2),0)</f>
        <v>0</v>
      </c>
      <c r="L1646" s="87">
        <f t="shared" si="180"/>
        <v>0</v>
      </c>
      <c r="M1646" s="87">
        <f t="shared" si="181"/>
        <v>0</v>
      </c>
      <c r="N1646" s="107" t="str">
        <f t="shared" si="182"/>
        <v/>
      </c>
    </row>
    <row r="1647" spans="2:14" x14ac:dyDescent="0.25">
      <c r="B1647" s="82">
        <f>SUBTOTAL(103,$D$8:D1647)</f>
        <v>1640</v>
      </c>
      <c r="C1647" s="83" t="s">
        <v>1646</v>
      </c>
      <c r="D1647" s="84">
        <v>0</v>
      </c>
      <c r="E1647" s="85" t="str">
        <f t="shared" si="177"/>
        <v/>
      </c>
      <c r="F1647" s="106" t="str">
        <f t="shared" si="183"/>
        <v/>
      </c>
      <c r="G1647" s="86"/>
      <c r="H1647" s="107">
        <f t="shared" si="178"/>
        <v>0</v>
      </c>
      <c r="I1647" s="107">
        <f t="shared" si="179"/>
        <v>0</v>
      </c>
      <c r="J1647" s="87">
        <f>IF($D1647&gt;0,IFERROR(Параметры!$D$42*$H1647/$H$2408,0),0)</f>
        <v>0</v>
      </c>
      <c r="K1647" s="87">
        <f>IFERROR(ROUND($N1647*Параметры!$D$36,2),0)</f>
        <v>0</v>
      </c>
      <c r="L1647" s="87">
        <f t="shared" si="180"/>
        <v>0</v>
      </c>
      <c r="M1647" s="87">
        <f t="shared" si="181"/>
        <v>0</v>
      </c>
      <c r="N1647" s="107" t="str">
        <f t="shared" si="182"/>
        <v/>
      </c>
    </row>
    <row r="1648" spans="2:14" x14ac:dyDescent="0.25">
      <c r="B1648" s="82">
        <f>SUBTOTAL(103,$D$8:D1648)</f>
        <v>1641</v>
      </c>
      <c r="C1648" s="83" t="s">
        <v>1647</v>
      </c>
      <c r="D1648" s="84">
        <v>0</v>
      </c>
      <c r="E1648" s="85" t="str">
        <f t="shared" si="177"/>
        <v/>
      </c>
      <c r="F1648" s="106" t="str">
        <f t="shared" si="183"/>
        <v/>
      </c>
      <c r="G1648" s="86"/>
      <c r="H1648" s="107">
        <f t="shared" si="178"/>
        <v>0</v>
      </c>
      <c r="I1648" s="107">
        <f t="shared" si="179"/>
        <v>0</v>
      </c>
      <c r="J1648" s="87">
        <f>IF($D1648&gt;0,IFERROR(Параметры!$D$42*$H1648/$H$2408,0),0)</f>
        <v>0</v>
      </c>
      <c r="K1648" s="87">
        <f>IFERROR(ROUND($N1648*Параметры!$D$36,2),0)</f>
        <v>0</v>
      </c>
      <c r="L1648" s="87">
        <f t="shared" si="180"/>
        <v>0</v>
      </c>
      <c r="M1648" s="87">
        <f t="shared" si="181"/>
        <v>0</v>
      </c>
      <c r="N1648" s="107" t="str">
        <f t="shared" si="182"/>
        <v/>
      </c>
    </row>
    <row r="1649" spans="2:14" x14ac:dyDescent="0.25">
      <c r="B1649" s="82">
        <f>SUBTOTAL(103,$D$8:D1649)</f>
        <v>1642</v>
      </c>
      <c r="C1649" s="83" t="s">
        <v>1648</v>
      </c>
      <c r="D1649" s="84">
        <v>0</v>
      </c>
      <c r="E1649" s="85" t="str">
        <f t="shared" si="177"/>
        <v/>
      </c>
      <c r="F1649" s="106" t="str">
        <f t="shared" si="183"/>
        <v/>
      </c>
      <c r="G1649" s="86"/>
      <c r="H1649" s="107">
        <f t="shared" si="178"/>
        <v>0</v>
      </c>
      <c r="I1649" s="107">
        <f t="shared" si="179"/>
        <v>0</v>
      </c>
      <c r="J1649" s="87">
        <f>IF($D1649&gt;0,IFERROR(Параметры!$D$42*$H1649/$H$2408,0),0)</f>
        <v>0</v>
      </c>
      <c r="K1649" s="87">
        <f>IFERROR(ROUND($N1649*Параметры!$D$36,2),0)</f>
        <v>0</v>
      </c>
      <c r="L1649" s="87">
        <f t="shared" si="180"/>
        <v>0</v>
      </c>
      <c r="M1649" s="87">
        <f t="shared" si="181"/>
        <v>0</v>
      </c>
      <c r="N1649" s="107" t="str">
        <f t="shared" si="182"/>
        <v/>
      </c>
    </row>
    <row r="1650" spans="2:14" x14ac:dyDescent="0.25">
      <c r="B1650" s="82">
        <f>SUBTOTAL(103,$D$8:D1650)</f>
        <v>1643</v>
      </c>
      <c r="C1650" s="83" t="s">
        <v>1649</v>
      </c>
      <c r="D1650" s="84">
        <v>0</v>
      </c>
      <c r="E1650" s="85" t="str">
        <f t="shared" si="177"/>
        <v/>
      </c>
      <c r="F1650" s="106" t="str">
        <f t="shared" si="183"/>
        <v/>
      </c>
      <c r="G1650" s="86"/>
      <c r="H1650" s="107">
        <f t="shared" si="178"/>
        <v>0</v>
      </c>
      <c r="I1650" s="107">
        <f t="shared" si="179"/>
        <v>0</v>
      </c>
      <c r="J1650" s="87">
        <f>IF($D1650&gt;0,IFERROR(Параметры!$D$42*$H1650/$H$2408,0),0)</f>
        <v>0</v>
      </c>
      <c r="K1650" s="87">
        <f>IFERROR(ROUND($N1650*Параметры!$D$36,2),0)</f>
        <v>0</v>
      </c>
      <c r="L1650" s="87">
        <f t="shared" si="180"/>
        <v>0</v>
      </c>
      <c r="M1650" s="87">
        <f t="shared" si="181"/>
        <v>0</v>
      </c>
      <c r="N1650" s="107" t="str">
        <f t="shared" si="182"/>
        <v/>
      </c>
    </row>
    <row r="1651" spans="2:14" x14ac:dyDescent="0.25">
      <c r="B1651" s="82">
        <f>SUBTOTAL(103,$D$8:D1651)</f>
        <v>1644</v>
      </c>
      <c r="C1651" s="83" t="s">
        <v>1650</v>
      </c>
      <c r="D1651" s="84">
        <v>0</v>
      </c>
      <c r="E1651" s="85" t="str">
        <f t="shared" si="177"/>
        <v/>
      </c>
      <c r="F1651" s="106" t="str">
        <f t="shared" si="183"/>
        <v/>
      </c>
      <c r="G1651" s="86"/>
      <c r="H1651" s="107">
        <f t="shared" si="178"/>
        <v>0</v>
      </c>
      <c r="I1651" s="107">
        <f t="shared" si="179"/>
        <v>0</v>
      </c>
      <c r="J1651" s="87">
        <f>IF($D1651&gt;0,IFERROR(Параметры!$D$42*$H1651/$H$2408,0),0)</f>
        <v>0</v>
      </c>
      <c r="K1651" s="87">
        <f>IFERROR(ROUND($N1651*Параметры!$D$36,2),0)</f>
        <v>0</v>
      </c>
      <c r="L1651" s="87">
        <f t="shared" si="180"/>
        <v>0</v>
      </c>
      <c r="M1651" s="87">
        <f t="shared" si="181"/>
        <v>0</v>
      </c>
      <c r="N1651" s="107" t="str">
        <f t="shared" si="182"/>
        <v/>
      </c>
    </row>
    <row r="1652" spans="2:14" x14ac:dyDescent="0.25">
      <c r="B1652" s="82">
        <f>SUBTOTAL(103,$D$8:D1652)</f>
        <v>1645</v>
      </c>
      <c r="C1652" s="83" t="s">
        <v>1651</v>
      </c>
      <c r="D1652" s="84">
        <v>0</v>
      </c>
      <c r="E1652" s="85" t="str">
        <f t="shared" si="177"/>
        <v/>
      </c>
      <c r="F1652" s="106" t="str">
        <f t="shared" si="183"/>
        <v/>
      </c>
      <c r="G1652" s="86"/>
      <c r="H1652" s="107">
        <f t="shared" si="178"/>
        <v>0</v>
      </c>
      <c r="I1652" s="107">
        <f t="shared" si="179"/>
        <v>0</v>
      </c>
      <c r="J1652" s="87">
        <f>IF($D1652&gt;0,IFERROR(Параметры!$D$42*$H1652/$H$2408,0),0)</f>
        <v>0</v>
      </c>
      <c r="K1652" s="87">
        <f>IFERROR(ROUND($N1652*Параметры!$D$36,2),0)</f>
        <v>0</v>
      </c>
      <c r="L1652" s="87">
        <f t="shared" si="180"/>
        <v>0</v>
      </c>
      <c r="M1652" s="87">
        <f t="shared" si="181"/>
        <v>0</v>
      </c>
      <c r="N1652" s="107" t="str">
        <f t="shared" si="182"/>
        <v/>
      </c>
    </row>
    <row r="1653" spans="2:14" x14ac:dyDescent="0.25">
      <c r="B1653" s="82">
        <f>SUBTOTAL(103,$D$8:D1653)</f>
        <v>1646</v>
      </c>
      <c r="C1653" s="83" t="s">
        <v>1652</v>
      </c>
      <c r="D1653" s="84">
        <v>0</v>
      </c>
      <c r="E1653" s="85" t="str">
        <f t="shared" si="177"/>
        <v/>
      </c>
      <c r="F1653" s="106" t="str">
        <f t="shared" si="183"/>
        <v/>
      </c>
      <c r="G1653" s="86"/>
      <c r="H1653" s="107">
        <f t="shared" si="178"/>
        <v>0</v>
      </c>
      <c r="I1653" s="107">
        <f t="shared" si="179"/>
        <v>0</v>
      </c>
      <c r="J1653" s="87">
        <f>IF($D1653&gt;0,IFERROR(Параметры!$D$42*$H1653/$H$2408,0),0)</f>
        <v>0</v>
      </c>
      <c r="K1653" s="87">
        <f>IFERROR(ROUND($N1653*Параметры!$D$36,2),0)</f>
        <v>0</v>
      </c>
      <c r="L1653" s="87">
        <f t="shared" si="180"/>
        <v>0</v>
      </c>
      <c r="M1653" s="87">
        <f t="shared" si="181"/>
        <v>0</v>
      </c>
      <c r="N1653" s="107" t="str">
        <f t="shared" si="182"/>
        <v/>
      </c>
    </row>
    <row r="1654" spans="2:14" x14ac:dyDescent="0.25">
      <c r="B1654" s="82">
        <f>SUBTOTAL(103,$D$8:D1654)</f>
        <v>1647</v>
      </c>
      <c r="C1654" s="83" t="s">
        <v>1653</v>
      </c>
      <c r="D1654" s="84">
        <v>0</v>
      </c>
      <c r="E1654" s="85" t="str">
        <f t="shared" si="177"/>
        <v/>
      </c>
      <c r="F1654" s="106" t="str">
        <f t="shared" si="183"/>
        <v/>
      </c>
      <c r="G1654" s="86"/>
      <c r="H1654" s="107">
        <f t="shared" si="178"/>
        <v>0</v>
      </c>
      <c r="I1654" s="107">
        <f t="shared" si="179"/>
        <v>0</v>
      </c>
      <c r="J1654" s="87">
        <f>IF($D1654&gt;0,IFERROR(Параметры!$D$42*$H1654/$H$2408,0),0)</f>
        <v>0</v>
      </c>
      <c r="K1654" s="87">
        <f>IFERROR(ROUND($N1654*Параметры!$D$36,2),0)</f>
        <v>0</v>
      </c>
      <c r="L1654" s="87">
        <f t="shared" si="180"/>
        <v>0</v>
      </c>
      <c r="M1654" s="87">
        <f t="shared" si="181"/>
        <v>0</v>
      </c>
      <c r="N1654" s="107" t="str">
        <f t="shared" si="182"/>
        <v/>
      </c>
    </row>
    <row r="1655" spans="2:14" x14ac:dyDescent="0.25">
      <c r="B1655" s="82">
        <f>SUBTOTAL(103,$D$8:D1655)</f>
        <v>1648</v>
      </c>
      <c r="C1655" s="83" t="s">
        <v>1644</v>
      </c>
      <c r="D1655" s="84">
        <v>0</v>
      </c>
      <c r="E1655" s="85" t="str">
        <f t="shared" si="177"/>
        <v/>
      </c>
      <c r="F1655" s="106" t="str">
        <f t="shared" si="183"/>
        <v/>
      </c>
      <c r="G1655" s="86"/>
      <c r="H1655" s="107">
        <f t="shared" si="178"/>
        <v>0</v>
      </c>
      <c r="I1655" s="107">
        <f t="shared" si="179"/>
        <v>0</v>
      </c>
      <c r="J1655" s="87">
        <f>IF($D1655&gt;0,IFERROR(Параметры!$D$42*$H1655/$H$2408,0),0)</f>
        <v>0</v>
      </c>
      <c r="K1655" s="87">
        <f>IFERROR(ROUND($N1655*Параметры!$D$36,2),0)</f>
        <v>0</v>
      </c>
      <c r="L1655" s="87">
        <f t="shared" si="180"/>
        <v>0</v>
      </c>
      <c r="M1655" s="87">
        <f t="shared" si="181"/>
        <v>0</v>
      </c>
      <c r="N1655" s="107" t="str">
        <f t="shared" si="182"/>
        <v/>
      </c>
    </row>
    <row r="1656" spans="2:14" x14ac:dyDescent="0.25">
      <c r="B1656" s="82">
        <f>SUBTOTAL(103,$D$8:D1656)</f>
        <v>1649</v>
      </c>
      <c r="C1656" s="83" t="s">
        <v>1654</v>
      </c>
      <c r="D1656" s="84">
        <v>0</v>
      </c>
      <c r="E1656" s="85" t="str">
        <f t="shared" si="177"/>
        <v/>
      </c>
      <c r="F1656" s="106" t="str">
        <f t="shared" si="183"/>
        <v/>
      </c>
      <c r="G1656" s="86"/>
      <c r="H1656" s="107">
        <f t="shared" si="178"/>
        <v>0</v>
      </c>
      <c r="I1656" s="107">
        <f t="shared" si="179"/>
        <v>0</v>
      </c>
      <c r="J1656" s="87">
        <f>IF($D1656&gt;0,IFERROR(Параметры!$D$42*$H1656/$H$2408,0),0)</f>
        <v>0</v>
      </c>
      <c r="K1656" s="87">
        <f>IFERROR(ROUND($N1656*Параметры!$D$36,2),0)</f>
        <v>0</v>
      </c>
      <c r="L1656" s="87">
        <f t="shared" si="180"/>
        <v>0</v>
      </c>
      <c r="M1656" s="87">
        <f t="shared" si="181"/>
        <v>0</v>
      </c>
      <c r="N1656" s="107" t="str">
        <f t="shared" si="182"/>
        <v/>
      </c>
    </row>
    <row r="1657" spans="2:14" x14ac:dyDescent="0.25">
      <c r="B1657" s="82">
        <f>SUBTOTAL(103,$D$8:D1657)</f>
        <v>1650</v>
      </c>
      <c r="C1657" s="83" t="s">
        <v>1655</v>
      </c>
      <c r="D1657" s="84">
        <v>0</v>
      </c>
      <c r="E1657" s="85" t="str">
        <f t="shared" si="177"/>
        <v/>
      </c>
      <c r="F1657" s="106" t="str">
        <f t="shared" si="183"/>
        <v/>
      </c>
      <c r="G1657" s="86"/>
      <c r="H1657" s="107">
        <f t="shared" si="178"/>
        <v>0</v>
      </c>
      <c r="I1657" s="107">
        <f t="shared" si="179"/>
        <v>0</v>
      </c>
      <c r="J1657" s="87">
        <f>IF($D1657&gt;0,IFERROR(Параметры!$D$42*$H1657/$H$2408,0),0)</f>
        <v>0</v>
      </c>
      <c r="K1657" s="87">
        <f>IFERROR(ROUND($N1657*Параметры!$D$36,2),0)</f>
        <v>0</v>
      </c>
      <c r="L1657" s="87">
        <f t="shared" si="180"/>
        <v>0</v>
      </c>
      <c r="M1657" s="87">
        <f t="shared" si="181"/>
        <v>0</v>
      </c>
      <c r="N1657" s="107" t="str">
        <f t="shared" si="182"/>
        <v/>
      </c>
    </row>
    <row r="1658" spans="2:14" x14ac:dyDescent="0.25">
      <c r="B1658" s="82">
        <f>SUBTOTAL(103,$D$8:D1658)</f>
        <v>1651</v>
      </c>
      <c r="C1658" s="83" t="s">
        <v>1656</v>
      </c>
      <c r="D1658" s="84">
        <v>0</v>
      </c>
      <c r="E1658" s="85" t="str">
        <f t="shared" si="177"/>
        <v/>
      </c>
      <c r="F1658" s="106" t="str">
        <f t="shared" si="183"/>
        <v/>
      </c>
      <c r="G1658" s="86"/>
      <c r="H1658" s="107">
        <f t="shared" si="178"/>
        <v>0</v>
      </c>
      <c r="I1658" s="107">
        <f t="shared" si="179"/>
        <v>0</v>
      </c>
      <c r="J1658" s="87">
        <f>IF($D1658&gt;0,IFERROR(Параметры!$D$42*$H1658/$H$2408,0),0)</f>
        <v>0</v>
      </c>
      <c r="K1658" s="87">
        <f>IFERROR(ROUND($N1658*Параметры!$D$36,2),0)</f>
        <v>0</v>
      </c>
      <c r="L1658" s="87">
        <f t="shared" si="180"/>
        <v>0</v>
      </c>
      <c r="M1658" s="87">
        <f t="shared" si="181"/>
        <v>0</v>
      </c>
      <c r="N1658" s="107" t="str">
        <f t="shared" si="182"/>
        <v/>
      </c>
    </row>
    <row r="1659" spans="2:14" x14ac:dyDescent="0.25">
      <c r="B1659" s="82">
        <f>SUBTOTAL(103,$D$8:D1659)</f>
        <v>1652</v>
      </c>
      <c r="C1659" s="83" t="s">
        <v>1657</v>
      </c>
      <c r="D1659" s="84">
        <v>0</v>
      </c>
      <c r="E1659" s="85" t="str">
        <f t="shared" si="177"/>
        <v/>
      </c>
      <c r="F1659" s="106" t="str">
        <f t="shared" si="183"/>
        <v/>
      </c>
      <c r="G1659" s="86"/>
      <c r="H1659" s="107">
        <f t="shared" si="178"/>
        <v>0</v>
      </c>
      <c r="I1659" s="107">
        <f t="shared" si="179"/>
        <v>0</v>
      </c>
      <c r="J1659" s="87">
        <f>IF($D1659&gt;0,IFERROR(Параметры!$D$42*$H1659/$H$2408,0),0)</f>
        <v>0</v>
      </c>
      <c r="K1659" s="87">
        <f>IFERROR(ROUND($N1659*Параметры!$D$36,2),0)</f>
        <v>0</v>
      </c>
      <c r="L1659" s="87">
        <f t="shared" si="180"/>
        <v>0</v>
      </c>
      <c r="M1659" s="87">
        <f t="shared" si="181"/>
        <v>0</v>
      </c>
      <c r="N1659" s="107" t="str">
        <f t="shared" si="182"/>
        <v/>
      </c>
    </row>
    <row r="1660" spans="2:14" x14ac:dyDescent="0.25">
      <c r="B1660" s="82">
        <f>SUBTOTAL(103,$D$8:D1660)</f>
        <v>1653</v>
      </c>
      <c r="C1660" s="83" t="s">
        <v>1658</v>
      </c>
      <c r="D1660" s="84">
        <v>0</v>
      </c>
      <c r="E1660" s="85" t="str">
        <f t="shared" si="177"/>
        <v/>
      </c>
      <c r="F1660" s="106" t="str">
        <f t="shared" si="183"/>
        <v/>
      </c>
      <c r="G1660" s="86"/>
      <c r="H1660" s="107">
        <f t="shared" si="178"/>
        <v>0</v>
      </c>
      <c r="I1660" s="107">
        <f t="shared" si="179"/>
        <v>0</v>
      </c>
      <c r="J1660" s="87">
        <f>IF($D1660&gt;0,IFERROR(Параметры!$D$42*$H1660/$H$2408,0),0)</f>
        <v>0</v>
      </c>
      <c r="K1660" s="87">
        <f>IFERROR(ROUND($N1660*Параметры!$D$36,2),0)</f>
        <v>0</v>
      </c>
      <c r="L1660" s="87">
        <f t="shared" si="180"/>
        <v>0</v>
      </c>
      <c r="M1660" s="87">
        <f t="shared" si="181"/>
        <v>0</v>
      </c>
      <c r="N1660" s="107" t="str">
        <f t="shared" si="182"/>
        <v/>
      </c>
    </row>
    <row r="1661" spans="2:14" x14ac:dyDescent="0.25">
      <c r="B1661" s="82">
        <f>SUBTOTAL(103,$D$8:D1661)</f>
        <v>1654</v>
      </c>
      <c r="C1661" s="83" t="s">
        <v>1659</v>
      </c>
      <c r="D1661" s="84">
        <v>0</v>
      </c>
      <c r="E1661" s="85" t="str">
        <f t="shared" si="177"/>
        <v/>
      </c>
      <c r="F1661" s="106" t="str">
        <f t="shared" si="183"/>
        <v/>
      </c>
      <c r="G1661" s="86"/>
      <c r="H1661" s="107">
        <f t="shared" si="178"/>
        <v>0</v>
      </c>
      <c r="I1661" s="107">
        <f t="shared" si="179"/>
        <v>0</v>
      </c>
      <c r="J1661" s="87">
        <f>IF($D1661&gt;0,IFERROR(Параметры!$D$42*$H1661/$H$2408,0),0)</f>
        <v>0</v>
      </c>
      <c r="K1661" s="87">
        <f>IFERROR(ROUND($N1661*Параметры!$D$36,2),0)</f>
        <v>0</v>
      </c>
      <c r="L1661" s="87">
        <f t="shared" si="180"/>
        <v>0</v>
      </c>
      <c r="M1661" s="87">
        <f t="shared" si="181"/>
        <v>0</v>
      </c>
      <c r="N1661" s="107" t="str">
        <f t="shared" si="182"/>
        <v/>
      </c>
    </row>
    <row r="1662" spans="2:14" x14ac:dyDescent="0.25">
      <c r="B1662" s="82">
        <f>SUBTOTAL(103,$D$8:D1662)</f>
        <v>1655</v>
      </c>
      <c r="C1662" s="83" t="s">
        <v>1660</v>
      </c>
      <c r="D1662" s="84">
        <v>0</v>
      </c>
      <c r="E1662" s="85" t="str">
        <f t="shared" si="177"/>
        <v/>
      </c>
      <c r="F1662" s="106" t="str">
        <f t="shared" si="183"/>
        <v/>
      </c>
      <c r="G1662" s="86"/>
      <c r="H1662" s="107">
        <f t="shared" si="178"/>
        <v>0</v>
      </c>
      <c r="I1662" s="107">
        <f t="shared" si="179"/>
        <v>0</v>
      </c>
      <c r="J1662" s="87">
        <f>IF($D1662&gt;0,IFERROR(Параметры!$D$42*$H1662/$H$2408,0),0)</f>
        <v>0</v>
      </c>
      <c r="K1662" s="87">
        <f>IFERROR(ROUND($N1662*Параметры!$D$36,2),0)</f>
        <v>0</v>
      </c>
      <c r="L1662" s="87">
        <f t="shared" si="180"/>
        <v>0</v>
      </c>
      <c r="M1662" s="87">
        <f t="shared" si="181"/>
        <v>0</v>
      </c>
      <c r="N1662" s="107" t="str">
        <f t="shared" si="182"/>
        <v/>
      </c>
    </row>
    <row r="1663" spans="2:14" x14ac:dyDescent="0.25">
      <c r="B1663" s="82">
        <f>SUBTOTAL(103,$D$8:D1663)</f>
        <v>1656</v>
      </c>
      <c r="C1663" s="83" t="s">
        <v>1661</v>
      </c>
      <c r="D1663" s="84">
        <v>0</v>
      </c>
      <c r="E1663" s="85" t="str">
        <f t="shared" si="177"/>
        <v/>
      </c>
      <c r="F1663" s="106" t="str">
        <f t="shared" si="183"/>
        <v/>
      </c>
      <c r="G1663" s="86"/>
      <c r="H1663" s="107">
        <f t="shared" si="178"/>
        <v>0</v>
      </c>
      <c r="I1663" s="107">
        <f t="shared" si="179"/>
        <v>0</v>
      </c>
      <c r="J1663" s="87">
        <f>IF($D1663&gt;0,IFERROR(Параметры!$D$42*$H1663/$H$2408,0),0)</f>
        <v>0</v>
      </c>
      <c r="K1663" s="87">
        <f>IFERROR(ROUND($N1663*Параметры!$D$36,2),0)</f>
        <v>0</v>
      </c>
      <c r="L1663" s="87">
        <f t="shared" si="180"/>
        <v>0</v>
      </c>
      <c r="M1663" s="87">
        <f t="shared" si="181"/>
        <v>0</v>
      </c>
      <c r="N1663" s="107" t="str">
        <f t="shared" si="182"/>
        <v/>
      </c>
    </row>
    <row r="1664" spans="2:14" x14ac:dyDescent="0.25">
      <c r="B1664" s="82">
        <f>SUBTOTAL(103,$D$8:D1664)</f>
        <v>1657</v>
      </c>
      <c r="C1664" s="83" t="s">
        <v>1662</v>
      </c>
      <c r="D1664" s="84">
        <v>0</v>
      </c>
      <c r="E1664" s="85" t="str">
        <f t="shared" si="177"/>
        <v/>
      </c>
      <c r="F1664" s="106" t="str">
        <f t="shared" si="183"/>
        <v/>
      </c>
      <c r="G1664" s="86"/>
      <c r="H1664" s="107">
        <f t="shared" si="178"/>
        <v>0</v>
      </c>
      <c r="I1664" s="107">
        <f t="shared" si="179"/>
        <v>0</v>
      </c>
      <c r="J1664" s="87">
        <f>IF($D1664&gt;0,IFERROR(Параметры!$D$42*$H1664/$H$2408,0),0)</f>
        <v>0</v>
      </c>
      <c r="K1664" s="87">
        <f>IFERROR(ROUND($N1664*Параметры!$D$36,2),0)</f>
        <v>0</v>
      </c>
      <c r="L1664" s="87">
        <f t="shared" si="180"/>
        <v>0</v>
      </c>
      <c r="M1664" s="87">
        <f t="shared" si="181"/>
        <v>0</v>
      </c>
      <c r="N1664" s="107" t="str">
        <f t="shared" si="182"/>
        <v/>
      </c>
    </row>
    <row r="1665" spans="2:14" x14ac:dyDescent="0.25">
      <c r="B1665" s="82">
        <f>SUBTOTAL(103,$D$8:D1665)</f>
        <v>1658</v>
      </c>
      <c r="C1665" s="83" t="s">
        <v>1663</v>
      </c>
      <c r="D1665" s="84">
        <v>0</v>
      </c>
      <c r="E1665" s="85" t="str">
        <f t="shared" si="177"/>
        <v/>
      </c>
      <c r="F1665" s="106" t="str">
        <f t="shared" si="183"/>
        <v/>
      </c>
      <c r="G1665" s="86"/>
      <c r="H1665" s="107">
        <f t="shared" si="178"/>
        <v>0</v>
      </c>
      <c r="I1665" s="107">
        <f t="shared" si="179"/>
        <v>0</v>
      </c>
      <c r="J1665" s="87">
        <f>IF($D1665&gt;0,IFERROR(Параметры!$D$42*$H1665/$H$2408,0),0)</f>
        <v>0</v>
      </c>
      <c r="K1665" s="87">
        <f>IFERROR(ROUND($N1665*Параметры!$D$36,2),0)</f>
        <v>0</v>
      </c>
      <c r="L1665" s="87">
        <f t="shared" si="180"/>
        <v>0</v>
      </c>
      <c r="M1665" s="87">
        <f t="shared" si="181"/>
        <v>0</v>
      </c>
      <c r="N1665" s="107" t="str">
        <f t="shared" si="182"/>
        <v/>
      </c>
    </row>
    <row r="1666" spans="2:14" x14ac:dyDescent="0.25">
      <c r="B1666" s="82">
        <f>SUBTOTAL(103,$D$8:D1666)</f>
        <v>1659</v>
      </c>
      <c r="C1666" s="83" t="s">
        <v>1664</v>
      </c>
      <c r="D1666" s="84">
        <v>0</v>
      </c>
      <c r="E1666" s="85" t="str">
        <f t="shared" si="177"/>
        <v/>
      </c>
      <c r="F1666" s="106" t="str">
        <f t="shared" si="183"/>
        <v/>
      </c>
      <c r="G1666" s="86"/>
      <c r="H1666" s="107">
        <f t="shared" si="178"/>
        <v>0</v>
      </c>
      <c r="I1666" s="107">
        <f t="shared" si="179"/>
        <v>0</v>
      </c>
      <c r="J1666" s="87">
        <f>IF($D1666&gt;0,IFERROR(Параметры!$D$42*$H1666/$H$2408,0),0)</f>
        <v>0</v>
      </c>
      <c r="K1666" s="87">
        <f>IFERROR(ROUND($N1666*Параметры!$D$36,2),0)</f>
        <v>0</v>
      </c>
      <c r="L1666" s="87">
        <f t="shared" si="180"/>
        <v>0</v>
      </c>
      <c r="M1666" s="87">
        <f t="shared" si="181"/>
        <v>0</v>
      </c>
      <c r="N1666" s="107" t="str">
        <f t="shared" si="182"/>
        <v/>
      </c>
    </row>
    <row r="1667" spans="2:14" x14ac:dyDescent="0.25">
      <c r="B1667" s="82">
        <f>SUBTOTAL(103,$D$8:D1667)</f>
        <v>1660</v>
      </c>
      <c r="C1667" s="83" t="s">
        <v>1665</v>
      </c>
      <c r="D1667" s="84">
        <v>0</v>
      </c>
      <c r="E1667" s="85" t="str">
        <f t="shared" si="177"/>
        <v/>
      </c>
      <c r="F1667" s="106" t="str">
        <f t="shared" si="183"/>
        <v/>
      </c>
      <c r="G1667" s="86"/>
      <c r="H1667" s="107">
        <f t="shared" si="178"/>
        <v>0</v>
      </c>
      <c r="I1667" s="107">
        <f t="shared" si="179"/>
        <v>0</v>
      </c>
      <c r="J1667" s="87">
        <f>IF($D1667&gt;0,IFERROR(Параметры!$D$42*$H1667/$H$2408,0),0)</f>
        <v>0</v>
      </c>
      <c r="K1667" s="87">
        <f>IFERROR(ROUND($N1667*Параметры!$D$36,2),0)</f>
        <v>0</v>
      </c>
      <c r="L1667" s="87">
        <f t="shared" si="180"/>
        <v>0</v>
      </c>
      <c r="M1667" s="87">
        <f t="shared" si="181"/>
        <v>0</v>
      </c>
      <c r="N1667" s="107" t="str">
        <f t="shared" si="182"/>
        <v/>
      </c>
    </row>
    <row r="1668" spans="2:14" x14ac:dyDescent="0.25">
      <c r="B1668" s="82">
        <f>SUBTOTAL(103,$D$8:D1668)</f>
        <v>1661</v>
      </c>
      <c r="C1668" s="83" t="s">
        <v>1666</v>
      </c>
      <c r="D1668" s="84">
        <v>0</v>
      </c>
      <c r="E1668" s="85" t="str">
        <f t="shared" si="177"/>
        <v/>
      </c>
      <c r="F1668" s="106" t="str">
        <f t="shared" si="183"/>
        <v/>
      </c>
      <c r="G1668" s="86"/>
      <c r="H1668" s="107">
        <f t="shared" si="178"/>
        <v>0</v>
      </c>
      <c r="I1668" s="107">
        <f t="shared" si="179"/>
        <v>0</v>
      </c>
      <c r="J1668" s="87">
        <f>IF($D1668&gt;0,IFERROR(Параметры!$D$42*$H1668/$H$2408,0),0)</f>
        <v>0</v>
      </c>
      <c r="K1668" s="87">
        <f>IFERROR(ROUND($N1668*Параметры!$D$36,2),0)</f>
        <v>0</v>
      </c>
      <c r="L1668" s="87">
        <f t="shared" si="180"/>
        <v>0</v>
      </c>
      <c r="M1668" s="87">
        <f t="shared" si="181"/>
        <v>0</v>
      </c>
      <c r="N1668" s="107" t="str">
        <f t="shared" si="182"/>
        <v/>
      </c>
    </row>
    <row r="1669" spans="2:14" x14ac:dyDescent="0.25">
      <c r="B1669" s="82">
        <f>SUBTOTAL(103,$D$8:D1669)</f>
        <v>1662</v>
      </c>
      <c r="C1669" s="83" t="s">
        <v>1667</v>
      </c>
      <c r="D1669" s="84">
        <v>0</v>
      </c>
      <c r="E1669" s="85" t="str">
        <f t="shared" si="177"/>
        <v/>
      </c>
      <c r="F1669" s="106" t="str">
        <f t="shared" si="183"/>
        <v/>
      </c>
      <c r="G1669" s="86"/>
      <c r="H1669" s="107">
        <f t="shared" si="178"/>
        <v>0</v>
      </c>
      <c r="I1669" s="107">
        <f t="shared" si="179"/>
        <v>0</v>
      </c>
      <c r="J1669" s="87">
        <f>IF($D1669&gt;0,IFERROR(Параметры!$D$42*$H1669/$H$2408,0),0)</f>
        <v>0</v>
      </c>
      <c r="K1669" s="87">
        <f>IFERROR(ROUND($N1669*Параметры!$D$36,2),0)</f>
        <v>0</v>
      </c>
      <c r="L1669" s="87">
        <f t="shared" si="180"/>
        <v>0</v>
      </c>
      <c r="M1669" s="87">
        <f t="shared" si="181"/>
        <v>0</v>
      </c>
      <c r="N1669" s="107" t="str">
        <f t="shared" si="182"/>
        <v/>
      </c>
    </row>
    <row r="1670" spans="2:14" x14ac:dyDescent="0.25">
      <c r="B1670" s="82">
        <f>SUBTOTAL(103,$D$8:D1670)</f>
        <v>1663</v>
      </c>
      <c r="C1670" s="83" t="s">
        <v>1668</v>
      </c>
      <c r="D1670" s="84">
        <v>0</v>
      </c>
      <c r="E1670" s="85" t="str">
        <f t="shared" si="177"/>
        <v/>
      </c>
      <c r="F1670" s="106" t="str">
        <f t="shared" si="183"/>
        <v/>
      </c>
      <c r="G1670" s="86"/>
      <c r="H1670" s="107">
        <f t="shared" si="178"/>
        <v>0</v>
      </c>
      <c r="I1670" s="107">
        <f t="shared" si="179"/>
        <v>0</v>
      </c>
      <c r="J1670" s="87">
        <f>IF($D1670&gt;0,IFERROR(Параметры!$D$42*$H1670/$H$2408,0),0)</f>
        <v>0</v>
      </c>
      <c r="K1670" s="87">
        <f>IFERROR(ROUND($N1670*Параметры!$D$36,2),0)</f>
        <v>0</v>
      </c>
      <c r="L1670" s="87">
        <f t="shared" si="180"/>
        <v>0</v>
      </c>
      <c r="M1670" s="87">
        <f t="shared" si="181"/>
        <v>0</v>
      </c>
      <c r="N1670" s="107" t="str">
        <f t="shared" si="182"/>
        <v/>
      </c>
    </row>
    <row r="1671" spans="2:14" x14ac:dyDescent="0.25">
      <c r="B1671" s="82">
        <f>SUBTOTAL(103,$D$8:D1671)</f>
        <v>1664</v>
      </c>
      <c r="C1671" s="83" t="s">
        <v>1669</v>
      </c>
      <c r="D1671" s="84">
        <v>0</v>
      </c>
      <c r="E1671" s="85" t="str">
        <f t="shared" si="177"/>
        <v/>
      </c>
      <c r="F1671" s="106" t="str">
        <f t="shared" si="183"/>
        <v/>
      </c>
      <c r="G1671" s="86"/>
      <c r="H1671" s="107">
        <f t="shared" si="178"/>
        <v>0</v>
      </c>
      <c r="I1671" s="107">
        <f t="shared" si="179"/>
        <v>0</v>
      </c>
      <c r="J1671" s="87">
        <f>IF($D1671&gt;0,IFERROR(Параметры!$D$42*$H1671/$H$2408,0),0)</f>
        <v>0</v>
      </c>
      <c r="K1671" s="87">
        <f>IFERROR(ROUND($N1671*Параметры!$D$36,2),0)</f>
        <v>0</v>
      </c>
      <c r="L1671" s="87">
        <f t="shared" si="180"/>
        <v>0</v>
      </c>
      <c r="M1671" s="87">
        <f t="shared" si="181"/>
        <v>0</v>
      </c>
      <c r="N1671" s="107" t="str">
        <f t="shared" si="182"/>
        <v/>
      </c>
    </row>
    <row r="1672" spans="2:14" x14ac:dyDescent="0.25">
      <c r="B1672" s="82">
        <f>SUBTOTAL(103,$D$8:D1672)</f>
        <v>1665</v>
      </c>
      <c r="C1672" s="83" t="s">
        <v>1670</v>
      </c>
      <c r="D1672" s="84">
        <v>0</v>
      </c>
      <c r="E1672" s="85" t="str">
        <f t="shared" ref="E1672:E1735" si="184">IF($D1672&lt;1,"",$K1672+$L1672)</f>
        <v/>
      </c>
      <c r="F1672" s="106" t="str">
        <f t="shared" si="183"/>
        <v/>
      </c>
      <c r="G1672" s="86"/>
      <c r="H1672" s="107">
        <f t="shared" ref="H1672:H1735" si="185">IF($D1672&gt;0,$D1672*КИС,0)</f>
        <v>0</v>
      </c>
      <c r="I1672" s="107">
        <f t="shared" ref="I1672:I1735" si="186">IF($D1672&gt;0,$D1672-$H1672,0)</f>
        <v>0</v>
      </c>
      <c r="J1672" s="87">
        <f>IF($D1672&gt;0,IFERROR(Параметры!$D$42*$H1672/$H$2408,0),0)</f>
        <v>0</v>
      </c>
      <c r="K1672" s="87">
        <f>IFERROR(ROUND($N1672*Параметры!$D$36,2),0)</f>
        <v>0</v>
      </c>
      <c r="L1672" s="87">
        <f t="shared" ref="L1672:L1735" si="187">IF($K1672&gt;0,$K1672*0.055,0)</f>
        <v>0</v>
      </c>
      <c r="M1672" s="87">
        <f t="shared" ref="M1672:M1735" si="188">IFERROR($L1672/Плотность_ДТ,0)</f>
        <v>0</v>
      </c>
      <c r="N1672" s="107" t="str">
        <f t="shared" ref="N1672:N1735" si="189">IF($D1672&gt;0,MAX(0,$D1672-IF($F1672="",0,$F1672)),"")</f>
        <v/>
      </c>
    </row>
    <row r="1673" spans="2:14" x14ac:dyDescent="0.25">
      <c r="B1673" s="82">
        <f>SUBTOTAL(103,$D$8:D1673)</f>
        <v>1666</v>
      </c>
      <c r="C1673" s="83" t="s">
        <v>1671</v>
      </c>
      <c r="D1673" s="84">
        <v>0</v>
      </c>
      <c r="E1673" s="85" t="str">
        <f t="shared" si="184"/>
        <v/>
      </c>
      <c r="F1673" s="106" t="str">
        <f t="shared" si="183"/>
        <v/>
      </c>
      <c r="G1673" s="86"/>
      <c r="H1673" s="107">
        <f t="shared" si="185"/>
        <v>0</v>
      </c>
      <c r="I1673" s="107">
        <f t="shared" si="186"/>
        <v>0</v>
      </c>
      <c r="J1673" s="87">
        <f>IF($D1673&gt;0,IFERROR(Параметры!$D$42*$H1673/$H$2408,0),0)</f>
        <v>0</v>
      </c>
      <c r="K1673" s="87">
        <f>IFERROR(ROUND($N1673*Параметры!$D$36,2),0)</f>
        <v>0</v>
      </c>
      <c r="L1673" s="87">
        <f t="shared" si="187"/>
        <v>0</v>
      </c>
      <c r="M1673" s="87">
        <f t="shared" si="188"/>
        <v>0</v>
      </c>
      <c r="N1673" s="107" t="str">
        <f t="shared" si="189"/>
        <v/>
      </c>
    </row>
    <row r="1674" spans="2:14" x14ac:dyDescent="0.25">
      <c r="B1674" s="82">
        <f>SUBTOTAL(103,$D$8:D1674)</f>
        <v>1667</v>
      </c>
      <c r="C1674" s="83" t="s">
        <v>1672</v>
      </c>
      <c r="D1674" s="84">
        <v>0</v>
      </c>
      <c r="E1674" s="85" t="str">
        <f t="shared" si="184"/>
        <v/>
      </c>
      <c r="F1674" s="106" t="str">
        <f t="shared" si="183"/>
        <v/>
      </c>
      <c r="G1674" s="86"/>
      <c r="H1674" s="107">
        <f t="shared" si="185"/>
        <v>0</v>
      </c>
      <c r="I1674" s="107">
        <f t="shared" si="186"/>
        <v>0</v>
      </c>
      <c r="J1674" s="87">
        <f>IF($D1674&gt;0,IFERROR(Параметры!$D$42*$H1674/$H$2408,0),0)</f>
        <v>0</v>
      </c>
      <c r="K1674" s="87">
        <f>IFERROR(ROUND($N1674*Параметры!$D$36,2),0)</f>
        <v>0</v>
      </c>
      <c r="L1674" s="87">
        <f t="shared" si="187"/>
        <v>0</v>
      </c>
      <c r="M1674" s="87">
        <f t="shared" si="188"/>
        <v>0</v>
      </c>
      <c r="N1674" s="107" t="str">
        <f t="shared" si="189"/>
        <v/>
      </c>
    </row>
    <row r="1675" spans="2:14" x14ac:dyDescent="0.25">
      <c r="B1675" s="82">
        <f>SUBTOTAL(103,$D$8:D1675)</f>
        <v>1668</v>
      </c>
      <c r="C1675" s="83" t="s">
        <v>1673</v>
      </c>
      <c r="D1675" s="84">
        <v>0</v>
      </c>
      <c r="E1675" s="85" t="str">
        <f t="shared" si="184"/>
        <v/>
      </c>
      <c r="F1675" s="106" t="str">
        <f t="shared" ref="F1675:F1738" si="190">IF(D1675&gt;0,2,"")</f>
        <v/>
      </c>
      <c r="G1675" s="86"/>
      <c r="H1675" s="107">
        <f t="shared" si="185"/>
        <v>0</v>
      </c>
      <c r="I1675" s="107">
        <f t="shared" si="186"/>
        <v>0</v>
      </c>
      <c r="J1675" s="87">
        <f>IF($D1675&gt;0,IFERROR(Параметры!$D$42*$H1675/$H$2408,0),0)</f>
        <v>0</v>
      </c>
      <c r="K1675" s="87">
        <f>IFERROR(ROUND($N1675*Параметры!$D$36,2),0)</f>
        <v>0</v>
      </c>
      <c r="L1675" s="87">
        <f t="shared" si="187"/>
        <v>0</v>
      </c>
      <c r="M1675" s="87">
        <f t="shared" si="188"/>
        <v>0</v>
      </c>
      <c r="N1675" s="107" t="str">
        <f t="shared" si="189"/>
        <v/>
      </c>
    </row>
    <row r="1676" spans="2:14" x14ac:dyDescent="0.25">
      <c r="B1676" s="82">
        <f>SUBTOTAL(103,$D$8:D1676)</f>
        <v>1669</v>
      </c>
      <c r="C1676" s="83" t="s">
        <v>1674</v>
      </c>
      <c r="D1676" s="84">
        <v>0</v>
      </c>
      <c r="E1676" s="85" t="str">
        <f t="shared" si="184"/>
        <v/>
      </c>
      <c r="F1676" s="106" t="str">
        <f t="shared" si="190"/>
        <v/>
      </c>
      <c r="G1676" s="86"/>
      <c r="H1676" s="107">
        <f t="shared" si="185"/>
        <v>0</v>
      </c>
      <c r="I1676" s="107">
        <f t="shared" si="186"/>
        <v>0</v>
      </c>
      <c r="J1676" s="87">
        <f>IF($D1676&gt;0,IFERROR(Параметры!$D$42*$H1676/$H$2408,0),0)</f>
        <v>0</v>
      </c>
      <c r="K1676" s="87">
        <f>IFERROR(ROUND($N1676*Параметры!$D$36,2),0)</f>
        <v>0</v>
      </c>
      <c r="L1676" s="87">
        <f t="shared" si="187"/>
        <v>0</v>
      </c>
      <c r="M1676" s="87">
        <f t="shared" si="188"/>
        <v>0</v>
      </c>
      <c r="N1676" s="107" t="str">
        <f t="shared" si="189"/>
        <v/>
      </c>
    </row>
    <row r="1677" spans="2:14" x14ac:dyDescent="0.25">
      <c r="B1677" s="82">
        <f>SUBTOTAL(103,$D$8:D1677)</f>
        <v>1670</v>
      </c>
      <c r="C1677" s="83" t="s">
        <v>1675</v>
      </c>
      <c r="D1677" s="84">
        <v>0</v>
      </c>
      <c r="E1677" s="85" t="str">
        <f t="shared" si="184"/>
        <v/>
      </c>
      <c r="F1677" s="106" t="str">
        <f t="shared" si="190"/>
        <v/>
      </c>
      <c r="G1677" s="86"/>
      <c r="H1677" s="107">
        <f t="shared" si="185"/>
        <v>0</v>
      </c>
      <c r="I1677" s="107">
        <f t="shared" si="186"/>
        <v>0</v>
      </c>
      <c r="J1677" s="87">
        <f>IF($D1677&gt;0,IFERROR(Параметры!$D$42*$H1677/$H$2408,0),0)</f>
        <v>0</v>
      </c>
      <c r="K1677" s="87">
        <f>IFERROR(ROUND($N1677*Параметры!$D$36,2),0)</f>
        <v>0</v>
      </c>
      <c r="L1677" s="87">
        <f t="shared" si="187"/>
        <v>0</v>
      </c>
      <c r="M1677" s="87">
        <f t="shared" si="188"/>
        <v>0</v>
      </c>
      <c r="N1677" s="107" t="str">
        <f t="shared" si="189"/>
        <v/>
      </c>
    </row>
    <row r="1678" spans="2:14" x14ac:dyDescent="0.25">
      <c r="B1678" s="82">
        <f>SUBTOTAL(103,$D$8:D1678)</f>
        <v>1671</v>
      </c>
      <c r="C1678" s="83" t="s">
        <v>1676</v>
      </c>
      <c r="D1678" s="84">
        <v>0</v>
      </c>
      <c r="E1678" s="85" t="str">
        <f t="shared" si="184"/>
        <v/>
      </c>
      <c r="F1678" s="106" t="str">
        <f t="shared" si="190"/>
        <v/>
      </c>
      <c r="G1678" s="86"/>
      <c r="H1678" s="107">
        <f t="shared" si="185"/>
        <v>0</v>
      </c>
      <c r="I1678" s="107">
        <f t="shared" si="186"/>
        <v>0</v>
      </c>
      <c r="J1678" s="87">
        <f>IF($D1678&gt;0,IFERROR(Параметры!$D$42*$H1678/$H$2408,0),0)</f>
        <v>0</v>
      </c>
      <c r="K1678" s="87">
        <f>IFERROR(ROUND($N1678*Параметры!$D$36,2),0)</f>
        <v>0</v>
      </c>
      <c r="L1678" s="87">
        <f t="shared" si="187"/>
        <v>0</v>
      </c>
      <c r="M1678" s="87">
        <f t="shared" si="188"/>
        <v>0</v>
      </c>
      <c r="N1678" s="107" t="str">
        <f t="shared" si="189"/>
        <v/>
      </c>
    </row>
    <row r="1679" spans="2:14" x14ac:dyDescent="0.25">
      <c r="B1679" s="82">
        <f>SUBTOTAL(103,$D$8:D1679)</f>
        <v>1672</v>
      </c>
      <c r="C1679" s="83" t="s">
        <v>1677</v>
      </c>
      <c r="D1679" s="84">
        <v>0</v>
      </c>
      <c r="E1679" s="85" t="str">
        <f t="shared" si="184"/>
        <v/>
      </c>
      <c r="F1679" s="106" t="str">
        <f t="shared" si="190"/>
        <v/>
      </c>
      <c r="G1679" s="86"/>
      <c r="H1679" s="107">
        <f t="shared" si="185"/>
        <v>0</v>
      </c>
      <c r="I1679" s="107">
        <f t="shared" si="186"/>
        <v>0</v>
      </c>
      <c r="J1679" s="87">
        <f>IF($D1679&gt;0,IFERROR(Параметры!$D$42*$H1679/$H$2408,0),0)</f>
        <v>0</v>
      </c>
      <c r="K1679" s="87">
        <f>IFERROR(ROUND($N1679*Параметры!$D$36,2),0)</f>
        <v>0</v>
      </c>
      <c r="L1679" s="87">
        <f t="shared" si="187"/>
        <v>0</v>
      </c>
      <c r="M1679" s="87">
        <f t="shared" si="188"/>
        <v>0</v>
      </c>
      <c r="N1679" s="107" t="str">
        <f t="shared" si="189"/>
        <v/>
      </c>
    </row>
    <row r="1680" spans="2:14" x14ac:dyDescent="0.25">
      <c r="B1680" s="82">
        <f>SUBTOTAL(103,$D$8:D1680)</f>
        <v>1673</v>
      </c>
      <c r="C1680" s="83" t="s">
        <v>1678</v>
      </c>
      <c r="D1680" s="84">
        <v>0</v>
      </c>
      <c r="E1680" s="85" t="str">
        <f t="shared" si="184"/>
        <v/>
      </c>
      <c r="F1680" s="106" t="str">
        <f t="shared" si="190"/>
        <v/>
      </c>
      <c r="G1680" s="86"/>
      <c r="H1680" s="107">
        <f t="shared" si="185"/>
        <v>0</v>
      </c>
      <c r="I1680" s="107">
        <f t="shared" si="186"/>
        <v>0</v>
      </c>
      <c r="J1680" s="87">
        <f>IF($D1680&gt;0,IFERROR(Параметры!$D$42*$H1680/$H$2408,0),0)</f>
        <v>0</v>
      </c>
      <c r="K1680" s="87">
        <f>IFERROR(ROUND($N1680*Параметры!$D$36,2),0)</f>
        <v>0</v>
      </c>
      <c r="L1680" s="87">
        <f t="shared" si="187"/>
        <v>0</v>
      </c>
      <c r="M1680" s="87">
        <f t="shared" si="188"/>
        <v>0</v>
      </c>
      <c r="N1680" s="107" t="str">
        <f t="shared" si="189"/>
        <v/>
      </c>
    </row>
    <row r="1681" spans="2:14" x14ac:dyDescent="0.25">
      <c r="B1681" s="82">
        <f>SUBTOTAL(103,$D$8:D1681)</f>
        <v>1674</v>
      </c>
      <c r="C1681" s="83" t="s">
        <v>1679</v>
      </c>
      <c r="D1681" s="84">
        <v>0</v>
      </c>
      <c r="E1681" s="85" t="str">
        <f t="shared" si="184"/>
        <v/>
      </c>
      <c r="F1681" s="106" t="str">
        <f t="shared" si="190"/>
        <v/>
      </c>
      <c r="G1681" s="86"/>
      <c r="H1681" s="107">
        <f t="shared" si="185"/>
        <v>0</v>
      </c>
      <c r="I1681" s="107">
        <f t="shared" si="186"/>
        <v>0</v>
      </c>
      <c r="J1681" s="87">
        <f>IF($D1681&gt;0,IFERROR(Параметры!$D$42*$H1681/$H$2408,0),0)</f>
        <v>0</v>
      </c>
      <c r="K1681" s="87">
        <f>IFERROR(ROUND($N1681*Параметры!$D$36,2),0)</f>
        <v>0</v>
      </c>
      <c r="L1681" s="87">
        <f t="shared" si="187"/>
        <v>0</v>
      </c>
      <c r="M1681" s="87">
        <f t="shared" si="188"/>
        <v>0</v>
      </c>
      <c r="N1681" s="107" t="str">
        <f t="shared" si="189"/>
        <v/>
      </c>
    </row>
    <row r="1682" spans="2:14" x14ac:dyDescent="0.25">
      <c r="B1682" s="82">
        <f>SUBTOTAL(103,$D$8:D1682)</f>
        <v>1675</v>
      </c>
      <c r="C1682" s="83" t="s">
        <v>1680</v>
      </c>
      <c r="D1682" s="84">
        <v>0</v>
      </c>
      <c r="E1682" s="85" t="str">
        <f t="shared" si="184"/>
        <v/>
      </c>
      <c r="F1682" s="106" t="str">
        <f t="shared" si="190"/>
        <v/>
      </c>
      <c r="G1682" s="86"/>
      <c r="H1682" s="107">
        <f t="shared" si="185"/>
        <v>0</v>
      </c>
      <c r="I1682" s="107">
        <f t="shared" si="186"/>
        <v>0</v>
      </c>
      <c r="J1682" s="87">
        <f>IF($D1682&gt;0,IFERROR(Параметры!$D$42*$H1682/$H$2408,0),0)</f>
        <v>0</v>
      </c>
      <c r="K1682" s="87">
        <f>IFERROR(ROUND($N1682*Параметры!$D$36,2),0)</f>
        <v>0</v>
      </c>
      <c r="L1682" s="87">
        <f t="shared" si="187"/>
        <v>0</v>
      </c>
      <c r="M1682" s="87">
        <f t="shared" si="188"/>
        <v>0</v>
      </c>
      <c r="N1682" s="107" t="str">
        <f t="shared" si="189"/>
        <v/>
      </c>
    </row>
    <row r="1683" spans="2:14" x14ac:dyDescent="0.25">
      <c r="B1683" s="82">
        <f>SUBTOTAL(103,$D$8:D1683)</f>
        <v>1676</v>
      </c>
      <c r="C1683" s="83" t="s">
        <v>1681</v>
      </c>
      <c r="D1683" s="84">
        <v>0</v>
      </c>
      <c r="E1683" s="85" t="str">
        <f t="shared" si="184"/>
        <v/>
      </c>
      <c r="F1683" s="106" t="str">
        <f t="shared" si="190"/>
        <v/>
      </c>
      <c r="G1683" s="86"/>
      <c r="H1683" s="107">
        <f t="shared" si="185"/>
        <v>0</v>
      </c>
      <c r="I1683" s="107">
        <f t="shared" si="186"/>
        <v>0</v>
      </c>
      <c r="J1683" s="87">
        <f>IF($D1683&gt;0,IFERROR(Параметры!$D$42*$H1683/$H$2408,0),0)</f>
        <v>0</v>
      </c>
      <c r="K1683" s="87">
        <f>IFERROR(ROUND($N1683*Параметры!$D$36,2),0)</f>
        <v>0</v>
      </c>
      <c r="L1683" s="87">
        <f t="shared" si="187"/>
        <v>0</v>
      </c>
      <c r="M1683" s="87">
        <f t="shared" si="188"/>
        <v>0</v>
      </c>
      <c r="N1683" s="107" t="str">
        <f t="shared" si="189"/>
        <v/>
      </c>
    </row>
    <row r="1684" spans="2:14" x14ac:dyDescent="0.25">
      <c r="B1684" s="82">
        <f>SUBTOTAL(103,$D$8:D1684)</f>
        <v>1677</v>
      </c>
      <c r="C1684" s="83" t="s">
        <v>1682</v>
      </c>
      <c r="D1684" s="84">
        <v>0</v>
      </c>
      <c r="E1684" s="85" t="str">
        <f t="shared" si="184"/>
        <v/>
      </c>
      <c r="F1684" s="106" t="str">
        <f t="shared" si="190"/>
        <v/>
      </c>
      <c r="G1684" s="86"/>
      <c r="H1684" s="107">
        <f t="shared" si="185"/>
        <v>0</v>
      </c>
      <c r="I1684" s="107">
        <f t="shared" si="186"/>
        <v>0</v>
      </c>
      <c r="J1684" s="87">
        <f>IF($D1684&gt;0,IFERROR(Параметры!$D$42*$H1684/$H$2408,0),0)</f>
        <v>0</v>
      </c>
      <c r="K1684" s="87">
        <f>IFERROR(ROUND($N1684*Параметры!$D$36,2),0)</f>
        <v>0</v>
      </c>
      <c r="L1684" s="87">
        <f t="shared" si="187"/>
        <v>0</v>
      </c>
      <c r="M1684" s="87">
        <f t="shared" si="188"/>
        <v>0</v>
      </c>
      <c r="N1684" s="107" t="str">
        <f t="shared" si="189"/>
        <v/>
      </c>
    </row>
    <row r="1685" spans="2:14" x14ac:dyDescent="0.25">
      <c r="B1685" s="82">
        <f>SUBTOTAL(103,$D$8:D1685)</f>
        <v>1678</v>
      </c>
      <c r="C1685" s="83" t="s">
        <v>1683</v>
      </c>
      <c r="D1685" s="84">
        <v>0</v>
      </c>
      <c r="E1685" s="85" t="str">
        <f t="shared" si="184"/>
        <v/>
      </c>
      <c r="F1685" s="106" t="str">
        <f t="shared" si="190"/>
        <v/>
      </c>
      <c r="G1685" s="86"/>
      <c r="H1685" s="107">
        <f t="shared" si="185"/>
        <v>0</v>
      </c>
      <c r="I1685" s="107">
        <f t="shared" si="186"/>
        <v>0</v>
      </c>
      <c r="J1685" s="87">
        <f>IF($D1685&gt;0,IFERROR(Параметры!$D$42*$H1685/$H$2408,0),0)</f>
        <v>0</v>
      </c>
      <c r="K1685" s="87">
        <f>IFERROR(ROUND($N1685*Параметры!$D$36,2),0)</f>
        <v>0</v>
      </c>
      <c r="L1685" s="87">
        <f t="shared" si="187"/>
        <v>0</v>
      </c>
      <c r="M1685" s="87">
        <f t="shared" si="188"/>
        <v>0</v>
      </c>
      <c r="N1685" s="107" t="str">
        <f t="shared" si="189"/>
        <v/>
      </c>
    </row>
    <row r="1686" spans="2:14" x14ac:dyDescent="0.25">
      <c r="B1686" s="82">
        <f>SUBTOTAL(103,$D$8:D1686)</f>
        <v>1679</v>
      </c>
      <c r="C1686" s="83" t="s">
        <v>1684</v>
      </c>
      <c r="D1686" s="84">
        <v>0</v>
      </c>
      <c r="E1686" s="85" t="str">
        <f t="shared" si="184"/>
        <v/>
      </c>
      <c r="F1686" s="106" t="str">
        <f t="shared" si="190"/>
        <v/>
      </c>
      <c r="G1686" s="86"/>
      <c r="H1686" s="107">
        <f t="shared" si="185"/>
        <v>0</v>
      </c>
      <c r="I1686" s="107">
        <f t="shared" si="186"/>
        <v>0</v>
      </c>
      <c r="J1686" s="87">
        <f>IF($D1686&gt;0,IFERROR(Параметры!$D$42*$H1686/$H$2408,0),0)</f>
        <v>0</v>
      </c>
      <c r="K1686" s="87">
        <f>IFERROR(ROUND($N1686*Параметры!$D$36,2),0)</f>
        <v>0</v>
      </c>
      <c r="L1686" s="87">
        <f t="shared" si="187"/>
        <v>0</v>
      </c>
      <c r="M1686" s="87">
        <f t="shared" si="188"/>
        <v>0</v>
      </c>
      <c r="N1686" s="107" t="str">
        <f t="shared" si="189"/>
        <v/>
      </c>
    </row>
    <row r="1687" spans="2:14" x14ac:dyDescent="0.25">
      <c r="B1687" s="82">
        <f>SUBTOTAL(103,$D$8:D1687)</f>
        <v>1680</v>
      </c>
      <c r="C1687" s="83" t="s">
        <v>1685</v>
      </c>
      <c r="D1687" s="84">
        <v>0</v>
      </c>
      <c r="E1687" s="85" t="str">
        <f t="shared" si="184"/>
        <v/>
      </c>
      <c r="F1687" s="106" t="str">
        <f t="shared" si="190"/>
        <v/>
      </c>
      <c r="G1687" s="86"/>
      <c r="H1687" s="107">
        <f t="shared" si="185"/>
        <v>0</v>
      </c>
      <c r="I1687" s="107">
        <f t="shared" si="186"/>
        <v>0</v>
      </c>
      <c r="J1687" s="87">
        <f>IF($D1687&gt;0,IFERROR(Параметры!$D$42*$H1687/$H$2408,0),0)</f>
        <v>0</v>
      </c>
      <c r="K1687" s="87">
        <f>IFERROR(ROUND($N1687*Параметры!$D$36,2),0)</f>
        <v>0</v>
      </c>
      <c r="L1687" s="87">
        <f t="shared" si="187"/>
        <v>0</v>
      </c>
      <c r="M1687" s="87">
        <f t="shared" si="188"/>
        <v>0</v>
      </c>
      <c r="N1687" s="107" t="str">
        <f t="shared" si="189"/>
        <v/>
      </c>
    </row>
    <row r="1688" spans="2:14" x14ac:dyDescent="0.25">
      <c r="B1688" s="82">
        <f>SUBTOTAL(103,$D$8:D1688)</f>
        <v>1681</v>
      </c>
      <c r="C1688" s="83" t="s">
        <v>1686</v>
      </c>
      <c r="D1688" s="84">
        <f t="array" ref="D1688:D1747">TRANSPOSE('Зарядная карта'!$C$33:$BJ$33)</f>
        <v>0</v>
      </c>
      <c r="E1688" s="85" t="str">
        <f t="shared" si="184"/>
        <v/>
      </c>
      <c r="F1688" s="106" t="str">
        <f t="shared" si="190"/>
        <v/>
      </c>
      <c r="G1688" s="86"/>
      <c r="H1688" s="107">
        <f t="shared" si="185"/>
        <v>0</v>
      </c>
      <c r="I1688" s="107">
        <f t="shared" si="186"/>
        <v>0</v>
      </c>
      <c r="J1688" s="87">
        <f>IF($D1688&gt;0,IFERROR(Параметры!$D$42*$H1688/$H$2408,0),0)</f>
        <v>0</v>
      </c>
      <c r="K1688" s="87">
        <f>IFERROR(ROUND($N1688*Параметры!$D$36,2),0)</f>
        <v>0</v>
      </c>
      <c r="L1688" s="87">
        <f t="shared" si="187"/>
        <v>0</v>
      </c>
      <c r="M1688" s="87">
        <f t="shared" si="188"/>
        <v>0</v>
      </c>
      <c r="N1688" s="107" t="str">
        <f t="shared" si="189"/>
        <v/>
      </c>
    </row>
    <row r="1689" spans="2:14" x14ac:dyDescent="0.25">
      <c r="B1689" s="82">
        <f>SUBTOTAL(103,$D$8:D1689)</f>
        <v>1682</v>
      </c>
      <c r="C1689" s="83" t="s">
        <v>1687</v>
      </c>
      <c r="D1689" s="84">
        <v>0</v>
      </c>
      <c r="E1689" s="85" t="str">
        <f t="shared" si="184"/>
        <v/>
      </c>
      <c r="F1689" s="106" t="str">
        <f t="shared" si="190"/>
        <v/>
      </c>
      <c r="G1689" s="86"/>
      <c r="H1689" s="107">
        <f t="shared" si="185"/>
        <v>0</v>
      </c>
      <c r="I1689" s="107">
        <f t="shared" si="186"/>
        <v>0</v>
      </c>
      <c r="J1689" s="87">
        <f>IF($D1689&gt;0,IFERROR(Параметры!$D$42*$H1689/$H$2408,0),0)</f>
        <v>0</v>
      </c>
      <c r="K1689" s="87">
        <f>IFERROR(ROUND($N1689*Параметры!$D$36,2),0)</f>
        <v>0</v>
      </c>
      <c r="L1689" s="87">
        <f t="shared" si="187"/>
        <v>0</v>
      </c>
      <c r="M1689" s="87">
        <f t="shared" si="188"/>
        <v>0</v>
      </c>
      <c r="N1689" s="107" t="str">
        <f t="shared" si="189"/>
        <v/>
      </c>
    </row>
    <row r="1690" spans="2:14" x14ac:dyDescent="0.25">
      <c r="B1690" s="82">
        <f>SUBTOTAL(103,$D$8:D1690)</f>
        <v>1683</v>
      </c>
      <c r="C1690" s="83" t="s">
        <v>1688</v>
      </c>
      <c r="D1690" s="84">
        <v>0</v>
      </c>
      <c r="E1690" s="85" t="str">
        <f t="shared" si="184"/>
        <v/>
      </c>
      <c r="F1690" s="106" t="str">
        <f t="shared" si="190"/>
        <v/>
      </c>
      <c r="G1690" s="86"/>
      <c r="H1690" s="107">
        <f t="shared" si="185"/>
        <v>0</v>
      </c>
      <c r="I1690" s="107">
        <f t="shared" si="186"/>
        <v>0</v>
      </c>
      <c r="J1690" s="87">
        <f>IF($D1690&gt;0,IFERROR(Параметры!$D$42*$H1690/$H$2408,0),0)</f>
        <v>0</v>
      </c>
      <c r="K1690" s="87">
        <f>IFERROR(ROUND($N1690*Параметры!$D$36,2),0)</f>
        <v>0</v>
      </c>
      <c r="L1690" s="87">
        <f t="shared" si="187"/>
        <v>0</v>
      </c>
      <c r="M1690" s="87">
        <f t="shared" si="188"/>
        <v>0</v>
      </c>
      <c r="N1690" s="107" t="str">
        <f t="shared" si="189"/>
        <v/>
      </c>
    </row>
    <row r="1691" spans="2:14" x14ac:dyDescent="0.25">
      <c r="B1691" s="82">
        <f>SUBTOTAL(103,$D$8:D1691)</f>
        <v>1684</v>
      </c>
      <c r="C1691" s="83" t="s">
        <v>1689</v>
      </c>
      <c r="D1691" s="84">
        <v>0</v>
      </c>
      <c r="E1691" s="85" t="str">
        <f t="shared" si="184"/>
        <v/>
      </c>
      <c r="F1691" s="106" t="str">
        <f t="shared" si="190"/>
        <v/>
      </c>
      <c r="G1691" s="86"/>
      <c r="H1691" s="107">
        <f t="shared" si="185"/>
        <v>0</v>
      </c>
      <c r="I1691" s="107">
        <f t="shared" si="186"/>
        <v>0</v>
      </c>
      <c r="J1691" s="87">
        <f>IF($D1691&gt;0,IFERROR(Параметры!$D$42*$H1691/$H$2408,0),0)</f>
        <v>0</v>
      </c>
      <c r="K1691" s="87">
        <f>IFERROR(ROUND($N1691*Параметры!$D$36,2),0)</f>
        <v>0</v>
      </c>
      <c r="L1691" s="87">
        <f t="shared" si="187"/>
        <v>0</v>
      </c>
      <c r="M1691" s="87">
        <f t="shared" si="188"/>
        <v>0</v>
      </c>
      <c r="N1691" s="107" t="str">
        <f t="shared" si="189"/>
        <v/>
      </c>
    </row>
    <row r="1692" spans="2:14" x14ac:dyDescent="0.25">
      <c r="B1692" s="82">
        <f>SUBTOTAL(103,$D$8:D1692)</f>
        <v>1685</v>
      </c>
      <c r="C1692" s="83" t="s">
        <v>1690</v>
      </c>
      <c r="D1692" s="84">
        <v>0</v>
      </c>
      <c r="E1692" s="85" t="str">
        <f t="shared" si="184"/>
        <v/>
      </c>
      <c r="F1692" s="106" t="str">
        <f t="shared" si="190"/>
        <v/>
      </c>
      <c r="G1692" s="86"/>
      <c r="H1692" s="107">
        <f t="shared" si="185"/>
        <v>0</v>
      </c>
      <c r="I1692" s="107">
        <f t="shared" si="186"/>
        <v>0</v>
      </c>
      <c r="J1692" s="87">
        <f>IF($D1692&gt;0,IFERROR(Параметры!$D$42*$H1692/$H$2408,0),0)</f>
        <v>0</v>
      </c>
      <c r="K1692" s="87">
        <f>IFERROR(ROUND($N1692*Параметры!$D$36,2),0)</f>
        <v>0</v>
      </c>
      <c r="L1692" s="87">
        <f t="shared" si="187"/>
        <v>0</v>
      </c>
      <c r="M1692" s="87">
        <f t="shared" si="188"/>
        <v>0</v>
      </c>
      <c r="N1692" s="107" t="str">
        <f t="shared" si="189"/>
        <v/>
      </c>
    </row>
    <row r="1693" spans="2:14" x14ac:dyDescent="0.25">
      <c r="B1693" s="82">
        <f>SUBTOTAL(103,$D$8:D1693)</f>
        <v>1686</v>
      </c>
      <c r="C1693" s="83" t="s">
        <v>1691</v>
      </c>
      <c r="D1693" s="84">
        <v>0</v>
      </c>
      <c r="E1693" s="85" t="str">
        <f t="shared" si="184"/>
        <v/>
      </c>
      <c r="F1693" s="106" t="str">
        <f t="shared" si="190"/>
        <v/>
      </c>
      <c r="G1693" s="86"/>
      <c r="H1693" s="107">
        <f t="shared" si="185"/>
        <v>0</v>
      </c>
      <c r="I1693" s="107">
        <f t="shared" si="186"/>
        <v>0</v>
      </c>
      <c r="J1693" s="87">
        <f>IF($D1693&gt;0,IFERROR(Параметры!$D$42*$H1693/$H$2408,0),0)</f>
        <v>0</v>
      </c>
      <c r="K1693" s="87">
        <f>IFERROR(ROUND($N1693*Параметры!$D$36,2),0)</f>
        <v>0</v>
      </c>
      <c r="L1693" s="87">
        <f t="shared" si="187"/>
        <v>0</v>
      </c>
      <c r="M1693" s="87">
        <f t="shared" si="188"/>
        <v>0</v>
      </c>
      <c r="N1693" s="107" t="str">
        <f t="shared" si="189"/>
        <v/>
      </c>
    </row>
    <row r="1694" spans="2:14" x14ac:dyDescent="0.25">
      <c r="B1694" s="82">
        <f>SUBTOTAL(103,$D$8:D1694)</f>
        <v>1687</v>
      </c>
      <c r="C1694" s="83" t="s">
        <v>1692</v>
      </c>
      <c r="D1694" s="84">
        <v>0</v>
      </c>
      <c r="E1694" s="85" t="str">
        <f t="shared" si="184"/>
        <v/>
      </c>
      <c r="F1694" s="106" t="str">
        <f t="shared" si="190"/>
        <v/>
      </c>
      <c r="G1694" s="86"/>
      <c r="H1694" s="107">
        <f t="shared" si="185"/>
        <v>0</v>
      </c>
      <c r="I1694" s="107">
        <f t="shared" si="186"/>
        <v>0</v>
      </c>
      <c r="J1694" s="87">
        <f>IF($D1694&gt;0,IFERROR(Параметры!$D$42*$H1694/$H$2408,0),0)</f>
        <v>0</v>
      </c>
      <c r="K1694" s="87">
        <f>IFERROR(ROUND($N1694*Параметры!$D$36,2),0)</f>
        <v>0</v>
      </c>
      <c r="L1694" s="87">
        <f t="shared" si="187"/>
        <v>0</v>
      </c>
      <c r="M1694" s="87">
        <f t="shared" si="188"/>
        <v>0</v>
      </c>
      <c r="N1694" s="107" t="str">
        <f t="shared" si="189"/>
        <v/>
      </c>
    </row>
    <row r="1695" spans="2:14" x14ac:dyDescent="0.25">
      <c r="B1695" s="82">
        <f>SUBTOTAL(103,$D$8:D1695)</f>
        <v>1688</v>
      </c>
      <c r="C1695" s="83" t="s">
        <v>1693</v>
      </c>
      <c r="D1695" s="84">
        <v>0</v>
      </c>
      <c r="E1695" s="85" t="str">
        <f t="shared" si="184"/>
        <v/>
      </c>
      <c r="F1695" s="106" t="str">
        <f t="shared" si="190"/>
        <v/>
      </c>
      <c r="G1695" s="86"/>
      <c r="H1695" s="107">
        <f t="shared" si="185"/>
        <v>0</v>
      </c>
      <c r="I1695" s="107">
        <f t="shared" si="186"/>
        <v>0</v>
      </c>
      <c r="J1695" s="87">
        <f>IF($D1695&gt;0,IFERROR(Параметры!$D$42*$H1695/$H$2408,0),0)</f>
        <v>0</v>
      </c>
      <c r="K1695" s="87">
        <f>IFERROR(ROUND($N1695*Параметры!$D$36,2),0)</f>
        <v>0</v>
      </c>
      <c r="L1695" s="87">
        <f t="shared" si="187"/>
        <v>0</v>
      </c>
      <c r="M1695" s="87">
        <f t="shared" si="188"/>
        <v>0</v>
      </c>
      <c r="N1695" s="107" t="str">
        <f t="shared" si="189"/>
        <v/>
      </c>
    </row>
    <row r="1696" spans="2:14" x14ac:dyDescent="0.25">
      <c r="B1696" s="82">
        <f>SUBTOTAL(103,$D$8:D1696)</f>
        <v>1689</v>
      </c>
      <c r="C1696" s="83" t="s">
        <v>1694</v>
      </c>
      <c r="D1696" s="84">
        <v>0</v>
      </c>
      <c r="E1696" s="85" t="str">
        <f t="shared" si="184"/>
        <v/>
      </c>
      <c r="F1696" s="106" t="str">
        <f t="shared" si="190"/>
        <v/>
      </c>
      <c r="G1696" s="86"/>
      <c r="H1696" s="107">
        <f t="shared" si="185"/>
        <v>0</v>
      </c>
      <c r="I1696" s="107">
        <f t="shared" si="186"/>
        <v>0</v>
      </c>
      <c r="J1696" s="87">
        <f>IF($D1696&gt;0,IFERROR(Параметры!$D$42*$H1696/$H$2408,0),0)</f>
        <v>0</v>
      </c>
      <c r="K1696" s="87">
        <f>IFERROR(ROUND($N1696*Параметры!$D$36,2),0)</f>
        <v>0</v>
      </c>
      <c r="L1696" s="87">
        <f t="shared" si="187"/>
        <v>0</v>
      </c>
      <c r="M1696" s="87">
        <f t="shared" si="188"/>
        <v>0</v>
      </c>
      <c r="N1696" s="107" t="str">
        <f t="shared" si="189"/>
        <v/>
      </c>
    </row>
    <row r="1697" spans="2:14" x14ac:dyDescent="0.25">
      <c r="B1697" s="82">
        <f>SUBTOTAL(103,$D$8:D1697)</f>
        <v>1690</v>
      </c>
      <c r="C1697" s="83" t="s">
        <v>1695</v>
      </c>
      <c r="D1697" s="84">
        <v>0</v>
      </c>
      <c r="E1697" s="85" t="str">
        <f t="shared" si="184"/>
        <v/>
      </c>
      <c r="F1697" s="106" t="str">
        <f t="shared" si="190"/>
        <v/>
      </c>
      <c r="G1697" s="86"/>
      <c r="H1697" s="107">
        <f t="shared" si="185"/>
        <v>0</v>
      </c>
      <c r="I1697" s="107">
        <f t="shared" si="186"/>
        <v>0</v>
      </c>
      <c r="J1697" s="87">
        <f>IF($D1697&gt;0,IFERROR(Параметры!$D$42*$H1697/$H$2408,0),0)</f>
        <v>0</v>
      </c>
      <c r="K1697" s="87">
        <f>IFERROR(ROUND($N1697*Параметры!$D$36,2),0)</f>
        <v>0</v>
      </c>
      <c r="L1697" s="87">
        <f t="shared" si="187"/>
        <v>0</v>
      </c>
      <c r="M1697" s="87">
        <f t="shared" si="188"/>
        <v>0</v>
      </c>
      <c r="N1697" s="107" t="str">
        <f t="shared" si="189"/>
        <v/>
      </c>
    </row>
    <row r="1698" spans="2:14" x14ac:dyDescent="0.25">
      <c r="B1698" s="82">
        <f>SUBTOTAL(103,$D$8:D1698)</f>
        <v>1691</v>
      </c>
      <c r="C1698" s="83" t="s">
        <v>1696</v>
      </c>
      <c r="D1698" s="84">
        <v>0</v>
      </c>
      <c r="E1698" s="85" t="str">
        <f t="shared" si="184"/>
        <v/>
      </c>
      <c r="F1698" s="106" t="str">
        <f t="shared" si="190"/>
        <v/>
      </c>
      <c r="G1698" s="86"/>
      <c r="H1698" s="107">
        <f t="shared" si="185"/>
        <v>0</v>
      </c>
      <c r="I1698" s="107">
        <f t="shared" si="186"/>
        <v>0</v>
      </c>
      <c r="J1698" s="87">
        <f>IF($D1698&gt;0,IFERROR(Параметры!$D$42*$H1698/$H$2408,0),0)</f>
        <v>0</v>
      </c>
      <c r="K1698" s="87">
        <f>IFERROR(ROUND($N1698*Параметры!$D$36,2),0)</f>
        <v>0</v>
      </c>
      <c r="L1698" s="87">
        <f t="shared" si="187"/>
        <v>0</v>
      </c>
      <c r="M1698" s="87">
        <f t="shared" si="188"/>
        <v>0</v>
      </c>
      <c r="N1698" s="107" t="str">
        <f t="shared" si="189"/>
        <v/>
      </c>
    </row>
    <row r="1699" spans="2:14" x14ac:dyDescent="0.25">
      <c r="B1699" s="82">
        <f>SUBTOTAL(103,$D$8:D1699)</f>
        <v>1692</v>
      </c>
      <c r="C1699" s="83" t="s">
        <v>1697</v>
      </c>
      <c r="D1699" s="84">
        <v>0</v>
      </c>
      <c r="E1699" s="85" t="str">
        <f t="shared" si="184"/>
        <v/>
      </c>
      <c r="F1699" s="106" t="str">
        <f t="shared" si="190"/>
        <v/>
      </c>
      <c r="G1699" s="86"/>
      <c r="H1699" s="107">
        <f t="shared" si="185"/>
        <v>0</v>
      </c>
      <c r="I1699" s="107">
        <f t="shared" si="186"/>
        <v>0</v>
      </c>
      <c r="J1699" s="87">
        <f>IF($D1699&gt;0,IFERROR(Параметры!$D$42*$H1699/$H$2408,0),0)</f>
        <v>0</v>
      </c>
      <c r="K1699" s="87">
        <f>IFERROR(ROUND($N1699*Параметры!$D$36,2),0)</f>
        <v>0</v>
      </c>
      <c r="L1699" s="87">
        <f t="shared" si="187"/>
        <v>0</v>
      </c>
      <c r="M1699" s="87">
        <f t="shared" si="188"/>
        <v>0</v>
      </c>
      <c r="N1699" s="107" t="str">
        <f t="shared" si="189"/>
        <v/>
      </c>
    </row>
    <row r="1700" spans="2:14" x14ac:dyDescent="0.25">
      <c r="B1700" s="82">
        <f>SUBTOTAL(103,$D$8:D1700)</f>
        <v>1693</v>
      </c>
      <c r="C1700" s="83" t="s">
        <v>1698</v>
      </c>
      <c r="D1700" s="84">
        <v>0</v>
      </c>
      <c r="E1700" s="85" t="str">
        <f t="shared" si="184"/>
        <v/>
      </c>
      <c r="F1700" s="106" t="str">
        <f t="shared" si="190"/>
        <v/>
      </c>
      <c r="G1700" s="86"/>
      <c r="H1700" s="107">
        <f t="shared" si="185"/>
        <v>0</v>
      </c>
      <c r="I1700" s="107">
        <f t="shared" si="186"/>
        <v>0</v>
      </c>
      <c r="J1700" s="87">
        <f>IF($D1700&gt;0,IFERROR(Параметры!$D$42*$H1700/$H$2408,0),0)</f>
        <v>0</v>
      </c>
      <c r="K1700" s="87">
        <f>IFERROR(ROUND($N1700*Параметры!$D$36,2),0)</f>
        <v>0</v>
      </c>
      <c r="L1700" s="87">
        <f t="shared" si="187"/>
        <v>0</v>
      </c>
      <c r="M1700" s="87">
        <f t="shared" si="188"/>
        <v>0</v>
      </c>
      <c r="N1700" s="107" t="str">
        <f t="shared" si="189"/>
        <v/>
      </c>
    </row>
    <row r="1701" spans="2:14" x14ac:dyDescent="0.25">
      <c r="B1701" s="82">
        <f>SUBTOTAL(103,$D$8:D1701)</f>
        <v>1694</v>
      </c>
      <c r="C1701" s="83" t="s">
        <v>1699</v>
      </c>
      <c r="D1701" s="84">
        <v>0</v>
      </c>
      <c r="E1701" s="85" t="str">
        <f t="shared" si="184"/>
        <v/>
      </c>
      <c r="F1701" s="106" t="str">
        <f t="shared" si="190"/>
        <v/>
      </c>
      <c r="G1701" s="86"/>
      <c r="H1701" s="107">
        <f t="shared" si="185"/>
        <v>0</v>
      </c>
      <c r="I1701" s="107">
        <f t="shared" si="186"/>
        <v>0</v>
      </c>
      <c r="J1701" s="87">
        <f>IF($D1701&gt;0,IFERROR(Параметры!$D$42*$H1701/$H$2408,0),0)</f>
        <v>0</v>
      </c>
      <c r="K1701" s="87">
        <f>IFERROR(ROUND($N1701*Параметры!$D$36,2),0)</f>
        <v>0</v>
      </c>
      <c r="L1701" s="87">
        <f t="shared" si="187"/>
        <v>0</v>
      </c>
      <c r="M1701" s="87">
        <f t="shared" si="188"/>
        <v>0</v>
      </c>
      <c r="N1701" s="107" t="str">
        <f t="shared" si="189"/>
        <v/>
      </c>
    </row>
    <row r="1702" spans="2:14" x14ac:dyDescent="0.25">
      <c r="B1702" s="82">
        <f>SUBTOTAL(103,$D$8:D1702)</f>
        <v>1695</v>
      </c>
      <c r="C1702" s="83" t="s">
        <v>1700</v>
      </c>
      <c r="D1702" s="84">
        <v>0</v>
      </c>
      <c r="E1702" s="85" t="str">
        <f t="shared" si="184"/>
        <v/>
      </c>
      <c r="F1702" s="106" t="str">
        <f t="shared" si="190"/>
        <v/>
      </c>
      <c r="G1702" s="86"/>
      <c r="H1702" s="107">
        <f t="shared" si="185"/>
        <v>0</v>
      </c>
      <c r="I1702" s="107">
        <f t="shared" si="186"/>
        <v>0</v>
      </c>
      <c r="J1702" s="87">
        <f>IF($D1702&gt;0,IFERROR(Параметры!$D$42*$H1702/$H$2408,0),0)</f>
        <v>0</v>
      </c>
      <c r="K1702" s="87">
        <f>IFERROR(ROUND($N1702*Параметры!$D$36,2),0)</f>
        <v>0</v>
      </c>
      <c r="L1702" s="87">
        <f t="shared" si="187"/>
        <v>0</v>
      </c>
      <c r="M1702" s="87">
        <f t="shared" si="188"/>
        <v>0</v>
      </c>
      <c r="N1702" s="107" t="str">
        <f t="shared" si="189"/>
        <v/>
      </c>
    </row>
    <row r="1703" spans="2:14" x14ac:dyDescent="0.25">
      <c r="B1703" s="82">
        <f>SUBTOTAL(103,$D$8:D1703)</f>
        <v>1696</v>
      </c>
      <c r="C1703" s="83" t="s">
        <v>1701</v>
      </c>
      <c r="D1703" s="84">
        <v>0</v>
      </c>
      <c r="E1703" s="85" t="str">
        <f t="shared" si="184"/>
        <v/>
      </c>
      <c r="F1703" s="106" t="str">
        <f t="shared" si="190"/>
        <v/>
      </c>
      <c r="G1703" s="86"/>
      <c r="H1703" s="107">
        <f t="shared" si="185"/>
        <v>0</v>
      </c>
      <c r="I1703" s="107">
        <f t="shared" si="186"/>
        <v>0</v>
      </c>
      <c r="J1703" s="87">
        <f>IF($D1703&gt;0,IFERROR(Параметры!$D$42*$H1703/$H$2408,0),0)</f>
        <v>0</v>
      </c>
      <c r="K1703" s="87">
        <f>IFERROR(ROUND($N1703*Параметры!$D$36,2),0)</f>
        <v>0</v>
      </c>
      <c r="L1703" s="87">
        <f t="shared" si="187"/>
        <v>0</v>
      </c>
      <c r="M1703" s="87">
        <f t="shared" si="188"/>
        <v>0</v>
      </c>
      <c r="N1703" s="107" t="str">
        <f t="shared" si="189"/>
        <v/>
      </c>
    </row>
    <row r="1704" spans="2:14" x14ac:dyDescent="0.25">
      <c r="B1704" s="82">
        <f>SUBTOTAL(103,$D$8:D1704)</f>
        <v>1697</v>
      </c>
      <c r="C1704" s="83" t="s">
        <v>1702</v>
      </c>
      <c r="D1704" s="84">
        <v>0</v>
      </c>
      <c r="E1704" s="85" t="str">
        <f t="shared" si="184"/>
        <v/>
      </c>
      <c r="F1704" s="106" t="str">
        <f t="shared" si="190"/>
        <v/>
      </c>
      <c r="G1704" s="86"/>
      <c r="H1704" s="107">
        <f t="shared" si="185"/>
        <v>0</v>
      </c>
      <c r="I1704" s="107">
        <f t="shared" si="186"/>
        <v>0</v>
      </c>
      <c r="J1704" s="87">
        <f>IF($D1704&gt;0,IFERROR(Параметры!$D$42*$H1704/$H$2408,0),0)</f>
        <v>0</v>
      </c>
      <c r="K1704" s="87">
        <f>IFERROR(ROUND($N1704*Параметры!$D$36,2),0)</f>
        <v>0</v>
      </c>
      <c r="L1704" s="87">
        <f t="shared" si="187"/>
        <v>0</v>
      </c>
      <c r="M1704" s="87">
        <f t="shared" si="188"/>
        <v>0</v>
      </c>
      <c r="N1704" s="107" t="str">
        <f t="shared" si="189"/>
        <v/>
      </c>
    </row>
    <row r="1705" spans="2:14" x14ac:dyDescent="0.25">
      <c r="B1705" s="82">
        <f>SUBTOTAL(103,$D$8:D1705)</f>
        <v>1698</v>
      </c>
      <c r="C1705" s="83" t="s">
        <v>1703</v>
      </c>
      <c r="D1705" s="84">
        <v>0</v>
      </c>
      <c r="E1705" s="85" t="str">
        <f t="shared" si="184"/>
        <v/>
      </c>
      <c r="F1705" s="106" t="str">
        <f t="shared" si="190"/>
        <v/>
      </c>
      <c r="G1705" s="86"/>
      <c r="H1705" s="107">
        <f t="shared" si="185"/>
        <v>0</v>
      </c>
      <c r="I1705" s="107">
        <f t="shared" si="186"/>
        <v>0</v>
      </c>
      <c r="J1705" s="87">
        <f>IF($D1705&gt;0,IFERROR(Параметры!$D$42*$H1705/$H$2408,0),0)</f>
        <v>0</v>
      </c>
      <c r="K1705" s="87">
        <f>IFERROR(ROUND($N1705*Параметры!$D$36,2),0)</f>
        <v>0</v>
      </c>
      <c r="L1705" s="87">
        <f t="shared" si="187"/>
        <v>0</v>
      </c>
      <c r="M1705" s="87">
        <f t="shared" si="188"/>
        <v>0</v>
      </c>
      <c r="N1705" s="107" t="str">
        <f t="shared" si="189"/>
        <v/>
      </c>
    </row>
    <row r="1706" spans="2:14" x14ac:dyDescent="0.25">
      <c r="B1706" s="82">
        <f>SUBTOTAL(103,$D$8:D1706)</f>
        <v>1699</v>
      </c>
      <c r="C1706" s="83" t="s">
        <v>1704</v>
      </c>
      <c r="D1706" s="84">
        <v>0</v>
      </c>
      <c r="E1706" s="85" t="str">
        <f t="shared" si="184"/>
        <v/>
      </c>
      <c r="F1706" s="106" t="str">
        <f t="shared" si="190"/>
        <v/>
      </c>
      <c r="G1706" s="86"/>
      <c r="H1706" s="107">
        <f t="shared" si="185"/>
        <v>0</v>
      </c>
      <c r="I1706" s="107">
        <f t="shared" si="186"/>
        <v>0</v>
      </c>
      <c r="J1706" s="87">
        <f>IF($D1706&gt;0,IFERROR(Параметры!$D$42*$H1706/$H$2408,0),0)</f>
        <v>0</v>
      </c>
      <c r="K1706" s="87">
        <f>IFERROR(ROUND($N1706*Параметры!$D$36,2),0)</f>
        <v>0</v>
      </c>
      <c r="L1706" s="87">
        <f t="shared" si="187"/>
        <v>0</v>
      </c>
      <c r="M1706" s="87">
        <f t="shared" si="188"/>
        <v>0</v>
      </c>
      <c r="N1706" s="107" t="str">
        <f t="shared" si="189"/>
        <v/>
      </c>
    </row>
    <row r="1707" spans="2:14" x14ac:dyDescent="0.25">
      <c r="B1707" s="82">
        <f>SUBTOTAL(103,$D$8:D1707)</f>
        <v>1700</v>
      </c>
      <c r="C1707" s="83" t="s">
        <v>1705</v>
      </c>
      <c r="D1707" s="84">
        <v>0</v>
      </c>
      <c r="E1707" s="85" t="str">
        <f t="shared" si="184"/>
        <v/>
      </c>
      <c r="F1707" s="106" t="str">
        <f t="shared" si="190"/>
        <v/>
      </c>
      <c r="G1707" s="86"/>
      <c r="H1707" s="107">
        <f t="shared" si="185"/>
        <v>0</v>
      </c>
      <c r="I1707" s="107">
        <f t="shared" si="186"/>
        <v>0</v>
      </c>
      <c r="J1707" s="87">
        <f>IF($D1707&gt;0,IFERROR(Параметры!$D$42*$H1707/$H$2408,0),0)</f>
        <v>0</v>
      </c>
      <c r="K1707" s="87">
        <f>IFERROR(ROUND($N1707*Параметры!$D$36,2),0)</f>
        <v>0</v>
      </c>
      <c r="L1707" s="87">
        <f t="shared" si="187"/>
        <v>0</v>
      </c>
      <c r="M1707" s="87">
        <f t="shared" si="188"/>
        <v>0</v>
      </c>
      <c r="N1707" s="107" t="str">
        <f t="shared" si="189"/>
        <v/>
      </c>
    </row>
    <row r="1708" spans="2:14" x14ac:dyDescent="0.25">
      <c r="B1708" s="82">
        <f>SUBTOTAL(103,$D$8:D1708)</f>
        <v>1701</v>
      </c>
      <c r="C1708" s="83" t="s">
        <v>1706</v>
      </c>
      <c r="D1708" s="84">
        <v>0</v>
      </c>
      <c r="E1708" s="85" t="str">
        <f t="shared" si="184"/>
        <v/>
      </c>
      <c r="F1708" s="106" t="str">
        <f t="shared" si="190"/>
        <v/>
      </c>
      <c r="G1708" s="86"/>
      <c r="H1708" s="107">
        <f t="shared" si="185"/>
        <v>0</v>
      </c>
      <c r="I1708" s="107">
        <f t="shared" si="186"/>
        <v>0</v>
      </c>
      <c r="J1708" s="87">
        <f>IF($D1708&gt;0,IFERROR(Параметры!$D$42*$H1708/$H$2408,0),0)</f>
        <v>0</v>
      </c>
      <c r="K1708" s="87">
        <f>IFERROR(ROUND($N1708*Параметры!$D$36,2),0)</f>
        <v>0</v>
      </c>
      <c r="L1708" s="87">
        <f t="shared" si="187"/>
        <v>0</v>
      </c>
      <c r="M1708" s="87">
        <f t="shared" si="188"/>
        <v>0</v>
      </c>
      <c r="N1708" s="107" t="str">
        <f t="shared" si="189"/>
        <v/>
      </c>
    </row>
    <row r="1709" spans="2:14" x14ac:dyDescent="0.25">
      <c r="B1709" s="82">
        <f>SUBTOTAL(103,$D$8:D1709)</f>
        <v>1702</v>
      </c>
      <c r="C1709" s="83" t="s">
        <v>1707</v>
      </c>
      <c r="D1709" s="84">
        <v>0</v>
      </c>
      <c r="E1709" s="85" t="str">
        <f t="shared" si="184"/>
        <v/>
      </c>
      <c r="F1709" s="106" t="str">
        <f t="shared" si="190"/>
        <v/>
      </c>
      <c r="G1709" s="86"/>
      <c r="H1709" s="107">
        <f t="shared" si="185"/>
        <v>0</v>
      </c>
      <c r="I1709" s="107">
        <f t="shared" si="186"/>
        <v>0</v>
      </c>
      <c r="J1709" s="87">
        <f>IF($D1709&gt;0,IFERROR(Параметры!$D$42*$H1709/$H$2408,0),0)</f>
        <v>0</v>
      </c>
      <c r="K1709" s="87">
        <f>IFERROR(ROUND($N1709*Параметры!$D$36,2),0)</f>
        <v>0</v>
      </c>
      <c r="L1709" s="87">
        <f t="shared" si="187"/>
        <v>0</v>
      </c>
      <c r="M1709" s="87">
        <f t="shared" si="188"/>
        <v>0</v>
      </c>
      <c r="N1709" s="107" t="str">
        <f t="shared" si="189"/>
        <v/>
      </c>
    </row>
    <row r="1710" spans="2:14" x14ac:dyDescent="0.25">
      <c r="B1710" s="82">
        <f>SUBTOTAL(103,$D$8:D1710)</f>
        <v>1703</v>
      </c>
      <c r="C1710" s="83" t="s">
        <v>1708</v>
      </c>
      <c r="D1710" s="84">
        <v>0</v>
      </c>
      <c r="E1710" s="85" t="str">
        <f t="shared" si="184"/>
        <v/>
      </c>
      <c r="F1710" s="106" t="str">
        <f t="shared" si="190"/>
        <v/>
      </c>
      <c r="G1710" s="86"/>
      <c r="H1710" s="107">
        <f t="shared" si="185"/>
        <v>0</v>
      </c>
      <c r="I1710" s="107">
        <f t="shared" si="186"/>
        <v>0</v>
      </c>
      <c r="J1710" s="87">
        <f>IF($D1710&gt;0,IFERROR(Параметры!$D$42*$H1710/$H$2408,0),0)</f>
        <v>0</v>
      </c>
      <c r="K1710" s="87">
        <f>IFERROR(ROUND($N1710*Параметры!$D$36,2),0)</f>
        <v>0</v>
      </c>
      <c r="L1710" s="87">
        <f t="shared" si="187"/>
        <v>0</v>
      </c>
      <c r="M1710" s="87">
        <f t="shared" si="188"/>
        <v>0</v>
      </c>
      <c r="N1710" s="107" t="str">
        <f t="shared" si="189"/>
        <v/>
      </c>
    </row>
    <row r="1711" spans="2:14" x14ac:dyDescent="0.25">
      <c r="B1711" s="82">
        <f>SUBTOTAL(103,$D$8:D1711)</f>
        <v>1704</v>
      </c>
      <c r="C1711" s="83" t="s">
        <v>1709</v>
      </c>
      <c r="D1711" s="84">
        <v>0</v>
      </c>
      <c r="E1711" s="85" t="str">
        <f t="shared" si="184"/>
        <v/>
      </c>
      <c r="F1711" s="106" t="str">
        <f t="shared" si="190"/>
        <v/>
      </c>
      <c r="G1711" s="86"/>
      <c r="H1711" s="107">
        <f t="shared" si="185"/>
        <v>0</v>
      </c>
      <c r="I1711" s="107">
        <f t="shared" si="186"/>
        <v>0</v>
      </c>
      <c r="J1711" s="87">
        <f>IF($D1711&gt;0,IFERROR(Параметры!$D$42*$H1711/$H$2408,0),0)</f>
        <v>0</v>
      </c>
      <c r="K1711" s="87">
        <f>IFERROR(ROUND($N1711*Параметры!$D$36,2),0)</f>
        <v>0</v>
      </c>
      <c r="L1711" s="87">
        <f t="shared" si="187"/>
        <v>0</v>
      </c>
      <c r="M1711" s="87">
        <f t="shared" si="188"/>
        <v>0</v>
      </c>
      <c r="N1711" s="107" t="str">
        <f t="shared" si="189"/>
        <v/>
      </c>
    </row>
    <row r="1712" spans="2:14" x14ac:dyDescent="0.25">
      <c r="B1712" s="82">
        <f>SUBTOTAL(103,$D$8:D1712)</f>
        <v>1705</v>
      </c>
      <c r="C1712" s="83" t="s">
        <v>1710</v>
      </c>
      <c r="D1712" s="84">
        <v>0</v>
      </c>
      <c r="E1712" s="85" t="str">
        <f t="shared" si="184"/>
        <v/>
      </c>
      <c r="F1712" s="106" t="str">
        <f t="shared" si="190"/>
        <v/>
      </c>
      <c r="G1712" s="86"/>
      <c r="H1712" s="107">
        <f t="shared" si="185"/>
        <v>0</v>
      </c>
      <c r="I1712" s="107">
        <f t="shared" si="186"/>
        <v>0</v>
      </c>
      <c r="J1712" s="87">
        <f>IF($D1712&gt;0,IFERROR(Параметры!$D$42*$H1712/$H$2408,0),0)</f>
        <v>0</v>
      </c>
      <c r="K1712" s="87">
        <f>IFERROR(ROUND($N1712*Параметры!$D$36,2),0)</f>
        <v>0</v>
      </c>
      <c r="L1712" s="87">
        <f t="shared" si="187"/>
        <v>0</v>
      </c>
      <c r="M1712" s="87">
        <f t="shared" si="188"/>
        <v>0</v>
      </c>
      <c r="N1712" s="107" t="str">
        <f t="shared" si="189"/>
        <v/>
      </c>
    </row>
    <row r="1713" spans="2:14" x14ac:dyDescent="0.25">
      <c r="B1713" s="82">
        <f>SUBTOTAL(103,$D$8:D1713)</f>
        <v>1706</v>
      </c>
      <c r="C1713" s="83" t="s">
        <v>1711</v>
      </c>
      <c r="D1713" s="84">
        <v>0</v>
      </c>
      <c r="E1713" s="85" t="str">
        <f t="shared" si="184"/>
        <v/>
      </c>
      <c r="F1713" s="106" t="str">
        <f t="shared" si="190"/>
        <v/>
      </c>
      <c r="G1713" s="86"/>
      <c r="H1713" s="107">
        <f t="shared" si="185"/>
        <v>0</v>
      </c>
      <c r="I1713" s="107">
        <f t="shared" si="186"/>
        <v>0</v>
      </c>
      <c r="J1713" s="87">
        <f>IF($D1713&gt;0,IFERROR(Параметры!$D$42*$H1713/$H$2408,0),0)</f>
        <v>0</v>
      </c>
      <c r="K1713" s="87">
        <f>IFERROR(ROUND($N1713*Параметры!$D$36,2),0)</f>
        <v>0</v>
      </c>
      <c r="L1713" s="87">
        <f t="shared" si="187"/>
        <v>0</v>
      </c>
      <c r="M1713" s="87">
        <f t="shared" si="188"/>
        <v>0</v>
      </c>
      <c r="N1713" s="107" t="str">
        <f t="shared" si="189"/>
        <v/>
      </c>
    </row>
    <row r="1714" spans="2:14" x14ac:dyDescent="0.25">
      <c r="B1714" s="82">
        <f>SUBTOTAL(103,$D$8:D1714)</f>
        <v>1707</v>
      </c>
      <c r="C1714" s="83" t="s">
        <v>1712</v>
      </c>
      <c r="D1714" s="84">
        <v>0</v>
      </c>
      <c r="E1714" s="85" t="str">
        <f t="shared" si="184"/>
        <v/>
      </c>
      <c r="F1714" s="106" t="str">
        <f t="shared" si="190"/>
        <v/>
      </c>
      <c r="G1714" s="86"/>
      <c r="H1714" s="107">
        <f t="shared" si="185"/>
        <v>0</v>
      </c>
      <c r="I1714" s="107">
        <f t="shared" si="186"/>
        <v>0</v>
      </c>
      <c r="J1714" s="87">
        <f>IF($D1714&gt;0,IFERROR(Параметры!$D$42*$H1714/$H$2408,0),0)</f>
        <v>0</v>
      </c>
      <c r="K1714" s="87">
        <f>IFERROR(ROUND($N1714*Параметры!$D$36,2),0)</f>
        <v>0</v>
      </c>
      <c r="L1714" s="87">
        <f t="shared" si="187"/>
        <v>0</v>
      </c>
      <c r="M1714" s="87">
        <f t="shared" si="188"/>
        <v>0</v>
      </c>
      <c r="N1714" s="107" t="str">
        <f t="shared" si="189"/>
        <v/>
      </c>
    </row>
    <row r="1715" spans="2:14" x14ac:dyDescent="0.25">
      <c r="B1715" s="82">
        <f>SUBTOTAL(103,$D$8:D1715)</f>
        <v>1708</v>
      </c>
      <c r="C1715" s="83" t="s">
        <v>1713</v>
      </c>
      <c r="D1715" s="84">
        <v>0</v>
      </c>
      <c r="E1715" s="85" t="str">
        <f t="shared" si="184"/>
        <v/>
      </c>
      <c r="F1715" s="106" t="str">
        <f t="shared" si="190"/>
        <v/>
      </c>
      <c r="G1715" s="86"/>
      <c r="H1715" s="107">
        <f t="shared" si="185"/>
        <v>0</v>
      </c>
      <c r="I1715" s="107">
        <f t="shared" si="186"/>
        <v>0</v>
      </c>
      <c r="J1715" s="87">
        <f>IF($D1715&gt;0,IFERROR(Параметры!$D$42*$H1715/$H$2408,0),0)</f>
        <v>0</v>
      </c>
      <c r="K1715" s="87">
        <f>IFERROR(ROUND($N1715*Параметры!$D$36,2),0)</f>
        <v>0</v>
      </c>
      <c r="L1715" s="87">
        <f t="shared" si="187"/>
        <v>0</v>
      </c>
      <c r="M1715" s="87">
        <f t="shared" si="188"/>
        <v>0</v>
      </c>
      <c r="N1715" s="107" t="str">
        <f t="shared" si="189"/>
        <v/>
      </c>
    </row>
    <row r="1716" spans="2:14" x14ac:dyDescent="0.25">
      <c r="B1716" s="82">
        <f>SUBTOTAL(103,$D$8:D1716)</f>
        <v>1709</v>
      </c>
      <c r="C1716" s="83" t="s">
        <v>1714</v>
      </c>
      <c r="D1716" s="84">
        <v>0</v>
      </c>
      <c r="E1716" s="85" t="str">
        <f t="shared" si="184"/>
        <v/>
      </c>
      <c r="F1716" s="106" t="str">
        <f t="shared" si="190"/>
        <v/>
      </c>
      <c r="G1716" s="86"/>
      <c r="H1716" s="107">
        <f t="shared" si="185"/>
        <v>0</v>
      </c>
      <c r="I1716" s="107">
        <f t="shared" si="186"/>
        <v>0</v>
      </c>
      <c r="J1716" s="87">
        <f>IF($D1716&gt;0,IFERROR(Параметры!$D$42*$H1716/$H$2408,0),0)</f>
        <v>0</v>
      </c>
      <c r="K1716" s="87">
        <f>IFERROR(ROUND($N1716*Параметры!$D$36,2),0)</f>
        <v>0</v>
      </c>
      <c r="L1716" s="87">
        <f t="shared" si="187"/>
        <v>0</v>
      </c>
      <c r="M1716" s="87">
        <f t="shared" si="188"/>
        <v>0</v>
      </c>
      <c r="N1716" s="107" t="str">
        <f t="shared" si="189"/>
        <v/>
      </c>
    </row>
    <row r="1717" spans="2:14" x14ac:dyDescent="0.25">
      <c r="B1717" s="82">
        <f>SUBTOTAL(103,$D$8:D1717)</f>
        <v>1710</v>
      </c>
      <c r="C1717" s="83" t="s">
        <v>1715</v>
      </c>
      <c r="D1717" s="84">
        <v>0</v>
      </c>
      <c r="E1717" s="85" t="str">
        <f t="shared" si="184"/>
        <v/>
      </c>
      <c r="F1717" s="106" t="str">
        <f t="shared" si="190"/>
        <v/>
      </c>
      <c r="G1717" s="86"/>
      <c r="H1717" s="107">
        <f t="shared" si="185"/>
        <v>0</v>
      </c>
      <c r="I1717" s="107">
        <f t="shared" si="186"/>
        <v>0</v>
      </c>
      <c r="J1717" s="87">
        <f>IF($D1717&gt;0,IFERROR(Параметры!$D$42*$H1717/$H$2408,0),0)</f>
        <v>0</v>
      </c>
      <c r="K1717" s="87">
        <f>IFERROR(ROUND($N1717*Параметры!$D$36,2),0)</f>
        <v>0</v>
      </c>
      <c r="L1717" s="87">
        <f t="shared" si="187"/>
        <v>0</v>
      </c>
      <c r="M1717" s="87">
        <f t="shared" si="188"/>
        <v>0</v>
      </c>
      <c r="N1717" s="107" t="str">
        <f t="shared" si="189"/>
        <v/>
      </c>
    </row>
    <row r="1718" spans="2:14" x14ac:dyDescent="0.25">
      <c r="B1718" s="82">
        <f>SUBTOTAL(103,$D$8:D1718)</f>
        <v>1711</v>
      </c>
      <c r="C1718" s="83" t="s">
        <v>1716</v>
      </c>
      <c r="D1718" s="84">
        <v>0</v>
      </c>
      <c r="E1718" s="85" t="str">
        <f t="shared" si="184"/>
        <v/>
      </c>
      <c r="F1718" s="106" t="str">
        <f t="shared" si="190"/>
        <v/>
      </c>
      <c r="G1718" s="86"/>
      <c r="H1718" s="107">
        <f t="shared" si="185"/>
        <v>0</v>
      </c>
      <c r="I1718" s="107">
        <f t="shared" si="186"/>
        <v>0</v>
      </c>
      <c r="J1718" s="87">
        <f>IF($D1718&gt;0,IFERROR(Параметры!$D$42*$H1718/$H$2408,0),0)</f>
        <v>0</v>
      </c>
      <c r="K1718" s="87">
        <f>IFERROR(ROUND($N1718*Параметры!$D$36,2),0)</f>
        <v>0</v>
      </c>
      <c r="L1718" s="87">
        <f t="shared" si="187"/>
        <v>0</v>
      </c>
      <c r="M1718" s="87">
        <f t="shared" si="188"/>
        <v>0</v>
      </c>
      <c r="N1718" s="107" t="str">
        <f t="shared" si="189"/>
        <v/>
      </c>
    </row>
    <row r="1719" spans="2:14" x14ac:dyDescent="0.25">
      <c r="B1719" s="82">
        <f>SUBTOTAL(103,$D$8:D1719)</f>
        <v>1712</v>
      </c>
      <c r="C1719" s="83" t="s">
        <v>1717</v>
      </c>
      <c r="D1719" s="84">
        <v>0</v>
      </c>
      <c r="E1719" s="85" t="str">
        <f t="shared" si="184"/>
        <v/>
      </c>
      <c r="F1719" s="106" t="str">
        <f t="shared" si="190"/>
        <v/>
      </c>
      <c r="G1719" s="86"/>
      <c r="H1719" s="107">
        <f t="shared" si="185"/>
        <v>0</v>
      </c>
      <c r="I1719" s="107">
        <f t="shared" si="186"/>
        <v>0</v>
      </c>
      <c r="J1719" s="87">
        <f>IF($D1719&gt;0,IFERROR(Параметры!$D$42*$H1719/$H$2408,0),0)</f>
        <v>0</v>
      </c>
      <c r="K1719" s="87">
        <f>IFERROR(ROUND($N1719*Параметры!$D$36,2),0)</f>
        <v>0</v>
      </c>
      <c r="L1719" s="87">
        <f t="shared" si="187"/>
        <v>0</v>
      </c>
      <c r="M1719" s="87">
        <f t="shared" si="188"/>
        <v>0</v>
      </c>
      <c r="N1719" s="107" t="str">
        <f t="shared" si="189"/>
        <v/>
      </c>
    </row>
    <row r="1720" spans="2:14" x14ac:dyDescent="0.25">
      <c r="B1720" s="82">
        <f>SUBTOTAL(103,$D$8:D1720)</f>
        <v>1713</v>
      </c>
      <c r="C1720" s="83" t="s">
        <v>1718</v>
      </c>
      <c r="D1720" s="84">
        <v>0</v>
      </c>
      <c r="E1720" s="85" t="str">
        <f t="shared" si="184"/>
        <v/>
      </c>
      <c r="F1720" s="106" t="str">
        <f t="shared" si="190"/>
        <v/>
      </c>
      <c r="G1720" s="86"/>
      <c r="H1720" s="107">
        <f t="shared" si="185"/>
        <v>0</v>
      </c>
      <c r="I1720" s="107">
        <f t="shared" si="186"/>
        <v>0</v>
      </c>
      <c r="J1720" s="87">
        <f>IF($D1720&gt;0,IFERROR(Параметры!$D$42*$H1720/$H$2408,0),0)</f>
        <v>0</v>
      </c>
      <c r="K1720" s="87">
        <f>IFERROR(ROUND($N1720*Параметры!$D$36,2),0)</f>
        <v>0</v>
      </c>
      <c r="L1720" s="87">
        <f t="shared" si="187"/>
        <v>0</v>
      </c>
      <c r="M1720" s="87">
        <f t="shared" si="188"/>
        <v>0</v>
      </c>
      <c r="N1720" s="107" t="str">
        <f t="shared" si="189"/>
        <v/>
      </c>
    </row>
    <row r="1721" spans="2:14" x14ac:dyDescent="0.25">
      <c r="B1721" s="82">
        <f>SUBTOTAL(103,$D$8:D1721)</f>
        <v>1714</v>
      </c>
      <c r="C1721" s="83" t="s">
        <v>1719</v>
      </c>
      <c r="D1721" s="84">
        <v>0</v>
      </c>
      <c r="E1721" s="85" t="str">
        <f t="shared" si="184"/>
        <v/>
      </c>
      <c r="F1721" s="106" t="str">
        <f t="shared" si="190"/>
        <v/>
      </c>
      <c r="G1721" s="86"/>
      <c r="H1721" s="107">
        <f t="shared" si="185"/>
        <v>0</v>
      </c>
      <c r="I1721" s="107">
        <f t="shared" si="186"/>
        <v>0</v>
      </c>
      <c r="J1721" s="87">
        <f>IF($D1721&gt;0,IFERROR(Параметры!$D$42*$H1721/$H$2408,0),0)</f>
        <v>0</v>
      </c>
      <c r="K1721" s="87">
        <f>IFERROR(ROUND($N1721*Параметры!$D$36,2),0)</f>
        <v>0</v>
      </c>
      <c r="L1721" s="87">
        <f t="shared" si="187"/>
        <v>0</v>
      </c>
      <c r="M1721" s="87">
        <f t="shared" si="188"/>
        <v>0</v>
      </c>
      <c r="N1721" s="107" t="str">
        <f t="shared" si="189"/>
        <v/>
      </c>
    </row>
    <row r="1722" spans="2:14" x14ac:dyDescent="0.25">
      <c r="B1722" s="82">
        <f>SUBTOTAL(103,$D$8:D1722)</f>
        <v>1715</v>
      </c>
      <c r="C1722" s="83" t="s">
        <v>1720</v>
      </c>
      <c r="D1722" s="84">
        <v>0</v>
      </c>
      <c r="E1722" s="85" t="str">
        <f t="shared" si="184"/>
        <v/>
      </c>
      <c r="F1722" s="106" t="str">
        <f t="shared" si="190"/>
        <v/>
      </c>
      <c r="G1722" s="86"/>
      <c r="H1722" s="107">
        <f t="shared" si="185"/>
        <v>0</v>
      </c>
      <c r="I1722" s="107">
        <f t="shared" si="186"/>
        <v>0</v>
      </c>
      <c r="J1722" s="87">
        <f>IF($D1722&gt;0,IFERROR(Параметры!$D$42*$H1722/$H$2408,0),0)</f>
        <v>0</v>
      </c>
      <c r="K1722" s="87">
        <f>IFERROR(ROUND($N1722*Параметры!$D$36,2),0)</f>
        <v>0</v>
      </c>
      <c r="L1722" s="87">
        <f t="shared" si="187"/>
        <v>0</v>
      </c>
      <c r="M1722" s="87">
        <f t="shared" si="188"/>
        <v>0</v>
      </c>
      <c r="N1722" s="107" t="str">
        <f t="shared" si="189"/>
        <v/>
      </c>
    </row>
    <row r="1723" spans="2:14" x14ac:dyDescent="0.25">
      <c r="B1723" s="82">
        <f>SUBTOTAL(103,$D$8:D1723)</f>
        <v>1716</v>
      </c>
      <c r="C1723" s="83" t="s">
        <v>1721</v>
      </c>
      <c r="D1723" s="84">
        <v>0</v>
      </c>
      <c r="E1723" s="85" t="str">
        <f t="shared" si="184"/>
        <v/>
      </c>
      <c r="F1723" s="106" t="str">
        <f t="shared" si="190"/>
        <v/>
      </c>
      <c r="G1723" s="86"/>
      <c r="H1723" s="107">
        <f t="shared" si="185"/>
        <v>0</v>
      </c>
      <c r="I1723" s="107">
        <f t="shared" si="186"/>
        <v>0</v>
      </c>
      <c r="J1723" s="87">
        <f>IF($D1723&gt;0,IFERROR(Параметры!$D$42*$H1723/$H$2408,0),0)</f>
        <v>0</v>
      </c>
      <c r="K1723" s="87">
        <f>IFERROR(ROUND($N1723*Параметры!$D$36,2),0)</f>
        <v>0</v>
      </c>
      <c r="L1723" s="87">
        <f t="shared" si="187"/>
        <v>0</v>
      </c>
      <c r="M1723" s="87">
        <f t="shared" si="188"/>
        <v>0</v>
      </c>
      <c r="N1723" s="107" t="str">
        <f t="shared" si="189"/>
        <v/>
      </c>
    </row>
    <row r="1724" spans="2:14" x14ac:dyDescent="0.25">
      <c r="B1724" s="82">
        <f>SUBTOTAL(103,$D$8:D1724)</f>
        <v>1717</v>
      </c>
      <c r="C1724" s="83" t="s">
        <v>1722</v>
      </c>
      <c r="D1724" s="84">
        <v>0</v>
      </c>
      <c r="E1724" s="85" t="str">
        <f t="shared" si="184"/>
        <v/>
      </c>
      <c r="F1724" s="106" t="str">
        <f t="shared" si="190"/>
        <v/>
      </c>
      <c r="G1724" s="86"/>
      <c r="H1724" s="107">
        <f t="shared" si="185"/>
        <v>0</v>
      </c>
      <c r="I1724" s="107">
        <f t="shared" si="186"/>
        <v>0</v>
      </c>
      <c r="J1724" s="87">
        <f>IF($D1724&gt;0,IFERROR(Параметры!$D$42*$H1724/$H$2408,0),0)</f>
        <v>0</v>
      </c>
      <c r="K1724" s="87">
        <f>IFERROR(ROUND($N1724*Параметры!$D$36,2),0)</f>
        <v>0</v>
      </c>
      <c r="L1724" s="87">
        <f t="shared" si="187"/>
        <v>0</v>
      </c>
      <c r="M1724" s="87">
        <f t="shared" si="188"/>
        <v>0</v>
      </c>
      <c r="N1724" s="107" t="str">
        <f t="shared" si="189"/>
        <v/>
      </c>
    </row>
    <row r="1725" spans="2:14" x14ac:dyDescent="0.25">
      <c r="B1725" s="82">
        <f>SUBTOTAL(103,$D$8:D1725)</f>
        <v>1718</v>
      </c>
      <c r="C1725" s="83" t="s">
        <v>1723</v>
      </c>
      <c r="D1725" s="84">
        <v>0</v>
      </c>
      <c r="E1725" s="85" t="str">
        <f t="shared" si="184"/>
        <v/>
      </c>
      <c r="F1725" s="106" t="str">
        <f t="shared" si="190"/>
        <v/>
      </c>
      <c r="G1725" s="86"/>
      <c r="H1725" s="107">
        <f t="shared" si="185"/>
        <v>0</v>
      </c>
      <c r="I1725" s="107">
        <f t="shared" si="186"/>
        <v>0</v>
      </c>
      <c r="J1725" s="87">
        <f>IF($D1725&gt;0,IFERROR(Параметры!$D$42*$H1725/$H$2408,0),0)</f>
        <v>0</v>
      </c>
      <c r="K1725" s="87">
        <f>IFERROR(ROUND($N1725*Параметры!$D$36,2),0)</f>
        <v>0</v>
      </c>
      <c r="L1725" s="87">
        <f t="shared" si="187"/>
        <v>0</v>
      </c>
      <c r="M1725" s="87">
        <f t="shared" si="188"/>
        <v>0</v>
      </c>
      <c r="N1725" s="107" t="str">
        <f t="shared" si="189"/>
        <v/>
      </c>
    </row>
    <row r="1726" spans="2:14" x14ac:dyDescent="0.25">
      <c r="B1726" s="82">
        <f>SUBTOTAL(103,$D$8:D1726)</f>
        <v>1719</v>
      </c>
      <c r="C1726" s="83" t="s">
        <v>1724</v>
      </c>
      <c r="D1726" s="84">
        <v>0</v>
      </c>
      <c r="E1726" s="85" t="str">
        <f t="shared" si="184"/>
        <v/>
      </c>
      <c r="F1726" s="106" t="str">
        <f t="shared" si="190"/>
        <v/>
      </c>
      <c r="G1726" s="86"/>
      <c r="H1726" s="107">
        <f t="shared" si="185"/>
        <v>0</v>
      </c>
      <c r="I1726" s="107">
        <f t="shared" si="186"/>
        <v>0</v>
      </c>
      <c r="J1726" s="87">
        <f>IF($D1726&gt;0,IFERROR(Параметры!$D$42*$H1726/$H$2408,0),0)</f>
        <v>0</v>
      </c>
      <c r="K1726" s="87">
        <f>IFERROR(ROUND($N1726*Параметры!$D$36,2),0)</f>
        <v>0</v>
      </c>
      <c r="L1726" s="87">
        <f t="shared" si="187"/>
        <v>0</v>
      </c>
      <c r="M1726" s="87">
        <f t="shared" si="188"/>
        <v>0</v>
      </c>
      <c r="N1726" s="107" t="str">
        <f t="shared" si="189"/>
        <v/>
      </c>
    </row>
    <row r="1727" spans="2:14" x14ac:dyDescent="0.25">
      <c r="B1727" s="82">
        <f>SUBTOTAL(103,$D$8:D1727)</f>
        <v>1720</v>
      </c>
      <c r="C1727" s="83" t="s">
        <v>1725</v>
      </c>
      <c r="D1727" s="84">
        <v>0</v>
      </c>
      <c r="E1727" s="85" t="str">
        <f t="shared" si="184"/>
        <v/>
      </c>
      <c r="F1727" s="106" t="str">
        <f t="shared" si="190"/>
        <v/>
      </c>
      <c r="G1727" s="86"/>
      <c r="H1727" s="107">
        <f t="shared" si="185"/>
        <v>0</v>
      </c>
      <c r="I1727" s="107">
        <f t="shared" si="186"/>
        <v>0</v>
      </c>
      <c r="J1727" s="87">
        <f>IF($D1727&gt;0,IFERROR(Параметры!$D$42*$H1727/$H$2408,0),0)</f>
        <v>0</v>
      </c>
      <c r="K1727" s="87">
        <f>IFERROR(ROUND($N1727*Параметры!$D$36,2),0)</f>
        <v>0</v>
      </c>
      <c r="L1727" s="87">
        <f t="shared" si="187"/>
        <v>0</v>
      </c>
      <c r="M1727" s="87">
        <f t="shared" si="188"/>
        <v>0</v>
      </c>
      <c r="N1727" s="107" t="str">
        <f t="shared" si="189"/>
        <v/>
      </c>
    </row>
    <row r="1728" spans="2:14" x14ac:dyDescent="0.25">
      <c r="B1728" s="82">
        <f>SUBTOTAL(103,$D$8:D1728)</f>
        <v>1721</v>
      </c>
      <c r="C1728" s="83" t="s">
        <v>1726</v>
      </c>
      <c r="D1728" s="84">
        <v>0</v>
      </c>
      <c r="E1728" s="85" t="str">
        <f t="shared" si="184"/>
        <v/>
      </c>
      <c r="F1728" s="106" t="str">
        <f t="shared" si="190"/>
        <v/>
      </c>
      <c r="G1728" s="86"/>
      <c r="H1728" s="107">
        <f t="shared" si="185"/>
        <v>0</v>
      </c>
      <c r="I1728" s="107">
        <f t="shared" si="186"/>
        <v>0</v>
      </c>
      <c r="J1728" s="87">
        <f>IF($D1728&gt;0,IFERROR(Параметры!$D$42*$H1728/$H$2408,0),0)</f>
        <v>0</v>
      </c>
      <c r="K1728" s="87">
        <f>IFERROR(ROUND($N1728*Параметры!$D$36,2),0)</f>
        <v>0</v>
      </c>
      <c r="L1728" s="87">
        <f t="shared" si="187"/>
        <v>0</v>
      </c>
      <c r="M1728" s="87">
        <f t="shared" si="188"/>
        <v>0</v>
      </c>
      <c r="N1728" s="107" t="str">
        <f t="shared" si="189"/>
        <v/>
      </c>
    </row>
    <row r="1729" spans="2:14" x14ac:dyDescent="0.25">
      <c r="B1729" s="82">
        <f>SUBTOTAL(103,$D$8:D1729)</f>
        <v>1722</v>
      </c>
      <c r="C1729" s="83" t="s">
        <v>1727</v>
      </c>
      <c r="D1729" s="84">
        <v>0</v>
      </c>
      <c r="E1729" s="85" t="str">
        <f t="shared" si="184"/>
        <v/>
      </c>
      <c r="F1729" s="106" t="str">
        <f t="shared" si="190"/>
        <v/>
      </c>
      <c r="G1729" s="86"/>
      <c r="H1729" s="107">
        <f t="shared" si="185"/>
        <v>0</v>
      </c>
      <c r="I1729" s="107">
        <f t="shared" si="186"/>
        <v>0</v>
      </c>
      <c r="J1729" s="87">
        <f>IF($D1729&gt;0,IFERROR(Параметры!$D$42*$H1729/$H$2408,0),0)</f>
        <v>0</v>
      </c>
      <c r="K1729" s="87">
        <f>IFERROR(ROUND($N1729*Параметры!$D$36,2),0)</f>
        <v>0</v>
      </c>
      <c r="L1729" s="87">
        <f t="shared" si="187"/>
        <v>0</v>
      </c>
      <c r="M1729" s="87">
        <f t="shared" si="188"/>
        <v>0</v>
      </c>
      <c r="N1729" s="107" t="str">
        <f t="shared" si="189"/>
        <v/>
      </c>
    </row>
    <row r="1730" spans="2:14" x14ac:dyDescent="0.25">
      <c r="B1730" s="82">
        <f>SUBTOTAL(103,$D$8:D1730)</f>
        <v>1723</v>
      </c>
      <c r="C1730" s="83" t="s">
        <v>1728</v>
      </c>
      <c r="D1730" s="84">
        <v>0</v>
      </c>
      <c r="E1730" s="85" t="str">
        <f t="shared" si="184"/>
        <v/>
      </c>
      <c r="F1730" s="106" t="str">
        <f t="shared" si="190"/>
        <v/>
      </c>
      <c r="G1730" s="86"/>
      <c r="H1730" s="107">
        <f t="shared" si="185"/>
        <v>0</v>
      </c>
      <c r="I1730" s="107">
        <f t="shared" si="186"/>
        <v>0</v>
      </c>
      <c r="J1730" s="87">
        <f>IF($D1730&gt;0,IFERROR(Параметры!$D$42*$H1730/$H$2408,0),0)</f>
        <v>0</v>
      </c>
      <c r="K1730" s="87">
        <f>IFERROR(ROUND($N1730*Параметры!$D$36,2),0)</f>
        <v>0</v>
      </c>
      <c r="L1730" s="87">
        <f t="shared" si="187"/>
        <v>0</v>
      </c>
      <c r="M1730" s="87">
        <f t="shared" si="188"/>
        <v>0</v>
      </c>
      <c r="N1730" s="107" t="str">
        <f t="shared" si="189"/>
        <v/>
      </c>
    </row>
    <row r="1731" spans="2:14" x14ac:dyDescent="0.25">
      <c r="B1731" s="82">
        <f>SUBTOTAL(103,$D$8:D1731)</f>
        <v>1724</v>
      </c>
      <c r="C1731" s="83" t="s">
        <v>1729</v>
      </c>
      <c r="D1731" s="84">
        <v>0</v>
      </c>
      <c r="E1731" s="85" t="str">
        <f t="shared" si="184"/>
        <v/>
      </c>
      <c r="F1731" s="106" t="str">
        <f t="shared" si="190"/>
        <v/>
      </c>
      <c r="G1731" s="86"/>
      <c r="H1731" s="107">
        <f t="shared" si="185"/>
        <v>0</v>
      </c>
      <c r="I1731" s="107">
        <f t="shared" si="186"/>
        <v>0</v>
      </c>
      <c r="J1731" s="87">
        <f>IF($D1731&gt;0,IFERROR(Параметры!$D$42*$H1731/$H$2408,0),0)</f>
        <v>0</v>
      </c>
      <c r="K1731" s="87">
        <f>IFERROR(ROUND($N1731*Параметры!$D$36,2),0)</f>
        <v>0</v>
      </c>
      <c r="L1731" s="87">
        <f t="shared" si="187"/>
        <v>0</v>
      </c>
      <c r="M1731" s="87">
        <f t="shared" si="188"/>
        <v>0</v>
      </c>
      <c r="N1731" s="107" t="str">
        <f t="shared" si="189"/>
        <v/>
      </c>
    </row>
    <row r="1732" spans="2:14" x14ac:dyDescent="0.25">
      <c r="B1732" s="82">
        <f>SUBTOTAL(103,$D$8:D1732)</f>
        <v>1725</v>
      </c>
      <c r="C1732" s="83" t="s">
        <v>1730</v>
      </c>
      <c r="D1732" s="84">
        <v>0</v>
      </c>
      <c r="E1732" s="85" t="str">
        <f t="shared" si="184"/>
        <v/>
      </c>
      <c r="F1732" s="106" t="str">
        <f t="shared" si="190"/>
        <v/>
      </c>
      <c r="G1732" s="86"/>
      <c r="H1732" s="107">
        <f t="shared" si="185"/>
        <v>0</v>
      </c>
      <c r="I1732" s="107">
        <f t="shared" si="186"/>
        <v>0</v>
      </c>
      <c r="J1732" s="87">
        <f>IF($D1732&gt;0,IFERROR(Параметры!$D$42*$H1732/$H$2408,0),0)</f>
        <v>0</v>
      </c>
      <c r="K1732" s="87">
        <f>IFERROR(ROUND($N1732*Параметры!$D$36,2),0)</f>
        <v>0</v>
      </c>
      <c r="L1732" s="87">
        <f t="shared" si="187"/>
        <v>0</v>
      </c>
      <c r="M1732" s="87">
        <f t="shared" si="188"/>
        <v>0</v>
      </c>
      <c r="N1732" s="107" t="str">
        <f t="shared" si="189"/>
        <v/>
      </c>
    </row>
    <row r="1733" spans="2:14" x14ac:dyDescent="0.25">
      <c r="B1733" s="82">
        <f>SUBTOTAL(103,$D$8:D1733)</f>
        <v>1726</v>
      </c>
      <c r="C1733" s="83" t="s">
        <v>1731</v>
      </c>
      <c r="D1733" s="84">
        <v>0</v>
      </c>
      <c r="E1733" s="85" t="str">
        <f t="shared" si="184"/>
        <v/>
      </c>
      <c r="F1733" s="106" t="str">
        <f t="shared" si="190"/>
        <v/>
      </c>
      <c r="G1733" s="86"/>
      <c r="H1733" s="107">
        <f t="shared" si="185"/>
        <v>0</v>
      </c>
      <c r="I1733" s="107">
        <f t="shared" si="186"/>
        <v>0</v>
      </c>
      <c r="J1733" s="87">
        <f>IF($D1733&gt;0,IFERROR(Параметры!$D$42*$H1733/$H$2408,0),0)</f>
        <v>0</v>
      </c>
      <c r="K1733" s="87">
        <f>IFERROR(ROUND($N1733*Параметры!$D$36,2),0)</f>
        <v>0</v>
      </c>
      <c r="L1733" s="87">
        <f t="shared" si="187"/>
        <v>0</v>
      </c>
      <c r="M1733" s="87">
        <f t="shared" si="188"/>
        <v>0</v>
      </c>
      <c r="N1733" s="107" t="str">
        <f t="shared" si="189"/>
        <v/>
      </c>
    </row>
    <row r="1734" spans="2:14" x14ac:dyDescent="0.25">
      <c r="B1734" s="82">
        <f>SUBTOTAL(103,$D$8:D1734)</f>
        <v>1727</v>
      </c>
      <c r="C1734" s="83" t="s">
        <v>1732</v>
      </c>
      <c r="D1734" s="84">
        <v>0</v>
      </c>
      <c r="E1734" s="85" t="str">
        <f t="shared" si="184"/>
        <v/>
      </c>
      <c r="F1734" s="106" t="str">
        <f t="shared" si="190"/>
        <v/>
      </c>
      <c r="G1734" s="86"/>
      <c r="H1734" s="107">
        <f t="shared" si="185"/>
        <v>0</v>
      </c>
      <c r="I1734" s="107">
        <f t="shared" si="186"/>
        <v>0</v>
      </c>
      <c r="J1734" s="87">
        <f>IF($D1734&gt;0,IFERROR(Параметры!$D$42*$H1734/$H$2408,0),0)</f>
        <v>0</v>
      </c>
      <c r="K1734" s="87">
        <f>IFERROR(ROUND($N1734*Параметры!$D$36,2),0)</f>
        <v>0</v>
      </c>
      <c r="L1734" s="87">
        <f t="shared" si="187"/>
        <v>0</v>
      </c>
      <c r="M1734" s="87">
        <f t="shared" si="188"/>
        <v>0</v>
      </c>
      <c r="N1734" s="107" t="str">
        <f t="shared" si="189"/>
        <v/>
      </c>
    </row>
    <row r="1735" spans="2:14" x14ac:dyDescent="0.25">
      <c r="B1735" s="82">
        <f>SUBTOTAL(103,$D$8:D1735)</f>
        <v>1728</v>
      </c>
      <c r="C1735" s="83" t="s">
        <v>1733</v>
      </c>
      <c r="D1735" s="84">
        <v>0</v>
      </c>
      <c r="E1735" s="85" t="str">
        <f t="shared" si="184"/>
        <v/>
      </c>
      <c r="F1735" s="106" t="str">
        <f t="shared" si="190"/>
        <v/>
      </c>
      <c r="G1735" s="86"/>
      <c r="H1735" s="107">
        <f t="shared" si="185"/>
        <v>0</v>
      </c>
      <c r="I1735" s="107">
        <f t="shared" si="186"/>
        <v>0</v>
      </c>
      <c r="J1735" s="87">
        <f>IF($D1735&gt;0,IFERROR(Параметры!$D$42*$H1735/$H$2408,0),0)</f>
        <v>0</v>
      </c>
      <c r="K1735" s="87">
        <f>IFERROR(ROUND($N1735*Параметры!$D$36,2),0)</f>
        <v>0</v>
      </c>
      <c r="L1735" s="87">
        <f t="shared" si="187"/>
        <v>0</v>
      </c>
      <c r="M1735" s="87">
        <f t="shared" si="188"/>
        <v>0</v>
      </c>
      <c r="N1735" s="107" t="str">
        <f t="shared" si="189"/>
        <v/>
      </c>
    </row>
    <row r="1736" spans="2:14" x14ac:dyDescent="0.25">
      <c r="B1736" s="82">
        <f>SUBTOTAL(103,$D$8:D1736)</f>
        <v>1729</v>
      </c>
      <c r="C1736" s="83" t="s">
        <v>1734</v>
      </c>
      <c r="D1736" s="84">
        <v>0</v>
      </c>
      <c r="E1736" s="85" t="str">
        <f t="shared" ref="E1736:E1799" si="191">IF($D1736&lt;1,"",$K1736+$L1736)</f>
        <v/>
      </c>
      <c r="F1736" s="106" t="str">
        <f t="shared" si="190"/>
        <v/>
      </c>
      <c r="G1736" s="86"/>
      <c r="H1736" s="107">
        <f t="shared" ref="H1736:H1799" si="192">IF($D1736&gt;0,$D1736*КИС,0)</f>
        <v>0</v>
      </c>
      <c r="I1736" s="107">
        <f t="shared" ref="I1736:I1799" si="193">IF($D1736&gt;0,$D1736-$H1736,0)</f>
        <v>0</v>
      </c>
      <c r="J1736" s="87">
        <f>IF($D1736&gt;0,IFERROR(Параметры!$D$42*$H1736/$H$2408,0),0)</f>
        <v>0</v>
      </c>
      <c r="K1736" s="87">
        <f>IFERROR(ROUND($N1736*Параметры!$D$36,2),0)</f>
        <v>0</v>
      </c>
      <c r="L1736" s="87">
        <f t="shared" ref="L1736:L1799" si="194">IF($K1736&gt;0,$K1736*0.055,0)</f>
        <v>0</v>
      </c>
      <c r="M1736" s="87">
        <f t="shared" ref="M1736:M1799" si="195">IFERROR($L1736/Плотность_ДТ,0)</f>
        <v>0</v>
      </c>
      <c r="N1736" s="107" t="str">
        <f t="shared" ref="N1736:N1799" si="196">IF($D1736&gt;0,MAX(0,$D1736-IF($F1736="",0,$F1736)),"")</f>
        <v/>
      </c>
    </row>
    <row r="1737" spans="2:14" x14ac:dyDescent="0.25">
      <c r="B1737" s="82">
        <f>SUBTOTAL(103,$D$8:D1737)</f>
        <v>1730</v>
      </c>
      <c r="C1737" s="83" t="s">
        <v>1735</v>
      </c>
      <c r="D1737" s="84">
        <v>0</v>
      </c>
      <c r="E1737" s="85" t="str">
        <f t="shared" si="191"/>
        <v/>
      </c>
      <c r="F1737" s="106" t="str">
        <f t="shared" si="190"/>
        <v/>
      </c>
      <c r="G1737" s="86"/>
      <c r="H1737" s="107">
        <f t="shared" si="192"/>
        <v>0</v>
      </c>
      <c r="I1737" s="107">
        <f t="shared" si="193"/>
        <v>0</v>
      </c>
      <c r="J1737" s="87">
        <f>IF($D1737&gt;0,IFERROR(Параметры!$D$42*$H1737/$H$2408,0),0)</f>
        <v>0</v>
      </c>
      <c r="K1737" s="87">
        <f>IFERROR(ROUND($N1737*Параметры!$D$36,2),0)</f>
        <v>0</v>
      </c>
      <c r="L1737" s="87">
        <f t="shared" si="194"/>
        <v>0</v>
      </c>
      <c r="M1737" s="87">
        <f t="shared" si="195"/>
        <v>0</v>
      </c>
      <c r="N1737" s="107" t="str">
        <f t="shared" si="196"/>
        <v/>
      </c>
    </row>
    <row r="1738" spans="2:14" x14ac:dyDescent="0.25">
      <c r="B1738" s="82">
        <f>SUBTOTAL(103,$D$8:D1738)</f>
        <v>1731</v>
      </c>
      <c r="C1738" s="83" t="s">
        <v>1736</v>
      </c>
      <c r="D1738" s="84">
        <v>0</v>
      </c>
      <c r="E1738" s="85" t="str">
        <f t="shared" si="191"/>
        <v/>
      </c>
      <c r="F1738" s="106" t="str">
        <f t="shared" si="190"/>
        <v/>
      </c>
      <c r="G1738" s="86"/>
      <c r="H1738" s="107">
        <f t="shared" si="192"/>
        <v>0</v>
      </c>
      <c r="I1738" s="107">
        <f t="shared" si="193"/>
        <v>0</v>
      </c>
      <c r="J1738" s="87">
        <f>IF($D1738&gt;0,IFERROR(Параметры!$D$42*$H1738/$H$2408,0),0)</f>
        <v>0</v>
      </c>
      <c r="K1738" s="87">
        <f>IFERROR(ROUND($N1738*Параметры!$D$36,2),0)</f>
        <v>0</v>
      </c>
      <c r="L1738" s="87">
        <f t="shared" si="194"/>
        <v>0</v>
      </c>
      <c r="M1738" s="87">
        <f t="shared" si="195"/>
        <v>0</v>
      </c>
      <c r="N1738" s="107" t="str">
        <f t="shared" si="196"/>
        <v/>
      </c>
    </row>
    <row r="1739" spans="2:14" x14ac:dyDescent="0.25">
      <c r="B1739" s="82">
        <f>SUBTOTAL(103,$D$8:D1739)</f>
        <v>1732</v>
      </c>
      <c r="C1739" s="83" t="s">
        <v>1737</v>
      </c>
      <c r="D1739" s="84">
        <v>0</v>
      </c>
      <c r="E1739" s="85" t="str">
        <f t="shared" si="191"/>
        <v/>
      </c>
      <c r="F1739" s="106" t="str">
        <f t="shared" ref="F1739:F1802" si="197">IF(D1739&gt;0,2,"")</f>
        <v/>
      </c>
      <c r="G1739" s="86"/>
      <c r="H1739" s="107">
        <f t="shared" si="192"/>
        <v>0</v>
      </c>
      <c r="I1739" s="107">
        <f t="shared" si="193"/>
        <v>0</v>
      </c>
      <c r="J1739" s="87">
        <f>IF($D1739&gt;0,IFERROR(Параметры!$D$42*$H1739/$H$2408,0),0)</f>
        <v>0</v>
      </c>
      <c r="K1739" s="87">
        <f>IFERROR(ROUND($N1739*Параметры!$D$36,2),0)</f>
        <v>0</v>
      </c>
      <c r="L1739" s="87">
        <f t="shared" si="194"/>
        <v>0</v>
      </c>
      <c r="M1739" s="87">
        <f t="shared" si="195"/>
        <v>0</v>
      </c>
      <c r="N1739" s="107" t="str">
        <f t="shared" si="196"/>
        <v/>
      </c>
    </row>
    <row r="1740" spans="2:14" x14ac:dyDescent="0.25">
      <c r="B1740" s="82">
        <f>SUBTOTAL(103,$D$8:D1740)</f>
        <v>1733</v>
      </c>
      <c r="C1740" s="83" t="s">
        <v>1738</v>
      </c>
      <c r="D1740" s="84">
        <v>0</v>
      </c>
      <c r="E1740" s="85" t="str">
        <f t="shared" si="191"/>
        <v/>
      </c>
      <c r="F1740" s="106" t="str">
        <f t="shared" si="197"/>
        <v/>
      </c>
      <c r="G1740" s="86"/>
      <c r="H1740" s="107">
        <f t="shared" si="192"/>
        <v>0</v>
      </c>
      <c r="I1740" s="107">
        <f t="shared" si="193"/>
        <v>0</v>
      </c>
      <c r="J1740" s="87">
        <f>IF($D1740&gt;0,IFERROR(Параметры!$D$42*$H1740/$H$2408,0),0)</f>
        <v>0</v>
      </c>
      <c r="K1740" s="87">
        <f>IFERROR(ROUND($N1740*Параметры!$D$36,2),0)</f>
        <v>0</v>
      </c>
      <c r="L1740" s="87">
        <f t="shared" si="194"/>
        <v>0</v>
      </c>
      <c r="M1740" s="87">
        <f t="shared" si="195"/>
        <v>0</v>
      </c>
      <c r="N1740" s="107" t="str">
        <f t="shared" si="196"/>
        <v/>
      </c>
    </row>
    <row r="1741" spans="2:14" x14ac:dyDescent="0.25">
      <c r="B1741" s="82">
        <f>SUBTOTAL(103,$D$8:D1741)</f>
        <v>1734</v>
      </c>
      <c r="C1741" s="83" t="s">
        <v>1739</v>
      </c>
      <c r="D1741" s="84">
        <v>0</v>
      </c>
      <c r="E1741" s="85" t="str">
        <f t="shared" si="191"/>
        <v/>
      </c>
      <c r="F1741" s="106" t="str">
        <f t="shared" si="197"/>
        <v/>
      </c>
      <c r="G1741" s="86"/>
      <c r="H1741" s="107">
        <f t="shared" si="192"/>
        <v>0</v>
      </c>
      <c r="I1741" s="107">
        <f t="shared" si="193"/>
        <v>0</v>
      </c>
      <c r="J1741" s="87">
        <f>IF($D1741&gt;0,IFERROR(Параметры!$D$42*$H1741/$H$2408,0),0)</f>
        <v>0</v>
      </c>
      <c r="K1741" s="87">
        <f>IFERROR(ROUND($N1741*Параметры!$D$36,2),0)</f>
        <v>0</v>
      </c>
      <c r="L1741" s="87">
        <f t="shared" si="194"/>
        <v>0</v>
      </c>
      <c r="M1741" s="87">
        <f t="shared" si="195"/>
        <v>0</v>
      </c>
      <c r="N1741" s="107" t="str">
        <f t="shared" si="196"/>
        <v/>
      </c>
    </row>
    <row r="1742" spans="2:14" x14ac:dyDescent="0.25">
      <c r="B1742" s="82">
        <f>SUBTOTAL(103,$D$8:D1742)</f>
        <v>1735</v>
      </c>
      <c r="C1742" s="83" t="s">
        <v>1740</v>
      </c>
      <c r="D1742" s="84">
        <v>0</v>
      </c>
      <c r="E1742" s="85" t="str">
        <f t="shared" si="191"/>
        <v/>
      </c>
      <c r="F1742" s="106" t="str">
        <f t="shared" si="197"/>
        <v/>
      </c>
      <c r="G1742" s="86"/>
      <c r="H1742" s="107">
        <f t="shared" si="192"/>
        <v>0</v>
      </c>
      <c r="I1742" s="107">
        <f t="shared" si="193"/>
        <v>0</v>
      </c>
      <c r="J1742" s="87">
        <f>IF($D1742&gt;0,IFERROR(Параметры!$D$42*$H1742/$H$2408,0),0)</f>
        <v>0</v>
      </c>
      <c r="K1742" s="87">
        <f>IFERROR(ROUND($N1742*Параметры!$D$36,2),0)</f>
        <v>0</v>
      </c>
      <c r="L1742" s="87">
        <f t="shared" si="194"/>
        <v>0</v>
      </c>
      <c r="M1742" s="87">
        <f t="shared" si="195"/>
        <v>0</v>
      </c>
      <c r="N1742" s="107" t="str">
        <f t="shared" si="196"/>
        <v/>
      </c>
    </row>
    <row r="1743" spans="2:14" x14ac:dyDescent="0.25">
      <c r="B1743" s="82">
        <f>SUBTOTAL(103,$D$8:D1743)</f>
        <v>1736</v>
      </c>
      <c r="C1743" s="83" t="s">
        <v>1741</v>
      </c>
      <c r="D1743" s="84">
        <v>0</v>
      </c>
      <c r="E1743" s="85" t="str">
        <f t="shared" si="191"/>
        <v/>
      </c>
      <c r="F1743" s="106" t="str">
        <f t="shared" si="197"/>
        <v/>
      </c>
      <c r="G1743" s="86"/>
      <c r="H1743" s="107">
        <f t="shared" si="192"/>
        <v>0</v>
      </c>
      <c r="I1743" s="107">
        <f t="shared" si="193"/>
        <v>0</v>
      </c>
      <c r="J1743" s="87">
        <f>IF($D1743&gt;0,IFERROR(Параметры!$D$42*$H1743/$H$2408,0),0)</f>
        <v>0</v>
      </c>
      <c r="K1743" s="87">
        <f>IFERROR(ROUND($N1743*Параметры!$D$36,2),0)</f>
        <v>0</v>
      </c>
      <c r="L1743" s="87">
        <f t="shared" si="194"/>
        <v>0</v>
      </c>
      <c r="M1743" s="87">
        <f t="shared" si="195"/>
        <v>0</v>
      </c>
      <c r="N1743" s="107" t="str">
        <f t="shared" si="196"/>
        <v/>
      </c>
    </row>
    <row r="1744" spans="2:14" x14ac:dyDescent="0.25">
      <c r="B1744" s="82">
        <f>SUBTOTAL(103,$D$8:D1744)</f>
        <v>1737</v>
      </c>
      <c r="C1744" s="83" t="s">
        <v>1742</v>
      </c>
      <c r="D1744" s="84">
        <v>0</v>
      </c>
      <c r="E1744" s="85" t="str">
        <f t="shared" si="191"/>
        <v/>
      </c>
      <c r="F1744" s="106" t="str">
        <f t="shared" si="197"/>
        <v/>
      </c>
      <c r="G1744" s="86"/>
      <c r="H1744" s="107">
        <f t="shared" si="192"/>
        <v>0</v>
      </c>
      <c r="I1744" s="107">
        <f t="shared" si="193"/>
        <v>0</v>
      </c>
      <c r="J1744" s="87">
        <f>IF($D1744&gt;0,IFERROR(Параметры!$D$42*$H1744/$H$2408,0),0)</f>
        <v>0</v>
      </c>
      <c r="K1744" s="87">
        <f>IFERROR(ROUND($N1744*Параметры!$D$36,2),0)</f>
        <v>0</v>
      </c>
      <c r="L1744" s="87">
        <f t="shared" si="194"/>
        <v>0</v>
      </c>
      <c r="M1744" s="87">
        <f t="shared" si="195"/>
        <v>0</v>
      </c>
      <c r="N1744" s="107" t="str">
        <f t="shared" si="196"/>
        <v/>
      </c>
    </row>
    <row r="1745" spans="2:14" x14ac:dyDescent="0.25">
      <c r="B1745" s="82">
        <f>SUBTOTAL(103,$D$8:D1745)</f>
        <v>1738</v>
      </c>
      <c r="C1745" s="83" t="s">
        <v>1743</v>
      </c>
      <c r="D1745" s="84">
        <v>0</v>
      </c>
      <c r="E1745" s="85" t="str">
        <f t="shared" si="191"/>
        <v/>
      </c>
      <c r="F1745" s="106" t="str">
        <f t="shared" si="197"/>
        <v/>
      </c>
      <c r="G1745" s="86"/>
      <c r="H1745" s="107">
        <f t="shared" si="192"/>
        <v>0</v>
      </c>
      <c r="I1745" s="107">
        <f t="shared" si="193"/>
        <v>0</v>
      </c>
      <c r="J1745" s="87">
        <f>IF($D1745&gt;0,IFERROR(Параметры!$D$42*$H1745/$H$2408,0),0)</f>
        <v>0</v>
      </c>
      <c r="K1745" s="87">
        <f>IFERROR(ROUND($N1745*Параметры!$D$36,2),0)</f>
        <v>0</v>
      </c>
      <c r="L1745" s="87">
        <f t="shared" si="194"/>
        <v>0</v>
      </c>
      <c r="M1745" s="87">
        <f t="shared" si="195"/>
        <v>0</v>
      </c>
      <c r="N1745" s="107" t="str">
        <f t="shared" si="196"/>
        <v/>
      </c>
    </row>
    <row r="1746" spans="2:14" x14ac:dyDescent="0.25">
      <c r="B1746" s="82">
        <f>SUBTOTAL(103,$D$8:D1746)</f>
        <v>1739</v>
      </c>
      <c r="C1746" s="83" t="s">
        <v>1744</v>
      </c>
      <c r="D1746" s="84">
        <v>0</v>
      </c>
      <c r="E1746" s="85" t="str">
        <f t="shared" si="191"/>
        <v/>
      </c>
      <c r="F1746" s="106" t="str">
        <f t="shared" si="197"/>
        <v/>
      </c>
      <c r="G1746" s="86"/>
      <c r="H1746" s="107">
        <f t="shared" si="192"/>
        <v>0</v>
      </c>
      <c r="I1746" s="107">
        <f t="shared" si="193"/>
        <v>0</v>
      </c>
      <c r="J1746" s="87">
        <f>IF($D1746&gt;0,IFERROR(Параметры!$D$42*$H1746/$H$2408,0),0)</f>
        <v>0</v>
      </c>
      <c r="K1746" s="87">
        <f>IFERROR(ROUND($N1746*Параметры!$D$36,2),0)</f>
        <v>0</v>
      </c>
      <c r="L1746" s="87">
        <f t="shared" si="194"/>
        <v>0</v>
      </c>
      <c r="M1746" s="87">
        <f t="shared" si="195"/>
        <v>0</v>
      </c>
      <c r="N1746" s="107" t="str">
        <f t="shared" si="196"/>
        <v/>
      </c>
    </row>
    <row r="1747" spans="2:14" x14ac:dyDescent="0.25">
      <c r="B1747" s="82">
        <f>SUBTOTAL(103,$D$8:D1747)</f>
        <v>1740</v>
      </c>
      <c r="C1747" s="83" t="s">
        <v>1745</v>
      </c>
      <c r="D1747" s="84">
        <v>0</v>
      </c>
      <c r="E1747" s="85" t="str">
        <f t="shared" si="191"/>
        <v/>
      </c>
      <c r="F1747" s="106" t="str">
        <f t="shared" si="197"/>
        <v/>
      </c>
      <c r="G1747" s="86"/>
      <c r="H1747" s="107">
        <f t="shared" si="192"/>
        <v>0</v>
      </c>
      <c r="I1747" s="107">
        <f t="shared" si="193"/>
        <v>0</v>
      </c>
      <c r="J1747" s="87">
        <f>IF($D1747&gt;0,IFERROR(Параметры!$D$42*$H1747/$H$2408,0),0)</f>
        <v>0</v>
      </c>
      <c r="K1747" s="87">
        <f>IFERROR(ROUND($N1747*Параметры!$D$36,2),0)</f>
        <v>0</v>
      </c>
      <c r="L1747" s="87">
        <f t="shared" si="194"/>
        <v>0</v>
      </c>
      <c r="M1747" s="87">
        <f t="shared" si="195"/>
        <v>0</v>
      </c>
      <c r="N1747" s="107" t="str">
        <f t="shared" si="196"/>
        <v/>
      </c>
    </row>
    <row r="1748" spans="2:14" x14ac:dyDescent="0.25">
      <c r="B1748" s="82">
        <f>SUBTOTAL(103,$D$8:D1748)</f>
        <v>1741</v>
      </c>
      <c r="C1748" s="83" t="s">
        <v>1746</v>
      </c>
      <c r="D1748" s="84">
        <f t="array" ref="D1748:D1807">TRANSPOSE('Зарядная карта'!$C$34:$BJ$34)</f>
        <v>0</v>
      </c>
      <c r="E1748" s="85" t="str">
        <f t="shared" si="191"/>
        <v/>
      </c>
      <c r="F1748" s="106" t="str">
        <f t="shared" si="197"/>
        <v/>
      </c>
      <c r="G1748" s="86"/>
      <c r="H1748" s="107">
        <f t="shared" si="192"/>
        <v>0</v>
      </c>
      <c r="I1748" s="107">
        <f t="shared" si="193"/>
        <v>0</v>
      </c>
      <c r="J1748" s="87">
        <f>IF($D1748&gt;0,IFERROR(Параметры!$D$42*$H1748/$H$2408,0),0)</f>
        <v>0</v>
      </c>
      <c r="K1748" s="87">
        <f>IFERROR(ROUND($N1748*Параметры!$D$36,2),0)</f>
        <v>0</v>
      </c>
      <c r="L1748" s="87">
        <f t="shared" si="194"/>
        <v>0</v>
      </c>
      <c r="M1748" s="87">
        <f t="shared" si="195"/>
        <v>0</v>
      </c>
      <c r="N1748" s="107" t="str">
        <f t="shared" si="196"/>
        <v/>
      </c>
    </row>
    <row r="1749" spans="2:14" x14ac:dyDescent="0.25">
      <c r="B1749" s="82">
        <f>SUBTOTAL(103,$D$8:D1749)</f>
        <v>1742</v>
      </c>
      <c r="C1749" s="83" t="s">
        <v>1747</v>
      </c>
      <c r="D1749" s="84">
        <v>0</v>
      </c>
      <c r="E1749" s="85" t="str">
        <f t="shared" si="191"/>
        <v/>
      </c>
      <c r="F1749" s="106" t="str">
        <f t="shared" si="197"/>
        <v/>
      </c>
      <c r="G1749" s="86"/>
      <c r="H1749" s="107">
        <f t="shared" si="192"/>
        <v>0</v>
      </c>
      <c r="I1749" s="107">
        <f t="shared" si="193"/>
        <v>0</v>
      </c>
      <c r="J1749" s="87">
        <f>IF($D1749&gt;0,IFERROR(Параметры!$D$42*$H1749/$H$2408,0),0)</f>
        <v>0</v>
      </c>
      <c r="K1749" s="87">
        <f>IFERROR(ROUND($N1749*Параметры!$D$36,2),0)</f>
        <v>0</v>
      </c>
      <c r="L1749" s="87">
        <f t="shared" si="194"/>
        <v>0</v>
      </c>
      <c r="M1749" s="87">
        <f t="shared" si="195"/>
        <v>0</v>
      </c>
      <c r="N1749" s="107" t="str">
        <f t="shared" si="196"/>
        <v/>
      </c>
    </row>
    <row r="1750" spans="2:14" x14ac:dyDescent="0.25">
      <c r="B1750" s="82">
        <f>SUBTOTAL(103,$D$8:D1750)</f>
        <v>1743</v>
      </c>
      <c r="C1750" s="83" t="s">
        <v>1748</v>
      </c>
      <c r="D1750" s="84">
        <v>0</v>
      </c>
      <c r="E1750" s="85" t="str">
        <f t="shared" si="191"/>
        <v/>
      </c>
      <c r="F1750" s="106" t="str">
        <f t="shared" si="197"/>
        <v/>
      </c>
      <c r="G1750" s="86"/>
      <c r="H1750" s="107">
        <f t="shared" si="192"/>
        <v>0</v>
      </c>
      <c r="I1750" s="107">
        <f t="shared" si="193"/>
        <v>0</v>
      </c>
      <c r="J1750" s="87">
        <f>IF($D1750&gt;0,IFERROR(Параметры!$D$42*$H1750/$H$2408,0),0)</f>
        <v>0</v>
      </c>
      <c r="K1750" s="87">
        <f>IFERROR(ROUND($N1750*Параметры!$D$36,2),0)</f>
        <v>0</v>
      </c>
      <c r="L1750" s="87">
        <f t="shared" si="194"/>
        <v>0</v>
      </c>
      <c r="M1750" s="87">
        <f t="shared" si="195"/>
        <v>0</v>
      </c>
      <c r="N1750" s="107" t="str">
        <f t="shared" si="196"/>
        <v/>
      </c>
    </row>
    <row r="1751" spans="2:14" x14ac:dyDescent="0.25">
      <c r="B1751" s="82">
        <f>SUBTOTAL(103,$D$8:D1751)</f>
        <v>1744</v>
      </c>
      <c r="C1751" s="83" t="s">
        <v>1749</v>
      </c>
      <c r="D1751" s="84">
        <v>0</v>
      </c>
      <c r="E1751" s="85" t="str">
        <f t="shared" si="191"/>
        <v/>
      </c>
      <c r="F1751" s="106" t="str">
        <f t="shared" si="197"/>
        <v/>
      </c>
      <c r="G1751" s="86"/>
      <c r="H1751" s="107">
        <f t="shared" si="192"/>
        <v>0</v>
      </c>
      <c r="I1751" s="107">
        <f t="shared" si="193"/>
        <v>0</v>
      </c>
      <c r="J1751" s="87">
        <f>IF($D1751&gt;0,IFERROR(Параметры!$D$42*$H1751/$H$2408,0),0)</f>
        <v>0</v>
      </c>
      <c r="K1751" s="87">
        <f>IFERROR(ROUND($N1751*Параметры!$D$36,2),0)</f>
        <v>0</v>
      </c>
      <c r="L1751" s="87">
        <f t="shared" si="194"/>
        <v>0</v>
      </c>
      <c r="M1751" s="87">
        <f t="shared" si="195"/>
        <v>0</v>
      </c>
      <c r="N1751" s="107" t="str">
        <f t="shared" si="196"/>
        <v/>
      </c>
    </row>
    <row r="1752" spans="2:14" x14ac:dyDescent="0.25">
      <c r="B1752" s="82">
        <f>SUBTOTAL(103,$D$8:D1752)</f>
        <v>1745</v>
      </c>
      <c r="C1752" s="83" t="s">
        <v>1750</v>
      </c>
      <c r="D1752" s="84">
        <v>0</v>
      </c>
      <c r="E1752" s="85" t="str">
        <f t="shared" si="191"/>
        <v/>
      </c>
      <c r="F1752" s="106" t="str">
        <f t="shared" si="197"/>
        <v/>
      </c>
      <c r="G1752" s="86"/>
      <c r="H1752" s="107">
        <f t="shared" si="192"/>
        <v>0</v>
      </c>
      <c r="I1752" s="107">
        <f t="shared" si="193"/>
        <v>0</v>
      </c>
      <c r="J1752" s="87">
        <f>IF($D1752&gt;0,IFERROR(Параметры!$D$42*$H1752/$H$2408,0),0)</f>
        <v>0</v>
      </c>
      <c r="K1752" s="87">
        <f>IFERROR(ROUND($N1752*Параметры!$D$36,2),0)</f>
        <v>0</v>
      </c>
      <c r="L1752" s="87">
        <f t="shared" si="194"/>
        <v>0</v>
      </c>
      <c r="M1752" s="87">
        <f t="shared" si="195"/>
        <v>0</v>
      </c>
      <c r="N1752" s="107" t="str">
        <f t="shared" si="196"/>
        <v/>
      </c>
    </row>
    <row r="1753" spans="2:14" x14ac:dyDescent="0.25">
      <c r="B1753" s="82">
        <f>SUBTOTAL(103,$D$8:D1753)</f>
        <v>1746</v>
      </c>
      <c r="C1753" s="83" t="s">
        <v>1751</v>
      </c>
      <c r="D1753" s="84">
        <v>0</v>
      </c>
      <c r="E1753" s="85" t="str">
        <f t="shared" si="191"/>
        <v/>
      </c>
      <c r="F1753" s="106" t="str">
        <f t="shared" si="197"/>
        <v/>
      </c>
      <c r="G1753" s="86"/>
      <c r="H1753" s="107">
        <f t="shared" si="192"/>
        <v>0</v>
      </c>
      <c r="I1753" s="107">
        <f t="shared" si="193"/>
        <v>0</v>
      </c>
      <c r="J1753" s="87">
        <f>IF($D1753&gt;0,IFERROR(Параметры!$D$42*$H1753/$H$2408,0),0)</f>
        <v>0</v>
      </c>
      <c r="K1753" s="87">
        <f>IFERROR(ROUND($N1753*Параметры!$D$36,2),0)</f>
        <v>0</v>
      </c>
      <c r="L1753" s="87">
        <f t="shared" si="194"/>
        <v>0</v>
      </c>
      <c r="M1753" s="87">
        <f t="shared" si="195"/>
        <v>0</v>
      </c>
      <c r="N1753" s="107" t="str">
        <f t="shared" si="196"/>
        <v/>
      </c>
    </row>
    <row r="1754" spans="2:14" x14ac:dyDescent="0.25">
      <c r="B1754" s="82">
        <f>SUBTOTAL(103,$D$8:D1754)</f>
        <v>1747</v>
      </c>
      <c r="C1754" s="83" t="s">
        <v>1752</v>
      </c>
      <c r="D1754" s="84">
        <v>0</v>
      </c>
      <c r="E1754" s="85" t="str">
        <f t="shared" si="191"/>
        <v/>
      </c>
      <c r="F1754" s="106" t="str">
        <f t="shared" si="197"/>
        <v/>
      </c>
      <c r="G1754" s="86"/>
      <c r="H1754" s="107">
        <f t="shared" si="192"/>
        <v>0</v>
      </c>
      <c r="I1754" s="107">
        <f t="shared" si="193"/>
        <v>0</v>
      </c>
      <c r="J1754" s="87">
        <f>IF($D1754&gt;0,IFERROR(Параметры!$D$42*$H1754/$H$2408,0),0)</f>
        <v>0</v>
      </c>
      <c r="K1754" s="87">
        <f>IFERROR(ROUND($N1754*Параметры!$D$36,2),0)</f>
        <v>0</v>
      </c>
      <c r="L1754" s="87">
        <f t="shared" si="194"/>
        <v>0</v>
      </c>
      <c r="M1754" s="87">
        <f t="shared" si="195"/>
        <v>0</v>
      </c>
      <c r="N1754" s="107" t="str">
        <f t="shared" si="196"/>
        <v/>
      </c>
    </row>
    <row r="1755" spans="2:14" x14ac:dyDescent="0.25">
      <c r="B1755" s="82">
        <f>SUBTOTAL(103,$D$8:D1755)</f>
        <v>1748</v>
      </c>
      <c r="C1755" s="83" t="s">
        <v>1753</v>
      </c>
      <c r="D1755" s="84">
        <v>0</v>
      </c>
      <c r="E1755" s="85" t="str">
        <f t="shared" si="191"/>
        <v/>
      </c>
      <c r="F1755" s="106" t="str">
        <f t="shared" si="197"/>
        <v/>
      </c>
      <c r="G1755" s="86"/>
      <c r="H1755" s="107">
        <f t="shared" si="192"/>
        <v>0</v>
      </c>
      <c r="I1755" s="107">
        <f t="shared" si="193"/>
        <v>0</v>
      </c>
      <c r="J1755" s="87">
        <f>IF($D1755&gt;0,IFERROR(Параметры!$D$42*$H1755/$H$2408,0),0)</f>
        <v>0</v>
      </c>
      <c r="K1755" s="87">
        <f>IFERROR(ROUND($N1755*Параметры!$D$36,2),0)</f>
        <v>0</v>
      </c>
      <c r="L1755" s="87">
        <f t="shared" si="194"/>
        <v>0</v>
      </c>
      <c r="M1755" s="87">
        <f t="shared" si="195"/>
        <v>0</v>
      </c>
      <c r="N1755" s="107" t="str">
        <f t="shared" si="196"/>
        <v/>
      </c>
    </row>
    <row r="1756" spans="2:14" x14ac:dyDescent="0.25">
      <c r="B1756" s="82">
        <f>SUBTOTAL(103,$D$8:D1756)</f>
        <v>1749</v>
      </c>
      <c r="C1756" s="83" t="s">
        <v>1754</v>
      </c>
      <c r="D1756" s="84">
        <v>0</v>
      </c>
      <c r="E1756" s="85" t="str">
        <f t="shared" si="191"/>
        <v/>
      </c>
      <c r="F1756" s="106" t="str">
        <f t="shared" si="197"/>
        <v/>
      </c>
      <c r="G1756" s="86"/>
      <c r="H1756" s="107">
        <f t="shared" si="192"/>
        <v>0</v>
      </c>
      <c r="I1756" s="107">
        <f t="shared" si="193"/>
        <v>0</v>
      </c>
      <c r="J1756" s="87">
        <f>IF($D1756&gt;0,IFERROR(Параметры!$D$42*$H1756/$H$2408,0),0)</f>
        <v>0</v>
      </c>
      <c r="K1756" s="87">
        <f>IFERROR(ROUND($N1756*Параметры!$D$36,2),0)</f>
        <v>0</v>
      </c>
      <c r="L1756" s="87">
        <f t="shared" si="194"/>
        <v>0</v>
      </c>
      <c r="M1756" s="87">
        <f t="shared" si="195"/>
        <v>0</v>
      </c>
      <c r="N1756" s="107" t="str">
        <f t="shared" si="196"/>
        <v/>
      </c>
    </row>
    <row r="1757" spans="2:14" x14ac:dyDescent="0.25">
      <c r="B1757" s="82">
        <f>SUBTOTAL(103,$D$8:D1757)</f>
        <v>1750</v>
      </c>
      <c r="C1757" s="83" t="s">
        <v>1755</v>
      </c>
      <c r="D1757" s="84">
        <v>0</v>
      </c>
      <c r="E1757" s="85" t="str">
        <f t="shared" si="191"/>
        <v/>
      </c>
      <c r="F1757" s="106" t="str">
        <f t="shared" si="197"/>
        <v/>
      </c>
      <c r="G1757" s="86"/>
      <c r="H1757" s="107">
        <f t="shared" si="192"/>
        <v>0</v>
      </c>
      <c r="I1757" s="107">
        <f t="shared" si="193"/>
        <v>0</v>
      </c>
      <c r="J1757" s="87">
        <f>IF($D1757&gt;0,IFERROR(Параметры!$D$42*$H1757/$H$2408,0),0)</f>
        <v>0</v>
      </c>
      <c r="K1757" s="87">
        <f>IFERROR(ROUND($N1757*Параметры!$D$36,2),0)</f>
        <v>0</v>
      </c>
      <c r="L1757" s="87">
        <f t="shared" si="194"/>
        <v>0</v>
      </c>
      <c r="M1757" s="87">
        <f t="shared" si="195"/>
        <v>0</v>
      </c>
      <c r="N1757" s="107" t="str">
        <f t="shared" si="196"/>
        <v/>
      </c>
    </row>
    <row r="1758" spans="2:14" x14ac:dyDescent="0.25">
      <c r="B1758" s="82">
        <f>SUBTOTAL(103,$D$8:D1758)</f>
        <v>1751</v>
      </c>
      <c r="C1758" s="83" t="s">
        <v>1756</v>
      </c>
      <c r="D1758" s="84">
        <v>0</v>
      </c>
      <c r="E1758" s="85" t="str">
        <f t="shared" si="191"/>
        <v/>
      </c>
      <c r="F1758" s="106" t="str">
        <f t="shared" si="197"/>
        <v/>
      </c>
      <c r="G1758" s="86"/>
      <c r="H1758" s="107">
        <f t="shared" si="192"/>
        <v>0</v>
      </c>
      <c r="I1758" s="107">
        <f t="shared" si="193"/>
        <v>0</v>
      </c>
      <c r="J1758" s="87">
        <f>IF($D1758&gt;0,IFERROR(Параметры!$D$42*$H1758/$H$2408,0),0)</f>
        <v>0</v>
      </c>
      <c r="K1758" s="87">
        <f>IFERROR(ROUND($N1758*Параметры!$D$36,2),0)</f>
        <v>0</v>
      </c>
      <c r="L1758" s="87">
        <f t="shared" si="194"/>
        <v>0</v>
      </c>
      <c r="M1758" s="87">
        <f t="shared" si="195"/>
        <v>0</v>
      </c>
      <c r="N1758" s="107" t="str">
        <f t="shared" si="196"/>
        <v/>
      </c>
    </row>
    <row r="1759" spans="2:14" x14ac:dyDescent="0.25">
      <c r="B1759" s="82">
        <f>SUBTOTAL(103,$D$8:D1759)</f>
        <v>1752</v>
      </c>
      <c r="C1759" s="83" t="s">
        <v>1757</v>
      </c>
      <c r="D1759" s="84">
        <v>0</v>
      </c>
      <c r="E1759" s="85" t="str">
        <f t="shared" si="191"/>
        <v/>
      </c>
      <c r="F1759" s="106" t="str">
        <f t="shared" si="197"/>
        <v/>
      </c>
      <c r="G1759" s="86"/>
      <c r="H1759" s="107">
        <f t="shared" si="192"/>
        <v>0</v>
      </c>
      <c r="I1759" s="107">
        <f t="shared" si="193"/>
        <v>0</v>
      </c>
      <c r="J1759" s="87">
        <f>IF($D1759&gt;0,IFERROR(Параметры!$D$42*$H1759/$H$2408,0),0)</f>
        <v>0</v>
      </c>
      <c r="K1759" s="87">
        <f>IFERROR(ROUND($N1759*Параметры!$D$36,2),0)</f>
        <v>0</v>
      </c>
      <c r="L1759" s="87">
        <f t="shared" si="194"/>
        <v>0</v>
      </c>
      <c r="M1759" s="87">
        <f t="shared" si="195"/>
        <v>0</v>
      </c>
      <c r="N1759" s="107" t="str">
        <f t="shared" si="196"/>
        <v/>
      </c>
    </row>
    <row r="1760" spans="2:14" x14ac:dyDescent="0.25">
      <c r="B1760" s="82">
        <f>SUBTOTAL(103,$D$8:D1760)</f>
        <v>1753</v>
      </c>
      <c r="C1760" s="83" t="s">
        <v>1758</v>
      </c>
      <c r="D1760" s="84">
        <v>0</v>
      </c>
      <c r="E1760" s="85" t="str">
        <f t="shared" si="191"/>
        <v/>
      </c>
      <c r="F1760" s="106" t="str">
        <f t="shared" si="197"/>
        <v/>
      </c>
      <c r="G1760" s="86"/>
      <c r="H1760" s="107">
        <f t="shared" si="192"/>
        <v>0</v>
      </c>
      <c r="I1760" s="107">
        <f t="shared" si="193"/>
        <v>0</v>
      </c>
      <c r="J1760" s="87">
        <f>IF($D1760&gt;0,IFERROR(Параметры!$D$42*$H1760/$H$2408,0),0)</f>
        <v>0</v>
      </c>
      <c r="K1760" s="87">
        <f>IFERROR(ROUND($N1760*Параметры!$D$36,2),0)</f>
        <v>0</v>
      </c>
      <c r="L1760" s="87">
        <f t="shared" si="194"/>
        <v>0</v>
      </c>
      <c r="M1760" s="87">
        <f t="shared" si="195"/>
        <v>0</v>
      </c>
      <c r="N1760" s="107" t="str">
        <f t="shared" si="196"/>
        <v/>
      </c>
    </row>
    <row r="1761" spans="2:14" x14ac:dyDescent="0.25">
      <c r="B1761" s="82">
        <f>SUBTOTAL(103,$D$8:D1761)</f>
        <v>1754</v>
      </c>
      <c r="C1761" s="83" t="s">
        <v>1759</v>
      </c>
      <c r="D1761" s="84">
        <v>0</v>
      </c>
      <c r="E1761" s="85" t="str">
        <f t="shared" si="191"/>
        <v/>
      </c>
      <c r="F1761" s="106" t="str">
        <f t="shared" si="197"/>
        <v/>
      </c>
      <c r="G1761" s="86"/>
      <c r="H1761" s="107">
        <f t="shared" si="192"/>
        <v>0</v>
      </c>
      <c r="I1761" s="107">
        <f t="shared" si="193"/>
        <v>0</v>
      </c>
      <c r="J1761" s="87">
        <f>IF($D1761&gt;0,IFERROR(Параметры!$D$42*$H1761/$H$2408,0),0)</f>
        <v>0</v>
      </c>
      <c r="K1761" s="87">
        <f>IFERROR(ROUND($N1761*Параметры!$D$36,2),0)</f>
        <v>0</v>
      </c>
      <c r="L1761" s="87">
        <f t="shared" si="194"/>
        <v>0</v>
      </c>
      <c r="M1761" s="87">
        <f t="shared" si="195"/>
        <v>0</v>
      </c>
      <c r="N1761" s="107" t="str">
        <f t="shared" si="196"/>
        <v/>
      </c>
    </row>
    <row r="1762" spans="2:14" x14ac:dyDescent="0.25">
      <c r="B1762" s="82">
        <f>SUBTOTAL(103,$D$8:D1762)</f>
        <v>1755</v>
      </c>
      <c r="C1762" s="83" t="s">
        <v>1760</v>
      </c>
      <c r="D1762" s="84">
        <v>0</v>
      </c>
      <c r="E1762" s="85" t="str">
        <f t="shared" si="191"/>
        <v/>
      </c>
      <c r="F1762" s="106" t="str">
        <f t="shared" si="197"/>
        <v/>
      </c>
      <c r="G1762" s="86"/>
      <c r="H1762" s="107">
        <f t="shared" si="192"/>
        <v>0</v>
      </c>
      <c r="I1762" s="107">
        <f t="shared" si="193"/>
        <v>0</v>
      </c>
      <c r="J1762" s="87">
        <f>IF($D1762&gt;0,IFERROR(Параметры!$D$42*$H1762/$H$2408,0),0)</f>
        <v>0</v>
      </c>
      <c r="K1762" s="87">
        <f>IFERROR(ROUND($N1762*Параметры!$D$36,2),0)</f>
        <v>0</v>
      </c>
      <c r="L1762" s="87">
        <f t="shared" si="194"/>
        <v>0</v>
      </c>
      <c r="M1762" s="87">
        <f t="shared" si="195"/>
        <v>0</v>
      </c>
      <c r="N1762" s="107" t="str">
        <f t="shared" si="196"/>
        <v/>
      </c>
    </row>
    <row r="1763" spans="2:14" x14ac:dyDescent="0.25">
      <c r="B1763" s="82">
        <f>SUBTOTAL(103,$D$8:D1763)</f>
        <v>1756</v>
      </c>
      <c r="C1763" s="83" t="s">
        <v>1761</v>
      </c>
      <c r="D1763" s="84">
        <v>0</v>
      </c>
      <c r="E1763" s="85" t="str">
        <f t="shared" si="191"/>
        <v/>
      </c>
      <c r="F1763" s="106" t="str">
        <f t="shared" si="197"/>
        <v/>
      </c>
      <c r="G1763" s="86"/>
      <c r="H1763" s="107">
        <f t="shared" si="192"/>
        <v>0</v>
      </c>
      <c r="I1763" s="107">
        <f t="shared" si="193"/>
        <v>0</v>
      </c>
      <c r="J1763" s="87">
        <f>IF($D1763&gt;0,IFERROR(Параметры!$D$42*$H1763/$H$2408,0),0)</f>
        <v>0</v>
      </c>
      <c r="K1763" s="87">
        <f>IFERROR(ROUND($N1763*Параметры!$D$36,2),0)</f>
        <v>0</v>
      </c>
      <c r="L1763" s="87">
        <f t="shared" si="194"/>
        <v>0</v>
      </c>
      <c r="M1763" s="87">
        <f t="shared" si="195"/>
        <v>0</v>
      </c>
      <c r="N1763" s="107" t="str">
        <f t="shared" si="196"/>
        <v/>
      </c>
    </row>
    <row r="1764" spans="2:14" x14ac:dyDescent="0.25">
      <c r="B1764" s="82">
        <f>SUBTOTAL(103,$D$8:D1764)</f>
        <v>1757</v>
      </c>
      <c r="C1764" s="83" t="s">
        <v>1762</v>
      </c>
      <c r="D1764" s="84">
        <v>0</v>
      </c>
      <c r="E1764" s="85" t="str">
        <f t="shared" si="191"/>
        <v/>
      </c>
      <c r="F1764" s="106" t="str">
        <f t="shared" si="197"/>
        <v/>
      </c>
      <c r="G1764" s="86"/>
      <c r="H1764" s="107">
        <f t="shared" si="192"/>
        <v>0</v>
      </c>
      <c r="I1764" s="107">
        <f t="shared" si="193"/>
        <v>0</v>
      </c>
      <c r="J1764" s="87">
        <f>IF($D1764&gt;0,IFERROR(Параметры!$D$42*$H1764/$H$2408,0),0)</f>
        <v>0</v>
      </c>
      <c r="K1764" s="87">
        <f>IFERROR(ROUND($N1764*Параметры!$D$36,2),0)</f>
        <v>0</v>
      </c>
      <c r="L1764" s="87">
        <f t="shared" si="194"/>
        <v>0</v>
      </c>
      <c r="M1764" s="87">
        <f t="shared" si="195"/>
        <v>0</v>
      </c>
      <c r="N1764" s="107" t="str">
        <f t="shared" si="196"/>
        <v/>
      </c>
    </row>
    <row r="1765" spans="2:14" x14ac:dyDescent="0.25">
      <c r="B1765" s="82">
        <f>SUBTOTAL(103,$D$8:D1765)</f>
        <v>1758</v>
      </c>
      <c r="C1765" s="83" t="s">
        <v>1763</v>
      </c>
      <c r="D1765" s="84">
        <v>0</v>
      </c>
      <c r="E1765" s="85" t="str">
        <f t="shared" si="191"/>
        <v/>
      </c>
      <c r="F1765" s="106" t="str">
        <f t="shared" si="197"/>
        <v/>
      </c>
      <c r="G1765" s="86"/>
      <c r="H1765" s="107">
        <f t="shared" si="192"/>
        <v>0</v>
      </c>
      <c r="I1765" s="107">
        <f t="shared" si="193"/>
        <v>0</v>
      </c>
      <c r="J1765" s="87">
        <f>IF($D1765&gt;0,IFERROR(Параметры!$D$42*$H1765/$H$2408,0),0)</f>
        <v>0</v>
      </c>
      <c r="K1765" s="87">
        <f>IFERROR(ROUND($N1765*Параметры!$D$36,2),0)</f>
        <v>0</v>
      </c>
      <c r="L1765" s="87">
        <f t="shared" si="194"/>
        <v>0</v>
      </c>
      <c r="M1765" s="87">
        <f t="shared" si="195"/>
        <v>0</v>
      </c>
      <c r="N1765" s="107" t="str">
        <f t="shared" si="196"/>
        <v/>
      </c>
    </row>
    <row r="1766" spans="2:14" x14ac:dyDescent="0.25">
      <c r="B1766" s="82">
        <f>SUBTOTAL(103,$D$8:D1766)</f>
        <v>1759</v>
      </c>
      <c r="C1766" s="83" t="s">
        <v>1764</v>
      </c>
      <c r="D1766" s="84">
        <v>0</v>
      </c>
      <c r="E1766" s="85" t="str">
        <f t="shared" si="191"/>
        <v/>
      </c>
      <c r="F1766" s="106" t="str">
        <f t="shared" si="197"/>
        <v/>
      </c>
      <c r="G1766" s="86"/>
      <c r="H1766" s="107">
        <f t="shared" si="192"/>
        <v>0</v>
      </c>
      <c r="I1766" s="107">
        <f t="shared" si="193"/>
        <v>0</v>
      </c>
      <c r="J1766" s="87">
        <f>IF($D1766&gt;0,IFERROR(Параметры!$D$42*$H1766/$H$2408,0),0)</f>
        <v>0</v>
      </c>
      <c r="K1766" s="87">
        <f>IFERROR(ROUND($N1766*Параметры!$D$36,2),0)</f>
        <v>0</v>
      </c>
      <c r="L1766" s="87">
        <f t="shared" si="194"/>
        <v>0</v>
      </c>
      <c r="M1766" s="87">
        <f t="shared" si="195"/>
        <v>0</v>
      </c>
      <c r="N1766" s="107" t="str">
        <f t="shared" si="196"/>
        <v/>
      </c>
    </row>
    <row r="1767" spans="2:14" x14ac:dyDescent="0.25">
      <c r="B1767" s="82">
        <f>SUBTOTAL(103,$D$8:D1767)</f>
        <v>1760</v>
      </c>
      <c r="C1767" s="83" t="s">
        <v>1765</v>
      </c>
      <c r="D1767" s="84">
        <v>0</v>
      </c>
      <c r="E1767" s="85" t="str">
        <f t="shared" si="191"/>
        <v/>
      </c>
      <c r="F1767" s="106" t="str">
        <f t="shared" si="197"/>
        <v/>
      </c>
      <c r="G1767" s="86"/>
      <c r="H1767" s="107">
        <f t="shared" si="192"/>
        <v>0</v>
      </c>
      <c r="I1767" s="107">
        <f t="shared" si="193"/>
        <v>0</v>
      </c>
      <c r="J1767" s="87">
        <f>IF($D1767&gt;0,IFERROR(Параметры!$D$42*$H1767/$H$2408,0),0)</f>
        <v>0</v>
      </c>
      <c r="K1767" s="87">
        <f>IFERROR(ROUND($N1767*Параметры!$D$36,2),0)</f>
        <v>0</v>
      </c>
      <c r="L1767" s="87">
        <f t="shared" si="194"/>
        <v>0</v>
      </c>
      <c r="M1767" s="87">
        <f t="shared" si="195"/>
        <v>0</v>
      </c>
      <c r="N1767" s="107" t="str">
        <f t="shared" si="196"/>
        <v/>
      </c>
    </row>
    <row r="1768" spans="2:14" x14ac:dyDescent="0.25">
      <c r="B1768" s="82">
        <f>SUBTOTAL(103,$D$8:D1768)</f>
        <v>1761</v>
      </c>
      <c r="C1768" s="83" t="s">
        <v>1766</v>
      </c>
      <c r="D1768" s="84">
        <v>0</v>
      </c>
      <c r="E1768" s="85" t="str">
        <f t="shared" si="191"/>
        <v/>
      </c>
      <c r="F1768" s="106" t="str">
        <f t="shared" si="197"/>
        <v/>
      </c>
      <c r="G1768" s="86"/>
      <c r="H1768" s="107">
        <f t="shared" si="192"/>
        <v>0</v>
      </c>
      <c r="I1768" s="107">
        <f t="shared" si="193"/>
        <v>0</v>
      </c>
      <c r="J1768" s="87">
        <f>IF($D1768&gt;0,IFERROR(Параметры!$D$42*$H1768/$H$2408,0),0)</f>
        <v>0</v>
      </c>
      <c r="K1768" s="87">
        <f>IFERROR(ROUND($N1768*Параметры!$D$36,2),0)</f>
        <v>0</v>
      </c>
      <c r="L1768" s="87">
        <f t="shared" si="194"/>
        <v>0</v>
      </c>
      <c r="M1768" s="87">
        <f t="shared" si="195"/>
        <v>0</v>
      </c>
      <c r="N1768" s="107" t="str">
        <f t="shared" si="196"/>
        <v/>
      </c>
    </row>
    <row r="1769" spans="2:14" x14ac:dyDescent="0.25">
      <c r="B1769" s="82">
        <f>SUBTOTAL(103,$D$8:D1769)</f>
        <v>1762</v>
      </c>
      <c r="C1769" s="83" t="s">
        <v>1767</v>
      </c>
      <c r="D1769" s="84">
        <v>0</v>
      </c>
      <c r="E1769" s="85" t="str">
        <f t="shared" si="191"/>
        <v/>
      </c>
      <c r="F1769" s="106" t="str">
        <f t="shared" si="197"/>
        <v/>
      </c>
      <c r="G1769" s="86"/>
      <c r="H1769" s="107">
        <f t="shared" si="192"/>
        <v>0</v>
      </c>
      <c r="I1769" s="107">
        <f t="shared" si="193"/>
        <v>0</v>
      </c>
      <c r="J1769" s="87">
        <f>IF($D1769&gt;0,IFERROR(Параметры!$D$42*$H1769/$H$2408,0),0)</f>
        <v>0</v>
      </c>
      <c r="K1769" s="87">
        <f>IFERROR(ROUND($N1769*Параметры!$D$36,2),0)</f>
        <v>0</v>
      </c>
      <c r="L1769" s="87">
        <f t="shared" si="194"/>
        <v>0</v>
      </c>
      <c r="M1769" s="87">
        <f t="shared" si="195"/>
        <v>0</v>
      </c>
      <c r="N1769" s="107" t="str">
        <f t="shared" si="196"/>
        <v/>
      </c>
    </row>
    <row r="1770" spans="2:14" x14ac:dyDescent="0.25">
      <c r="B1770" s="82">
        <f>SUBTOTAL(103,$D$8:D1770)</f>
        <v>1763</v>
      </c>
      <c r="C1770" s="83" t="s">
        <v>1768</v>
      </c>
      <c r="D1770" s="84">
        <v>0</v>
      </c>
      <c r="E1770" s="85" t="str">
        <f t="shared" si="191"/>
        <v/>
      </c>
      <c r="F1770" s="106" t="str">
        <f t="shared" si="197"/>
        <v/>
      </c>
      <c r="G1770" s="86"/>
      <c r="H1770" s="107">
        <f t="shared" si="192"/>
        <v>0</v>
      </c>
      <c r="I1770" s="107">
        <f t="shared" si="193"/>
        <v>0</v>
      </c>
      <c r="J1770" s="87">
        <f>IF($D1770&gt;0,IFERROR(Параметры!$D$42*$H1770/$H$2408,0),0)</f>
        <v>0</v>
      </c>
      <c r="K1770" s="87">
        <f>IFERROR(ROUND($N1770*Параметры!$D$36,2),0)</f>
        <v>0</v>
      </c>
      <c r="L1770" s="87">
        <f t="shared" si="194"/>
        <v>0</v>
      </c>
      <c r="M1770" s="87">
        <f t="shared" si="195"/>
        <v>0</v>
      </c>
      <c r="N1770" s="107" t="str">
        <f t="shared" si="196"/>
        <v/>
      </c>
    </row>
    <row r="1771" spans="2:14" x14ac:dyDescent="0.25">
      <c r="B1771" s="82">
        <f>SUBTOTAL(103,$D$8:D1771)</f>
        <v>1764</v>
      </c>
      <c r="C1771" s="83" t="s">
        <v>1769</v>
      </c>
      <c r="D1771" s="84">
        <v>0</v>
      </c>
      <c r="E1771" s="85" t="str">
        <f t="shared" si="191"/>
        <v/>
      </c>
      <c r="F1771" s="106" t="str">
        <f t="shared" si="197"/>
        <v/>
      </c>
      <c r="G1771" s="86"/>
      <c r="H1771" s="107">
        <f t="shared" si="192"/>
        <v>0</v>
      </c>
      <c r="I1771" s="107">
        <f t="shared" si="193"/>
        <v>0</v>
      </c>
      <c r="J1771" s="87">
        <f>IF($D1771&gt;0,IFERROR(Параметры!$D$42*$H1771/$H$2408,0),0)</f>
        <v>0</v>
      </c>
      <c r="K1771" s="87">
        <f>IFERROR(ROUND($N1771*Параметры!$D$36,2),0)</f>
        <v>0</v>
      </c>
      <c r="L1771" s="87">
        <f t="shared" si="194"/>
        <v>0</v>
      </c>
      <c r="M1771" s="87">
        <f t="shared" si="195"/>
        <v>0</v>
      </c>
      <c r="N1771" s="107" t="str">
        <f t="shared" si="196"/>
        <v/>
      </c>
    </row>
    <row r="1772" spans="2:14" x14ac:dyDescent="0.25">
      <c r="B1772" s="82">
        <f>SUBTOTAL(103,$D$8:D1772)</f>
        <v>1765</v>
      </c>
      <c r="C1772" s="83" t="s">
        <v>1770</v>
      </c>
      <c r="D1772" s="84">
        <v>0</v>
      </c>
      <c r="E1772" s="85" t="str">
        <f t="shared" si="191"/>
        <v/>
      </c>
      <c r="F1772" s="106" t="str">
        <f t="shared" si="197"/>
        <v/>
      </c>
      <c r="G1772" s="86"/>
      <c r="H1772" s="107">
        <f t="shared" si="192"/>
        <v>0</v>
      </c>
      <c r="I1772" s="107">
        <f t="shared" si="193"/>
        <v>0</v>
      </c>
      <c r="J1772" s="87">
        <f>IF($D1772&gt;0,IFERROR(Параметры!$D$42*$H1772/$H$2408,0),0)</f>
        <v>0</v>
      </c>
      <c r="K1772" s="87">
        <f>IFERROR(ROUND($N1772*Параметры!$D$36,2),0)</f>
        <v>0</v>
      </c>
      <c r="L1772" s="87">
        <f t="shared" si="194"/>
        <v>0</v>
      </c>
      <c r="M1772" s="87">
        <f t="shared" si="195"/>
        <v>0</v>
      </c>
      <c r="N1772" s="107" t="str">
        <f t="shared" si="196"/>
        <v/>
      </c>
    </row>
    <row r="1773" spans="2:14" x14ac:dyDescent="0.25">
      <c r="B1773" s="82">
        <f>SUBTOTAL(103,$D$8:D1773)</f>
        <v>1766</v>
      </c>
      <c r="C1773" s="83" t="s">
        <v>1771</v>
      </c>
      <c r="D1773" s="84">
        <v>0</v>
      </c>
      <c r="E1773" s="85" t="str">
        <f t="shared" si="191"/>
        <v/>
      </c>
      <c r="F1773" s="106" t="str">
        <f t="shared" si="197"/>
        <v/>
      </c>
      <c r="G1773" s="86"/>
      <c r="H1773" s="107">
        <f t="shared" si="192"/>
        <v>0</v>
      </c>
      <c r="I1773" s="107">
        <f t="shared" si="193"/>
        <v>0</v>
      </c>
      <c r="J1773" s="87">
        <f>IF($D1773&gt;0,IFERROR(Параметры!$D$42*$H1773/$H$2408,0),0)</f>
        <v>0</v>
      </c>
      <c r="K1773" s="87">
        <f>IFERROR(ROUND($N1773*Параметры!$D$36,2),0)</f>
        <v>0</v>
      </c>
      <c r="L1773" s="87">
        <f t="shared" si="194"/>
        <v>0</v>
      </c>
      <c r="M1773" s="87">
        <f t="shared" si="195"/>
        <v>0</v>
      </c>
      <c r="N1773" s="107" t="str">
        <f t="shared" si="196"/>
        <v/>
      </c>
    </row>
    <row r="1774" spans="2:14" x14ac:dyDescent="0.25">
      <c r="B1774" s="82">
        <f>SUBTOTAL(103,$D$8:D1774)</f>
        <v>1767</v>
      </c>
      <c r="C1774" s="83" t="s">
        <v>1772</v>
      </c>
      <c r="D1774" s="84">
        <v>0</v>
      </c>
      <c r="E1774" s="85" t="str">
        <f t="shared" si="191"/>
        <v/>
      </c>
      <c r="F1774" s="106" t="str">
        <f t="shared" si="197"/>
        <v/>
      </c>
      <c r="G1774" s="86"/>
      <c r="H1774" s="107">
        <f t="shared" si="192"/>
        <v>0</v>
      </c>
      <c r="I1774" s="107">
        <f t="shared" si="193"/>
        <v>0</v>
      </c>
      <c r="J1774" s="87">
        <f>IF($D1774&gt;0,IFERROR(Параметры!$D$42*$H1774/$H$2408,0),0)</f>
        <v>0</v>
      </c>
      <c r="K1774" s="87">
        <f>IFERROR(ROUND($N1774*Параметры!$D$36,2),0)</f>
        <v>0</v>
      </c>
      <c r="L1774" s="87">
        <f t="shared" si="194"/>
        <v>0</v>
      </c>
      <c r="M1774" s="87">
        <f t="shared" si="195"/>
        <v>0</v>
      </c>
      <c r="N1774" s="107" t="str">
        <f t="shared" si="196"/>
        <v/>
      </c>
    </row>
    <row r="1775" spans="2:14" x14ac:dyDescent="0.25">
      <c r="B1775" s="82">
        <f>SUBTOTAL(103,$D$8:D1775)</f>
        <v>1768</v>
      </c>
      <c r="C1775" s="83" t="s">
        <v>1773</v>
      </c>
      <c r="D1775" s="84">
        <v>0</v>
      </c>
      <c r="E1775" s="85" t="str">
        <f t="shared" si="191"/>
        <v/>
      </c>
      <c r="F1775" s="106" t="str">
        <f t="shared" si="197"/>
        <v/>
      </c>
      <c r="G1775" s="86"/>
      <c r="H1775" s="107">
        <f t="shared" si="192"/>
        <v>0</v>
      </c>
      <c r="I1775" s="107">
        <f t="shared" si="193"/>
        <v>0</v>
      </c>
      <c r="J1775" s="87">
        <f>IF($D1775&gt;0,IFERROR(Параметры!$D$42*$H1775/$H$2408,0),0)</f>
        <v>0</v>
      </c>
      <c r="K1775" s="87">
        <f>IFERROR(ROUND($N1775*Параметры!$D$36,2),0)</f>
        <v>0</v>
      </c>
      <c r="L1775" s="87">
        <f t="shared" si="194"/>
        <v>0</v>
      </c>
      <c r="M1775" s="87">
        <f t="shared" si="195"/>
        <v>0</v>
      </c>
      <c r="N1775" s="107" t="str">
        <f t="shared" si="196"/>
        <v/>
      </c>
    </row>
    <row r="1776" spans="2:14" x14ac:dyDescent="0.25">
      <c r="B1776" s="82">
        <f>SUBTOTAL(103,$D$8:D1776)</f>
        <v>1769</v>
      </c>
      <c r="C1776" s="83" t="s">
        <v>1774</v>
      </c>
      <c r="D1776" s="84">
        <v>0</v>
      </c>
      <c r="E1776" s="85" t="str">
        <f t="shared" si="191"/>
        <v/>
      </c>
      <c r="F1776" s="106" t="str">
        <f t="shared" si="197"/>
        <v/>
      </c>
      <c r="G1776" s="86"/>
      <c r="H1776" s="107">
        <f t="shared" si="192"/>
        <v>0</v>
      </c>
      <c r="I1776" s="107">
        <f t="shared" si="193"/>
        <v>0</v>
      </c>
      <c r="J1776" s="87">
        <f>IF($D1776&gt;0,IFERROR(Параметры!$D$42*$H1776/$H$2408,0),0)</f>
        <v>0</v>
      </c>
      <c r="K1776" s="87">
        <f>IFERROR(ROUND($N1776*Параметры!$D$36,2),0)</f>
        <v>0</v>
      </c>
      <c r="L1776" s="87">
        <f t="shared" si="194"/>
        <v>0</v>
      </c>
      <c r="M1776" s="87">
        <f t="shared" si="195"/>
        <v>0</v>
      </c>
      <c r="N1776" s="107" t="str">
        <f t="shared" si="196"/>
        <v/>
      </c>
    </row>
    <row r="1777" spans="2:14" x14ac:dyDescent="0.25">
      <c r="B1777" s="82">
        <f>SUBTOTAL(103,$D$8:D1777)</f>
        <v>1770</v>
      </c>
      <c r="C1777" s="83" t="s">
        <v>1775</v>
      </c>
      <c r="D1777" s="84">
        <v>0</v>
      </c>
      <c r="E1777" s="85" t="str">
        <f t="shared" si="191"/>
        <v/>
      </c>
      <c r="F1777" s="106" t="str">
        <f t="shared" si="197"/>
        <v/>
      </c>
      <c r="G1777" s="86"/>
      <c r="H1777" s="107">
        <f t="shared" si="192"/>
        <v>0</v>
      </c>
      <c r="I1777" s="107">
        <f t="shared" si="193"/>
        <v>0</v>
      </c>
      <c r="J1777" s="87">
        <f>IF($D1777&gt;0,IFERROR(Параметры!$D$42*$H1777/$H$2408,0),0)</f>
        <v>0</v>
      </c>
      <c r="K1777" s="87">
        <f>IFERROR(ROUND($N1777*Параметры!$D$36,2),0)</f>
        <v>0</v>
      </c>
      <c r="L1777" s="87">
        <f t="shared" si="194"/>
        <v>0</v>
      </c>
      <c r="M1777" s="87">
        <f t="shared" si="195"/>
        <v>0</v>
      </c>
      <c r="N1777" s="107" t="str">
        <f t="shared" si="196"/>
        <v/>
      </c>
    </row>
    <row r="1778" spans="2:14" x14ac:dyDescent="0.25">
      <c r="B1778" s="82">
        <f>SUBTOTAL(103,$D$8:D1778)</f>
        <v>1771</v>
      </c>
      <c r="C1778" s="83" t="s">
        <v>1776</v>
      </c>
      <c r="D1778" s="84">
        <v>0</v>
      </c>
      <c r="E1778" s="85" t="str">
        <f t="shared" si="191"/>
        <v/>
      </c>
      <c r="F1778" s="106" t="str">
        <f t="shared" si="197"/>
        <v/>
      </c>
      <c r="G1778" s="86"/>
      <c r="H1778" s="107">
        <f t="shared" si="192"/>
        <v>0</v>
      </c>
      <c r="I1778" s="107">
        <f t="shared" si="193"/>
        <v>0</v>
      </c>
      <c r="J1778" s="87">
        <f>IF($D1778&gt;0,IFERROR(Параметры!$D$42*$H1778/$H$2408,0),0)</f>
        <v>0</v>
      </c>
      <c r="K1778" s="87">
        <f>IFERROR(ROUND($N1778*Параметры!$D$36,2),0)</f>
        <v>0</v>
      </c>
      <c r="L1778" s="87">
        <f t="shared" si="194"/>
        <v>0</v>
      </c>
      <c r="M1778" s="87">
        <f t="shared" si="195"/>
        <v>0</v>
      </c>
      <c r="N1778" s="107" t="str">
        <f t="shared" si="196"/>
        <v/>
      </c>
    </row>
    <row r="1779" spans="2:14" x14ac:dyDescent="0.25">
      <c r="B1779" s="82">
        <f>SUBTOTAL(103,$D$8:D1779)</f>
        <v>1772</v>
      </c>
      <c r="C1779" s="83" t="s">
        <v>1777</v>
      </c>
      <c r="D1779" s="84">
        <v>0</v>
      </c>
      <c r="E1779" s="85" t="str">
        <f t="shared" si="191"/>
        <v/>
      </c>
      <c r="F1779" s="106" t="str">
        <f t="shared" si="197"/>
        <v/>
      </c>
      <c r="G1779" s="86"/>
      <c r="H1779" s="107">
        <f t="shared" si="192"/>
        <v>0</v>
      </c>
      <c r="I1779" s="107">
        <f t="shared" si="193"/>
        <v>0</v>
      </c>
      <c r="J1779" s="87">
        <f>IF($D1779&gt;0,IFERROR(Параметры!$D$42*$H1779/$H$2408,0),0)</f>
        <v>0</v>
      </c>
      <c r="K1779" s="87">
        <f>IFERROR(ROUND($N1779*Параметры!$D$36,2),0)</f>
        <v>0</v>
      </c>
      <c r="L1779" s="87">
        <f t="shared" si="194"/>
        <v>0</v>
      </c>
      <c r="M1779" s="87">
        <f t="shared" si="195"/>
        <v>0</v>
      </c>
      <c r="N1779" s="107" t="str">
        <f t="shared" si="196"/>
        <v/>
      </c>
    </row>
    <row r="1780" spans="2:14" x14ac:dyDescent="0.25">
      <c r="B1780" s="82">
        <f>SUBTOTAL(103,$D$8:D1780)</f>
        <v>1773</v>
      </c>
      <c r="C1780" s="83" t="s">
        <v>1778</v>
      </c>
      <c r="D1780" s="84">
        <v>0</v>
      </c>
      <c r="E1780" s="85" t="str">
        <f t="shared" si="191"/>
        <v/>
      </c>
      <c r="F1780" s="106" t="str">
        <f t="shared" si="197"/>
        <v/>
      </c>
      <c r="G1780" s="86"/>
      <c r="H1780" s="107">
        <f t="shared" si="192"/>
        <v>0</v>
      </c>
      <c r="I1780" s="107">
        <f t="shared" si="193"/>
        <v>0</v>
      </c>
      <c r="J1780" s="87">
        <f>IF($D1780&gt;0,IFERROR(Параметры!$D$42*$H1780/$H$2408,0),0)</f>
        <v>0</v>
      </c>
      <c r="K1780" s="87">
        <f>IFERROR(ROUND($N1780*Параметры!$D$36,2),0)</f>
        <v>0</v>
      </c>
      <c r="L1780" s="87">
        <f t="shared" si="194"/>
        <v>0</v>
      </c>
      <c r="M1780" s="87">
        <f t="shared" si="195"/>
        <v>0</v>
      </c>
      <c r="N1780" s="107" t="str">
        <f t="shared" si="196"/>
        <v/>
      </c>
    </row>
    <row r="1781" spans="2:14" x14ac:dyDescent="0.25">
      <c r="B1781" s="82">
        <f>SUBTOTAL(103,$D$8:D1781)</f>
        <v>1774</v>
      </c>
      <c r="C1781" s="83" t="s">
        <v>1779</v>
      </c>
      <c r="D1781" s="84">
        <v>0</v>
      </c>
      <c r="E1781" s="85" t="str">
        <f t="shared" si="191"/>
        <v/>
      </c>
      <c r="F1781" s="106" t="str">
        <f t="shared" si="197"/>
        <v/>
      </c>
      <c r="G1781" s="86"/>
      <c r="H1781" s="107">
        <f t="shared" si="192"/>
        <v>0</v>
      </c>
      <c r="I1781" s="107">
        <f t="shared" si="193"/>
        <v>0</v>
      </c>
      <c r="J1781" s="87">
        <f>IF($D1781&gt;0,IFERROR(Параметры!$D$42*$H1781/$H$2408,0),0)</f>
        <v>0</v>
      </c>
      <c r="K1781" s="87">
        <f>IFERROR(ROUND($N1781*Параметры!$D$36,2),0)</f>
        <v>0</v>
      </c>
      <c r="L1781" s="87">
        <f t="shared" si="194"/>
        <v>0</v>
      </c>
      <c r="M1781" s="87">
        <f t="shared" si="195"/>
        <v>0</v>
      </c>
      <c r="N1781" s="107" t="str">
        <f t="shared" si="196"/>
        <v/>
      </c>
    </row>
    <row r="1782" spans="2:14" x14ac:dyDescent="0.25">
      <c r="B1782" s="82">
        <f>SUBTOTAL(103,$D$8:D1782)</f>
        <v>1775</v>
      </c>
      <c r="C1782" s="83" t="s">
        <v>1780</v>
      </c>
      <c r="D1782" s="84">
        <v>0</v>
      </c>
      <c r="E1782" s="85" t="str">
        <f t="shared" si="191"/>
        <v/>
      </c>
      <c r="F1782" s="106" t="str">
        <f t="shared" si="197"/>
        <v/>
      </c>
      <c r="G1782" s="86"/>
      <c r="H1782" s="107">
        <f t="shared" si="192"/>
        <v>0</v>
      </c>
      <c r="I1782" s="107">
        <f t="shared" si="193"/>
        <v>0</v>
      </c>
      <c r="J1782" s="87">
        <f>IF($D1782&gt;0,IFERROR(Параметры!$D$42*$H1782/$H$2408,0),0)</f>
        <v>0</v>
      </c>
      <c r="K1782" s="87">
        <f>IFERROR(ROUND($N1782*Параметры!$D$36,2),0)</f>
        <v>0</v>
      </c>
      <c r="L1782" s="87">
        <f t="shared" si="194"/>
        <v>0</v>
      </c>
      <c r="M1782" s="87">
        <f t="shared" si="195"/>
        <v>0</v>
      </c>
      <c r="N1782" s="107" t="str">
        <f t="shared" si="196"/>
        <v/>
      </c>
    </row>
    <row r="1783" spans="2:14" x14ac:dyDescent="0.25">
      <c r="B1783" s="82">
        <f>SUBTOTAL(103,$D$8:D1783)</f>
        <v>1776</v>
      </c>
      <c r="C1783" s="83" t="s">
        <v>1781</v>
      </c>
      <c r="D1783" s="84">
        <v>0</v>
      </c>
      <c r="E1783" s="85" t="str">
        <f t="shared" si="191"/>
        <v/>
      </c>
      <c r="F1783" s="106" t="str">
        <f t="shared" si="197"/>
        <v/>
      </c>
      <c r="G1783" s="86"/>
      <c r="H1783" s="107">
        <f t="shared" si="192"/>
        <v>0</v>
      </c>
      <c r="I1783" s="107">
        <f t="shared" si="193"/>
        <v>0</v>
      </c>
      <c r="J1783" s="87">
        <f>IF($D1783&gt;0,IFERROR(Параметры!$D$42*$H1783/$H$2408,0),0)</f>
        <v>0</v>
      </c>
      <c r="K1783" s="87">
        <f>IFERROR(ROUND($N1783*Параметры!$D$36,2),0)</f>
        <v>0</v>
      </c>
      <c r="L1783" s="87">
        <f t="shared" si="194"/>
        <v>0</v>
      </c>
      <c r="M1783" s="87">
        <f t="shared" si="195"/>
        <v>0</v>
      </c>
      <c r="N1783" s="107" t="str">
        <f t="shared" si="196"/>
        <v/>
      </c>
    </row>
    <row r="1784" spans="2:14" x14ac:dyDescent="0.25">
      <c r="B1784" s="82">
        <f>SUBTOTAL(103,$D$8:D1784)</f>
        <v>1777</v>
      </c>
      <c r="C1784" s="83" t="s">
        <v>1782</v>
      </c>
      <c r="D1784" s="84">
        <v>0</v>
      </c>
      <c r="E1784" s="85" t="str">
        <f t="shared" si="191"/>
        <v/>
      </c>
      <c r="F1784" s="106" t="str">
        <f t="shared" si="197"/>
        <v/>
      </c>
      <c r="G1784" s="86"/>
      <c r="H1784" s="107">
        <f t="shared" si="192"/>
        <v>0</v>
      </c>
      <c r="I1784" s="107">
        <f t="shared" si="193"/>
        <v>0</v>
      </c>
      <c r="J1784" s="87">
        <f>IF($D1784&gt;0,IFERROR(Параметры!$D$42*$H1784/$H$2408,0),0)</f>
        <v>0</v>
      </c>
      <c r="K1784" s="87">
        <f>IFERROR(ROUND($N1784*Параметры!$D$36,2),0)</f>
        <v>0</v>
      </c>
      <c r="L1784" s="87">
        <f t="shared" si="194"/>
        <v>0</v>
      </c>
      <c r="M1784" s="87">
        <f t="shared" si="195"/>
        <v>0</v>
      </c>
      <c r="N1784" s="107" t="str">
        <f t="shared" si="196"/>
        <v/>
      </c>
    </row>
    <row r="1785" spans="2:14" x14ac:dyDescent="0.25">
      <c r="B1785" s="82">
        <f>SUBTOTAL(103,$D$8:D1785)</f>
        <v>1778</v>
      </c>
      <c r="C1785" s="83" t="s">
        <v>1783</v>
      </c>
      <c r="D1785" s="84">
        <v>0</v>
      </c>
      <c r="E1785" s="85" t="str">
        <f t="shared" si="191"/>
        <v/>
      </c>
      <c r="F1785" s="106" t="str">
        <f t="shared" si="197"/>
        <v/>
      </c>
      <c r="G1785" s="86"/>
      <c r="H1785" s="107">
        <f t="shared" si="192"/>
        <v>0</v>
      </c>
      <c r="I1785" s="107">
        <f t="shared" si="193"/>
        <v>0</v>
      </c>
      <c r="J1785" s="87">
        <f>IF($D1785&gt;0,IFERROR(Параметры!$D$42*$H1785/$H$2408,0),0)</f>
        <v>0</v>
      </c>
      <c r="K1785" s="87">
        <f>IFERROR(ROUND($N1785*Параметры!$D$36,2),0)</f>
        <v>0</v>
      </c>
      <c r="L1785" s="87">
        <f t="shared" si="194"/>
        <v>0</v>
      </c>
      <c r="M1785" s="87">
        <f t="shared" si="195"/>
        <v>0</v>
      </c>
      <c r="N1785" s="107" t="str">
        <f t="shared" si="196"/>
        <v/>
      </c>
    </row>
    <row r="1786" spans="2:14" x14ac:dyDescent="0.25">
      <c r="B1786" s="82">
        <f>SUBTOTAL(103,$D$8:D1786)</f>
        <v>1779</v>
      </c>
      <c r="C1786" s="83" t="s">
        <v>1784</v>
      </c>
      <c r="D1786" s="84">
        <v>0</v>
      </c>
      <c r="E1786" s="85" t="str">
        <f t="shared" si="191"/>
        <v/>
      </c>
      <c r="F1786" s="106" t="str">
        <f t="shared" si="197"/>
        <v/>
      </c>
      <c r="G1786" s="86"/>
      <c r="H1786" s="107">
        <f t="shared" si="192"/>
        <v>0</v>
      </c>
      <c r="I1786" s="107">
        <f t="shared" si="193"/>
        <v>0</v>
      </c>
      <c r="J1786" s="87">
        <f>IF($D1786&gt;0,IFERROR(Параметры!$D$42*$H1786/$H$2408,0),0)</f>
        <v>0</v>
      </c>
      <c r="K1786" s="87">
        <f>IFERROR(ROUND($N1786*Параметры!$D$36,2),0)</f>
        <v>0</v>
      </c>
      <c r="L1786" s="87">
        <f t="shared" si="194"/>
        <v>0</v>
      </c>
      <c r="M1786" s="87">
        <f t="shared" si="195"/>
        <v>0</v>
      </c>
      <c r="N1786" s="107" t="str">
        <f t="shared" si="196"/>
        <v/>
      </c>
    </row>
    <row r="1787" spans="2:14" x14ac:dyDescent="0.25">
      <c r="B1787" s="82">
        <f>SUBTOTAL(103,$D$8:D1787)</f>
        <v>1780</v>
      </c>
      <c r="C1787" s="83" t="s">
        <v>1785</v>
      </c>
      <c r="D1787" s="84">
        <v>0</v>
      </c>
      <c r="E1787" s="85" t="str">
        <f t="shared" si="191"/>
        <v/>
      </c>
      <c r="F1787" s="106" t="str">
        <f t="shared" si="197"/>
        <v/>
      </c>
      <c r="G1787" s="86"/>
      <c r="H1787" s="107">
        <f t="shared" si="192"/>
        <v>0</v>
      </c>
      <c r="I1787" s="107">
        <f t="shared" si="193"/>
        <v>0</v>
      </c>
      <c r="J1787" s="87">
        <f>IF($D1787&gt;0,IFERROR(Параметры!$D$42*$H1787/$H$2408,0),0)</f>
        <v>0</v>
      </c>
      <c r="K1787" s="87">
        <f>IFERROR(ROUND($N1787*Параметры!$D$36,2),0)</f>
        <v>0</v>
      </c>
      <c r="L1787" s="87">
        <f t="shared" si="194"/>
        <v>0</v>
      </c>
      <c r="M1787" s="87">
        <f t="shared" si="195"/>
        <v>0</v>
      </c>
      <c r="N1787" s="107" t="str">
        <f t="shared" si="196"/>
        <v/>
      </c>
    </row>
    <row r="1788" spans="2:14" x14ac:dyDescent="0.25">
      <c r="B1788" s="82">
        <f>SUBTOTAL(103,$D$8:D1788)</f>
        <v>1781</v>
      </c>
      <c r="C1788" s="83" t="s">
        <v>1786</v>
      </c>
      <c r="D1788" s="84">
        <v>0</v>
      </c>
      <c r="E1788" s="85" t="str">
        <f t="shared" si="191"/>
        <v/>
      </c>
      <c r="F1788" s="106" t="str">
        <f t="shared" si="197"/>
        <v/>
      </c>
      <c r="G1788" s="86"/>
      <c r="H1788" s="107">
        <f t="shared" si="192"/>
        <v>0</v>
      </c>
      <c r="I1788" s="107">
        <f t="shared" si="193"/>
        <v>0</v>
      </c>
      <c r="J1788" s="87">
        <f>IF($D1788&gt;0,IFERROR(Параметры!$D$42*$H1788/$H$2408,0),0)</f>
        <v>0</v>
      </c>
      <c r="K1788" s="87">
        <f>IFERROR(ROUND($N1788*Параметры!$D$36,2),0)</f>
        <v>0</v>
      </c>
      <c r="L1788" s="87">
        <f t="shared" si="194"/>
        <v>0</v>
      </c>
      <c r="M1788" s="87">
        <f t="shared" si="195"/>
        <v>0</v>
      </c>
      <c r="N1788" s="107" t="str">
        <f t="shared" si="196"/>
        <v/>
      </c>
    </row>
    <row r="1789" spans="2:14" x14ac:dyDescent="0.25">
      <c r="B1789" s="82">
        <f>SUBTOTAL(103,$D$8:D1789)</f>
        <v>1782</v>
      </c>
      <c r="C1789" s="83" t="s">
        <v>1787</v>
      </c>
      <c r="D1789" s="84">
        <v>0</v>
      </c>
      <c r="E1789" s="85" t="str">
        <f t="shared" si="191"/>
        <v/>
      </c>
      <c r="F1789" s="106" t="str">
        <f t="shared" si="197"/>
        <v/>
      </c>
      <c r="G1789" s="86"/>
      <c r="H1789" s="107">
        <f t="shared" si="192"/>
        <v>0</v>
      </c>
      <c r="I1789" s="107">
        <f t="shared" si="193"/>
        <v>0</v>
      </c>
      <c r="J1789" s="87">
        <f>IF($D1789&gt;0,IFERROR(Параметры!$D$42*$H1789/$H$2408,0),0)</f>
        <v>0</v>
      </c>
      <c r="K1789" s="87">
        <f>IFERROR(ROUND($N1789*Параметры!$D$36,2),0)</f>
        <v>0</v>
      </c>
      <c r="L1789" s="87">
        <f t="shared" si="194"/>
        <v>0</v>
      </c>
      <c r="M1789" s="87">
        <f t="shared" si="195"/>
        <v>0</v>
      </c>
      <c r="N1789" s="107" t="str">
        <f t="shared" si="196"/>
        <v/>
      </c>
    </row>
    <row r="1790" spans="2:14" x14ac:dyDescent="0.25">
      <c r="B1790" s="82">
        <f>SUBTOTAL(103,$D$8:D1790)</f>
        <v>1783</v>
      </c>
      <c r="C1790" s="83" t="s">
        <v>1788</v>
      </c>
      <c r="D1790" s="84">
        <v>0</v>
      </c>
      <c r="E1790" s="85" t="str">
        <f t="shared" si="191"/>
        <v/>
      </c>
      <c r="F1790" s="106" t="str">
        <f t="shared" si="197"/>
        <v/>
      </c>
      <c r="G1790" s="86"/>
      <c r="H1790" s="107">
        <f t="shared" si="192"/>
        <v>0</v>
      </c>
      <c r="I1790" s="107">
        <f t="shared" si="193"/>
        <v>0</v>
      </c>
      <c r="J1790" s="87">
        <f>IF($D1790&gt;0,IFERROR(Параметры!$D$42*$H1790/$H$2408,0),0)</f>
        <v>0</v>
      </c>
      <c r="K1790" s="87">
        <f>IFERROR(ROUND($N1790*Параметры!$D$36,2),0)</f>
        <v>0</v>
      </c>
      <c r="L1790" s="87">
        <f t="shared" si="194"/>
        <v>0</v>
      </c>
      <c r="M1790" s="87">
        <f t="shared" si="195"/>
        <v>0</v>
      </c>
      <c r="N1790" s="107" t="str">
        <f t="shared" si="196"/>
        <v/>
      </c>
    </row>
    <row r="1791" spans="2:14" x14ac:dyDescent="0.25">
      <c r="B1791" s="82">
        <f>SUBTOTAL(103,$D$8:D1791)</f>
        <v>1784</v>
      </c>
      <c r="C1791" s="83" t="s">
        <v>1789</v>
      </c>
      <c r="D1791" s="84">
        <v>0</v>
      </c>
      <c r="E1791" s="85" t="str">
        <f t="shared" si="191"/>
        <v/>
      </c>
      <c r="F1791" s="106" t="str">
        <f t="shared" si="197"/>
        <v/>
      </c>
      <c r="G1791" s="86"/>
      <c r="H1791" s="107">
        <f t="shared" si="192"/>
        <v>0</v>
      </c>
      <c r="I1791" s="107">
        <f t="shared" si="193"/>
        <v>0</v>
      </c>
      <c r="J1791" s="87">
        <f>IF($D1791&gt;0,IFERROR(Параметры!$D$42*$H1791/$H$2408,0),0)</f>
        <v>0</v>
      </c>
      <c r="K1791" s="87">
        <f>IFERROR(ROUND($N1791*Параметры!$D$36,2),0)</f>
        <v>0</v>
      </c>
      <c r="L1791" s="87">
        <f t="shared" si="194"/>
        <v>0</v>
      </c>
      <c r="M1791" s="87">
        <f t="shared" si="195"/>
        <v>0</v>
      </c>
      <c r="N1791" s="107" t="str">
        <f t="shared" si="196"/>
        <v/>
      </c>
    </row>
    <row r="1792" spans="2:14" x14ac:dyDescent="0.25">
      <c r="B1792" s="82">
        <f>SUBTOTAL(103,$D$8:D1792)</f>
        <v>1785</v>
      </c>
      <c r="C1792" s="83" t="s">
        <v>1790</v>
      </c>
      <c r="D1792" s="84">
        <v>0</v>
      </c>
      <c r="E1792" s="85" t="str">
        <f t="shared" si="191"/>
        <v/>
      </c>
      <c r="F1792" s="106" t="str">
        <f t="shared" si="197"/>
        <v/>
      </c>
      <c r="G1792" s="86"/>
      <c r="H1792" s="107">
        <f t="shared" si="192"/>
        <v>0</v>
      </c>
      <c r="I1792" s="107">
        <f t="shared" si="193"/>
        <v>0</v>
      </c>
      <c r="J1792" s="87">
        <f>IF($D1792&gt;0,IFERROR(Параметры!$D$42*$H1792/$H$2408,0),0)</f>
        <v>0</v>
      </c>
      <c r="K1792" s="87">
        <f>IFERROR(ROUND($N1792*Параметры!$D$36,2),0)</f>
        <v>0</v>
      </c>
      <c r="L1792" s="87">
        <f t="shared" si="194"/>
        <v>0</v>
      </c>
      <c r="M1792" s="87">
        <f t="shared" si="195"/>
        <v>0</v>
      </c>
      <c r="N1792" s="107" t="str">
        <f t="shared" si="196"/>
        <v/>
      </c>
    </row>
    <row r="1793" spans="2:14" x14ac:dyDescent="0.25">
      <c r="B1793" s="82">
        <f>SUBTOTAL(103,$D$8:D1793)</f>
        <v>1786</v>
      </c>
      <c r="C1793" s="83" t="s">
        <v>1791</v>
      </c>
      <c r="D1793" s="84">
        <v>0</v>
      </c>
      <c r="E1793" s="85" t="str">
        <f t="shared" si="191"/>
        <v/>
      </c>
      <c r="F1793" s="106" t="str">
        <f t="shared" si="197"/>
        <v/>
      </c>
      <c r="G1793" s="86"/>
      <c r="H1793" s="107">
        <f t="shared" si="192"/>
        <v>0</v>
      </c>
      <c r="I1793" s="107">
        <f t="shared" si="193"/>
        <v>0</v>
      </c>
      <c r="J1793" s="87">
        <f>IF($D1793&gt;0,IFERROR(Параметры!$D$42*$H1793/$H$2408,0),0)</f>
        <v>0</v>
      </c>
      <c r="K1793" s="87">
        <f>IFERROR(ROUND($N1793*Параметры!$D$36,2),0)</f>
        <v>0</v>
      </c>
      <c r="L1793" s="87">
        <f t="shared" si="194"/>
        <v>0</v>
      </c>
      <c r="M1793" s="87">
        <f t="shared" si="195"/>
        <v>0</v>
      </c>
      <c r="N1793" s="107" t="str">
        <f t="shared" si="196"/>
        <v/>
      </c>
    </row>
    <row r="1794" spans="2:14" x14ac:dyDescent="0.25">
      <c r="B1794" s="82">
        <f>SUBTOTAL(103,$D$8:D1794)</f>
        <v>1787</v>
      </c>
      <c r="C1794" s="83" t="s">
        <v>1792</v>
      </c>
      <c r="D1794" s="84">
        <v>0</v>
      </c>
      <c r="E1794" s="85" t="str">
        <f t="shared" si="191"/>
        <v/>
      </c>
      <c r="F1794" s="106" t="str">
        <f t="shared" si="197"/>
        <v/>
      </c>
      <c r="G1794" s="86"/>
      <c r="H1794" s="107">
        <f t="shared" si="192"/>
        <v>0</v>
      </c>
      <c r="I1794" s="107">
        <f t="shared" si="193"/>
        <v>0</v>
      </c>
      <c r="J1794" s="87">
        <f>IF($D1794&gt;0,IFERROR(Параметры!$D$42*$H1794/$H$2408,0),0)</f>
        <v>0</v>
      </c>
      <c r="K1794" s="87">
        <f>IFERROR(ROUND($N1794*Параметры!$D$36,2),0)</f>
        <v>0</v>
      </c>
      <c r="L1794" s="87">
        <f t="shared" si="194"/>
        <v>0</v>
      </c>
      <c r="M1794" s="87">
        <f t="shared" si="195"/>
        <v>0</v>
      </c>
      <c r="N1794" s="107" t="str">
        <f t="shared" si="196"/>
        <v/>
      </c>
    </row>
    <row r="1795" spans="2:14" x14ac:dyDescent="0.25">
      <c r="B1795" s="82">
        <f>SUBTOTAL(103,$D$8:D1795)</f>
        <v>1788</v>
      </c>
      <c r="C1795" s="83" t="s">
        <v>1793</v>
      </c>
      <c r="D1795" s="84">
        <v>0</v>
      </c>
      <c r="E1795" s="85" t="str">
        <f t="shared" si="191"/>
        <v/>
      </c>
      <c r="F1795" s="106" t="str">
        <f t="shared" si="197"/>
        <v/>
      </c>
      <c r="G1795" s="86"/>
      <c r="H1795" s="107">
        <f t="shared" si="192"/>
        <v>0</v>
      </c>
      <c r="I1795" s="107">
        <f t="shared" si="193"/>
        <v>0</v>
      </c>
      <c r="J1795" s="87">
        <f>IF($D1795&gt;0,IFERROR(Параметры!$D$42*$H1795/$H$2408,0),0)</f>
        <v>0</v>
      </c>
      <c r="K1795" s="87">
        <f>IFERROR(ROUND($N1795*Параметры!$D$36,2),0)</f>
        <v>0</v>
      </c>
      <c r="L1795" s="87">
        <f t="shared" si="194"/>
        <v>0</v>
      </c>
      <c r="M1795" s="87">
        <f t="shared" si="195"/>
        <v>0</v>
      </c>
      <c r="N1795" s="107" t="str">
        <f t="shared" si="196"/>
        <v/>
      </c>
    </row>
    <row r="1796" spans="2:14" x14ac:dyDescent="0.25">
      <c r="B1796" s="82">
        <f>SUBTOTAL(103,$D$8:D1796)</f>
        <v>1789</v>
      </c>
      <c r="C1796" s="83" t="s">
        <v>1794</v>
      </c>
      <c r="D1796" s="84">
        <v>0</v>
      </c>
      <c r="E1796" s="85" t="str">
        <f t="shared" si="191"/>
        <v/>
      </c>
      <c r="F1796" s="106" t="str">
        <f t="shared" si="197"/>
        <v/>
      </c>
      <c r="G1796" s="86"/>
      <c r="H1796" s="107">
        <f t="shared" si="192"/>
        <v>0</v>
      </c>
      <c r="I1796" s="107">
        <f t="shared" si="193"/>
        <v>0</v>
      </c>
      <c r="J1796" s="87">
        <f>IF($D1796&gt;0,IFERROR(Параметры!$D$42*$H1796/$H$2408,0),0)</f>
        <v>0</v>
      </c>
      <c r="K1796" s="87">
        <f>IFERROR(ROUND($N1796*Параметры!$D$36,2),0)</f>
        <v>0</v>
      </c>
      <c r="L1796" s="87">
        <f t="shared" si="194"/>
        <v>0</v>
      </c>
      <c r="M1796" s="87">
        <f t="shared" si="195"/>
        <v>0</v>
      </c>
      <c r="N1796" s="107" t="str">
        <f t="shared" si="196"/>
        <v/>
      </c>
    </row>
    <row r="1797" spans="2:14" x14ac:dyDescent="0.25">
      <c r="B1797" s="82">
        <f>SUBTOTAL(103,$D$8:D1797)</f>
        <v>1790</v>
      </c>
      <c r="C1797" s="83" t="s">
        <v>1795</v>
      </c>
      <c r="D1797" s="84">
        <v>0</v>
      </c>
      <c r="E1797" s="85" t="str">
        <f t="shared" si="191"/>
        <v/>
      </c>
      <c r="F1797" s="106" t="str">
        <f t="shared" si="197"/>
        <v/>
      </c>
      <c r="G1797" s="86"/>
      <c r="H1797" s="107">
        <f t="shared" si="192"/>
        <v>0</v>
      </c>
      <c r="I1797" s="107">
        <f t="shared" si="193"/>
        <v>0</v>
      </c>
      <c r="J1797" s="87">
        <f>IF($D1797&gt;0,IFERROR(Параметры!$D$42*$H1797/$H$2408,0),0)</f>
        <v>0</v>
      </c>
      <c r="K1797" s="87">
        <f>IFERROR(ROUND($N1797*Параметры!$D$36,2),0)</f>
        <v>0</v>
      </c>
      <c r="L1797" s="87">
        <f t="shared" si="194"/>
        <v>0</v>
      </c>
      <c r="M1797" s="87">
        <f t="shared" si="195"/>
        <v>0</v>
      </c>
      <c r="N1797" s="107" t="str">
        <f t="shared" si="196"/>
        <v/>
      </c>
    </row>
    <row r="1798" spans="2:14" x14ac:dyDescent="0.25">
      <c r="B1798" s="82">
        <f>SUBTOTAL(103,$D$8:D1798)</f>
        <v>1791</v>
      </c>
      <c r="C1798" s="83" t="s">
        <v>1796</v>
      </c>
      <c r="D1798" s="84">
        <v>0</v>
      </c>
      <c r="E1798" s="85" t="str">
        <f t="shared" si="191"/>
        <v/>
      </c>
      <c r="F1798" s="106" t="str">
        <f t="shared" si="197"/>
        <v/>
      </c>
      <c r="G1798" s="86"/>
      <c r="H1798" s="107">
        <f t="shared" si="192"/>
        <v>0</v>
      </c>
      <c r="I1798" s="107">
        <f t="shared" si="193"/>
        <v>0</v>
      </c>
      <c r="J1798" s="87">
        <f>IF($D1798&gt;0,IFERROR(Параметры!$D$42*$H1798/$H$2408,0),0)</f>
        <v>0</v>
      </c>
      <c r="K1798" s="87">
        <f>IFERROR(ROUND($N1798*Параметры!$D$36,2),0)</f>
        <v>0</v>
      </c>
      <c r="L1798" s="87">
        <f t="shared" si="194"/>
        <v>0</v>
      </c>
      <c r="M1798" s="87">
        <f t="shared" si="195"/>
        <v>0</v>
      </c>
      <c r="N1798" s="107" t="str">
        <f t="shared" si="196"/>
        <v/>
      </c>
    </row>
    <row r="1799" spans="2:14" x14ac:dyDescent="0.25">
      <c r="B1799" s="82">
        <f>SUBTOTAL(103,$D$8:D1799)</f>
        <v>1792</v>
      </c>
      <c r="C1799" s="83" t="s">
        <v>1797</v>
      </c>
      <c r="D1799" s="84">
        <v>0</v>
      </c>
      <c r="E1799" s="85" t="str">
        <f t="shared" si="191"/>
        <v/>
      </c>
      <c r="F1799" s="106" t="str">
        <f t="shared" si="197"/>
        <v/>
      </c>
      <c r="G1799" s="86"/>
      <c r="H1799" s="107">
        <f t="shared" si="192"/>
        <v>0</v>
      </c>
      <c r="I1799" s="107">
        <f t="shared" si="193"/>
        <v>0</v>
      </c>
      <c r="J1799" s="87">
        <f>IF($D1799&gt;0,IFERROR(Параметры!$D$42*$H1799/$H$2408,0),0)</f>
        <v>0</v>
      </c>
      <c r="K1799" s="87">
        <f>IFERROR(ROUND($N1799*Параметры!$D$36,2),0)</f>
        <v>0</v>
      </c>
      <c r="L1799" s="87">
        <f t="shared" si="194"/>
        <v>0</v>
      </c>
      <c r="M1799" s="87">
        <f t="shared" si="195"/>
        <v>0</v>
      </c>
      <c r="N1799" s="107" t="str">
        <f t="shared" si="196"/>
        <v/>
      </c>
    </row>
    <row r="1800" spans="2:14" x14ac:dyDescent="0.25">
      <c r="B1800" s="82">
        <f>SUBTOTAL(103,$D$8:D1800)</f>
        <v>1793</v>
      </c>
      <c r="C1800" s="83" t="s">
        <v>1798</v>
      </c>
      <c r="D1800" s="84">
        <v>0</v>
      </c>
      <c r="E1800" s="85" t="str">
        <f t="shared" ref="E1800:E1863" si="198">IF($D1800&lt;1,"",$K1800+$L1800)</f>
        <v/>
      </c>
      <c r="F1800" s="106" t="str">
        <f t="shared" si="197"/>
        <v/>
      </c>
      <c r="G1800" s="86"/>
      <c r="H1800" s="107">
        <f t="shared" ref="H1800:H1863" si="199">IF($D1800&gt;0,$D1800*КИС,0)</f>
        <v>0</v>
      </c>
      <c r="I1800" s="107">
        <f t="shared" ref="I1800:I1863" si="200">IF($D1800&gt;0,$D1800-$H1800,0)</f>
        <v>0</v>
      </c>
      <c r="J1800" s="87">
        <f>IF($D1800&gt;0,IFERROR(Параметры!$D$42*$H1800/$H$2408,0),0)</f>
        <v>0</v>
      </c>
      <c r="K1800" s="87">
        <f>IFERROR(ROUND($N1800*Параметры!$D$36,2),0)</f>
        <v>0</v>
      </c>
      <c r="L1800" s="87">
        <f t="shared" ref="L1800:L1863" si="201">IF($K1800&gt;0,$K1800*0.055,0)</f>
        <v>0</v>
      </c>
      <c r="M1800" s="87">
        <f t="shared" ref="M1800:M1863" si="202">IFERROR($L1800/Плотность_ДТ,0)</f>
        <v>0</v>
      </c>
      <c r="N1800" s="107" t="str">
        <f t="shared" ref="N1800:N1863" si="203">IF($D1800&gt;0,MAX(0,$D1800-IF($F1800="",0,$F1800)),"")</f>
        <v/>
      </c>
    </row>
    <row r="1801" spans="2:14" x14ac:dyDescent="0.25">
      <c r="B1801" s="82">
        <f>SUBTOTAL(103,$D$8:D1801)</f>
        <v>1794</v>
      </c>
      <c r="C1801" s="83" t="s">
        <v>1799</v>
      </c>
      <c r="D1801" s="84">
        <v>0</v>
      </c>
      <c r="E1801" s="85" t="str">
        <f t="shared" si="198"/>
        <v/>
      </c>
      <c r="F1801" s="106" t="str">
        <f t="shared" si="197"/>
        <v/>
      </c>
      <c r="G1801" s="86"/>
      <c r="H1801" s="107">
        <f t="shared" si="199"/>
        <v>0</v>
      </c>
      <c r="I1801" s="107">
        <f t="shared" si="200"/>
        <v>0</v>
      </c>
      <c r="J1801" s="87">
        <f>IF($D1801&gt;0,IFERROR(Параметры!$D$42*$H1801/$H$2408,0),0)</f>
        <v>0</v>
      </c>
      <c r="K1801" s="87">
        <f>IFERROR(ROUND($N1801*Параметры!$D$36,2),0)</f>
        <v>0</v>
      </c>
      <c r="L1801" s="87">
        <f t="shared" si="201"/>
        <v>0</v>
      </c>
      <c r="M1801" s="87">
        <f t="shared" si="202"/>
        <v>0</v>
      </c>
      <c r="N1801" s="107" t="str">
        <f t="shared" si="203"/>
        <v/>
      </c>
    </row>
    <row r="1802" spans="2:14" x14ac:dyDescent="0.25">
      <c r="B1802" s="82">
        <f>SUBTOTAL(103,$D$8:D1802)</f>
        <v>1795</v>
      </c>
      <c r="C1802" s="83" t="s">
        <v>1800</v>
      </c>
      <c r="D1802" s="84">
        <v>0</v>
      </c>
      <c r="E1802" s="85" t="str">
        <f t="shared" si="198"/>
        <v/>
      </c>
      <c r="F1802" s="106" t="str">
        <f t="shared" si="197"/>
        <v/>
      </c>
      <c r="G1802" s="86"/>
      <c r="H1802" s="107">
        <f t="shared" si="199"/>
        <v>0</v>
      </c>
      <c r="I1802" s="107">
        <f t="shared" si="200"/>
        <v>0</v>
      </c>
      <c r="J1802" s="87">
        <f>IF($D1802&gt;0,IFERROR(Параметры!$D$42*$H1802/$H$2408,0),0)</f>
        <v>0</v>
      </c>
      <c r="K1802" s="87">
        <f>IFERROR(ROUND($N1802*Параметры!$D$36,2),0)</f>
        <v>0</v>
      </c>
      <c r="L1802" s="87">
        <f t="shared" si="201"/>
        <v>0</v>
      </c>
      <c r="M1802" s="87">
        <f t="shared" si="202"/>
        <v>0</v>
      </c>
      <c r="N1802" s="107" t="str">
        <f t="shared" si="203"/>
        <v/>
      </c>
    </row>
    <row r="1803" spans="2:14" x14ac:dyDescent="0.25">
      <c r="B1803" s="82">
        <f>SUBTOTAL(103,$D$8:D1803)</f>
        <v>1796</v>
      </c>
      <c r="C1803" s="83" t="s">
        <v>1801</v>
      </c>
      <c r="D1803" s="84">
        <v>0</v>
      </c>
      <c r="E1803" s="85" t="str">
        <f t="shared" si="198"/>
        <v/>
      </c>
      <c r="F1803" s="106" t="str">
        <f t="shared" ref="F1803:F1866" si="204">IF(D1803&gt;0,2,"")</f>
        <v/>
      </c>
      <c r="G1803" s="86"/>
      <c r="H1803" s="107">
        <f t="shared" si="199"/>
        <v>0</v>
      </c>
      <c r="I1803" s="107">
        <f t="shared" si="200"/>
        <v>0</v>
      </c>
      <c r="J1803" s="87">
        <f>IF($D1803&gt;0,IFERROR(Параметры!$D$42*$H1803/$H$2408,0),0)</f>
        <v>0</v>
      </c>
      <c r="K1803" s="87">
        <f>IFERROR(ROUND($N1803*Параметры!$D$36,2),0)</f>
        <v>0</v>
      </c>
      <c r="L1803" s="87">
        <f t="shared" si="201"/>
        <v>0</v>
      </c>
      <c r="M1803" s="87">
        <f t="shared" si="202"/>
        <v>0</v>
      </c>
      <c r="N1803" s="107" t="str">
        <f t="shared" si="203"/>
        <v/>
      </c>
    </row>
    <row r="1804" spans="2:14" x14ac:dyDescent="0.25">
      <c r="B1804" s="82">
        <f>SUBTOTAL(103,$D$8:D1804)</f>
        <v>1797</v>
      </c>
      <c r="C1804" s="83" t="s">
        <v>1802</v>
      </c>
      <c r="D1804" s="84">
        <v>0</v>
      </c>
      <c r="E1804" s="85" t="str">
        <f t="shared" si="198"/>
        <v/>
      </c>
      <c r="F1804" s="106" t="str">
        <f t="shared" si="204"/>
        <v/>
      </c>
      <c r="G1804" s="86"/>
      <c r="H1804" s="107">
        <f t="shared" si="199"/>
        <v>0</v>
      </c>
      <c r="I1804" s="107">
        <f t="shared" si="200"/>
        <v>0</v>
      </c>
      <c r="J1804" s="87">
        <f>IF($D1804&gt;0,IFERROR(Параметры!$D$42*$H1804/$H$2408,0),0)</f>
        <v>0</v>
      </c>
      <c r="K1804" s="87">
        <f>IFERROR(ROUND($N1804*Параметры!$D$36,2),0)</f>
        <v>0</v>
      </c>
      <c r="L1804" s="87">
        <f t="shared" si="201"/>
        <v>0</v>
      </c>
      <c r="M1804" s="87">
        <f t="shared" si="202"/>
        <v>0</v>
      </c>
      <c r="N1804" s="107" t="str">
        <f t="shared" si="203"/>
        <v/>
      </c>
    </row>
    <row r="1805" spans="2:14" x14ac:dyDescent="0.25">
      <c r="B1805" s="82">
        <f>SUBTOTAL(103,$D$8:D1805)</f>
        <v>1798</v>
      </c>
      <c r="C1805" s="83" t="s">
        <v>1803</v>
      </c>
      <c r="D1805" s="84">
        <v>0</v>
      </c>
      <c r="E1805" s="85" t="str">
        <f t="shared" si="198"/>
        <v/>
      </c>
      <c r="F1805" s="106" t="str">
        <f t="shared" si="204"/>
        <v/>
      </c>
      <c r="G1805" s="86"/>
      <c r="H1805" s="107">
        <f t="shared" si="199"/>
        <v>0</v>
      </c>
      <c r="I1805" s="107">
        <f t="shared" si="200"/>
        <v>0</v>
      </c>
      <c r="J1805" s="87">
        <f>IF($D1805&gt;0,IFERROR(Параметры!$D$42*$H1805/$H$2408,0),0)</f>
        <v>0</v>
      </c>
      <c r="K1805" s="87">
        <f>IFERROR(ROUND($N1805*Параметры!$D$36,2),0)</f>
        <v>0</v>
      </c>
      <c r="L1805" s="87">
        <f t="shared" si="201"/>
        <v>0</v>
      </c>
      <c r="M1805" s="87">
        <f t="shared" si="202"/>
        <v>0</v>
      </c>
      <c r="N1805" s="107" t="str">
        <f t="shared" si="203"/>
        <v/>
      </c>
    </row>
    <row r="1806" spans="2:14" x14ac:dyDescent="0.25">
      <c r="B1806" s="82">
        <f>SUBTOTAL(103,$D$8:D1806)</f>
        <v>1799</v>
      </c>
      <c r="C1806" s="83" t="s">
        <v>1804</v>
      </c>
      <c r="D1806" s="84">
        <v>0</v>
      </c>
      <c r="E1806" s="85" t="str">
        <f t="shared" si="198"/>
        <v/>
      </c>
      <c r="F1806" s="106" t="str">
        <f t="shared" si="204"/>
        <v/>
      </c>
      <c r="G1806" s="86"/>
      <c r="H1806" s="107">
        <f t="shared" si="199"/>
        <v>0</v>
      </c>
      <c r="I1806" s="107">
        <f t="shared" si="200"/>
        <v>0</v>
      </c>
      <c r="J1806" s="87">
        <f>IF($D1806&gt;0,IFERROR(Параметры!$D$42*$H1806/$H$2408,0),0)</f>
        <v>0</v>
      </c>
      <c r="K1806" s="87">
        <f>IFERROR(ROUND($N1806*Параметры!$D$36,2),0)</f>
        <v>0</v>
      </c>
      <c r="L1806" s="87">
        <f t="shared" si="201"/>
        <v>0</v>
      </c>
      <c r="M1806" s="87">
        <f t="shared" si="202"/>
        <v>0</v>
      </c>
      <c r="N1806" s="107" t="str">
        <f t="shared" si="203"/>
        <v/>
      </c>
    </row>
    <row r="1807" spans="2:14" x14ac:dyDescent="0.25">
      <c r="B1807" s="82">
        <f>SUBTOTAL(103,$D$8:D1807)</f>
        <v>1800</v>
      </c>
      <c r="C1807" s="83" t="s">
        <v>1805</v>
      </c>
      <c r="D1807" s="84">
        <v>0</v>
      </c>
      <c r="E1807" s="85" t="str">
        <f t="shared" si="198"/>
        <v/>
      </c>
      <c r="F1807" s="106" t="str">
        <f t="shared" si="204"/>
        <v/>
      </c>
      <c r="G1807" s="86"/>
      <c r="H1807" s="107">
        <f t="shared" si="199"/>
        <v>0</v>
      </c>
      <c r="I1807" s="107">
        <f t="shared" si="200"/>
        <v>0</v>
      </c>
      <c r="J1807" s="87">
        <f>IF($D1807&gt;0,IFERROR(Параметры!$D$42*$H1807/$H$2408,0),0)</f>
        <v>0</v>
      </c>
      <c r="K1807" s="87">
        <f>IFERROR(ROUND($N1807*Параметры!$D$36,2),0)</f>
        <v>0</v>
      </c>
      <c r="L1807" s="87">
        <f t="shared" si="201"/>
        <v>0</v>
      </c>
      <c r="M1807" s="87">
        <f t="shared" si="202"/>
        <v>0</v>
      </c>
      <c r="N1807" s="107" t="str">
        <f t="shared" si="203"/>
        <v/>
      </c>
    </row>
    <row r="1808" spans="2:14" x14ac:dyDescent="0.25">
      <c r="B1808" s="82">
        <f>SUBTOTAL(103,$D$8:D1808)</f>
        <v>1801</v>
      </c>
      <c r="C1808" s="83" t="s">
        <v>1806</v>
      </c>
      <c r="D1808" s="84">
        <f t="array" ref="D1808:D1867">TRANSPOSE('Зарядная карта'!$C$35:$BJ$35)</f>
        <v>0</v>
      </c>
      <c r="E1808" s="85" t="str">
        <f t="shared" si="198"/>
        <v/>
      </c>
      <c r="F1808" s="106" t="str">
        <f t="shared" si="204"/>
        <v/>
      </c>
      <c r="G1808" s="86"/>
      <c r="H1808" s="107">
        <f t="shared" si="199"/>
        <v>0</v>
      </c>
      <c r="I1808" s="107">
        <f t="shared" si="200"/>
        <v>0</v>
      </c>
      <c r="J1808" s="87">
        <f>IF($D1808&gt;0,IFERROR(Параметры!$D$42*$H1808/$H$2408,0),0)</f>
        <v>0</v>
      </c>
      <c r="K1808" s="87">
        <f>IFERROR(ROUND($N1808*Параметры!$D$36,2),0)</f>
        <v>0</v>
      </c>
      <c r="L1808" s="87">
        <f t="shared" si="201"/>
        <v>0</v>
      </c>
      <c r="M1808" s="87">
        <f t="shared" si="202"/>
        <v>0</v>
      </c>
      <c r="N1808" s="107" t="str">
        <f t="shared" si="203"/>
        <v/>
      </c>
    </row>
    <row r="1809" spans="2:14" x14ac:dyDescent="0.25">
      <c r="B1809" s="82">
        <f>SUBTOTAL(103,$D$8:D1809)</f>
        <v>1802</v>
      </c>
      <c r="C1809" s="83" t="s">
        <v>1807</v>
      </c>
      <c r="D1809" s="84">
        <v>0</v>
      </c>
      <c r="E1809" s="85" t="str">
        <f t="shared" si="198"/>
        <v/>
      </c>
      <c r="F1809" s="106" t="str">
        <f t="shared" si="204"/>
        <v/>
      </c>
      <c r="G1809" s="86"/>
      <c r="H1809" s="107">
        <f t="shared" si="199"/>
        <v>0</v>
      </c>
      <c r="I1809" s="107">
        <f t="shared" si="200"/>
        <v>0</v>
      </c>
      <c r="J1809" s="87">
        <f>IF($D1809&gt;0,IFERROR(Параметры!$D$42*$H1809/$H$2408,0),0)</f>
        <v>0</v>
      </c>
      <c r="K1809" s="87">
        <f>IFERROR(ROUND($N1809*Параметры!$D$36,2),0)</f>
        <v>0</v>
      </c>
      <c r="L1809" s="87">
        <f t="shared" si="201"/>
        <v>0</v>
      </c>
      <c r="M1809" s="87">
        <f t="shared" si="202"/>
        <v>0</v>
      </c>
      <c r="N1809" s="107" t="str">
        <f t="shared" si="203"/>
        <v/>
      </c>
    </row>
    <row r="1810" spans="2:14" x14ac:dyDescent="0.25">
      <c r="B1810" s="82">
        <f>SUBTOTAL(103,$D$8:D1810)</f>
        <v>1803</v>
      </c>
      <c r="C1810" s="83" t="s">
        <v>1808</v>
      </c>
      <c r="D1810" s="84">
        <v>0</v>
      </c>
      <c r="E1810" s="85" t="str">
        <f t="shared" si="198"/>
        <v/>
      </c>
      <c r="F1810" s="106" t="str">
        <f t="shared" si="204"/>
        <v/>
      </c>
      <c r="G1810" s="86"/>
      <c r="H1810" s="107">
        <f t="shared" si="199"/>
        <v>0</v>
      </c>
      <c r="I1810" s="107">
        <f t="shared" si="200"/>
        <v>0</v>
      </c>
      <c r="J1810" s="87">
        <f>IF($D1810&gt;0,IFERROR(Параметры!$D$42*$H1810/$H$2408,0),0)</f>
        <v>0</v>
      </c>
      <c r="K1810" s="87">
        <f>IFERROR(ROUND($N1810*Параметры!$D$36,2),0)</f>
        <v>0</v>
      </c>
      <c r="L1810" s="87">
        <f t="shared" si="201"/>
        <v>0</v>
      </c>
      <c r="M1810" s="87">
        <f t="shared" si="202"/>
        <v>0</v>
      </c>
      <c r="N1810" s="107" t="str">
        <f t="shared" si="203"/>
        <v/>
      </c>
    </row>
    <row r="1811" spans="2:14" x14ac:dyDescent="0.25">
      <c r="B1811" s="82">
        <f>SUBTOTAL(103,$D$8:D1811)</f>
        <v>1804</v>
      </c>
      <c r="C1811" s="83" t="s">
        <v>1809</v>
      </c>
      <c r="D1811" s="84">
        <v>0</v>
      </c>
      <c r="E1811" s="85" t="str">
        <f t="shared" si="198"/>
        <v/>
      </c>
      <c r="F1811" s="106" t="str">
        <f t="shared" si="204"/>
        <v/>
      </c>
      <c r="G1811" s="86"/>
      <c r="H1811" s="107">
        <f t="shared" si="199"/>
        <v>0</v>
      </c>
      <c r="I1811" s="107">
        <f t="shared" si="200"/>
        <v>0</v>
      </c>
      <c r="J1811" s="87">
        <f>IF($D1811&gt;0,IFERROR(Параметры!$D$42*$H1811/$H$2408,0),0)</f>
        <v>0</v>
      </c>
      <c r="K1811" s="87">
        <f>IFERROR(ROUND($N1811*Параметры!$D$36,2),0)</f>
        <v>0</v>
      </c>
      <c r="L1811" s="87">
        <f t="shared" si="201"/>
        <v>0</v>
      </c>
      <c r="M1811" s="87">
        <f t="shared" si="202"/>
        <v>0</v>
      </c>
      <c r="N1811" s="107" t="str">
        <f t="shared" si="203"/>
        <v/>
      </c>
    </row>
    <row r="1812" spans="2:14" x14ac:dyDescent="0.25">
      <c r="B1812" s="82">
        <f>SUBTOTAL(103,$D$8:D1812)</f>
        <v>1805</v>
      </c>
      <c r="C1812" s="83" t="s">
        <v>1810</v>
      </c>
      <c r="D1812" s="84">
        <v>0</v>
      </c>
      <c r="E1812" s="85" t="str">
        <f t="shared" si="198"/>
        <v/>
      </c>
      <c r="F1812" s="106" t="str">
        <f t="shared" si="204"/>
        <v/>
      </c>
      <c r="G1812" s="86"/>
      <c r="H1812" s="107">
        <f t="shared" si="199"/>
        <v>0</v>
      </c>
      <c r="I1812" s="107">
        <f t="shared" si="200"/>
        <v>0</v>
      </c>
      <c r="J1812" s="87">
        <f>IF($D1812&gt;0,IFERROR(Параметры!$D$42*$H1812/$H$2408,0),0)</f>
        <v>0</v>
      </c>
      <c r="K1812" s="87">
        <f>IFERROR(ROUND($N1812*Параметры!$D$36,2),0)</f>
        <v>0</v>
      </c>
      <c r="L1812" s="87">
        <f t="shared" si="201"/>
        <v>0</v>
      </c>
      <c r="M1812" s="87">
        <f t="shared" si="202"/>
        <v>0</v>
      </c>
      <c r="N1812" s="107" t="str">
        <f t="shared" si="203"/>
        <v/>
      </c>
    </row>
    <row r="1813" spans="2:14" x14ac:dyDescent="0.25">
      <c r="B1813" s="82">
        <f>SUBTOTAL(103,$D$8:D1813)</f>
        <v>1806</v>
      </c>
      <c r="C1813" s="83" t="s">
        <v>1811</v>
      </c>
      <c r="D1813" s="84">
        <v>0</v>
      </c>
      <c r="E1813" s="85" t="str">
        <f t="shared" si="198"/>
        <v/>
      </c>
      <c r="F1813" s="106" t="str">
        <f t="shared" si="204"/>
        <v/>
      </c>
      <c r="G1813" s="86"/>
      <c r="H1813" s="107">
        <f t="shared" si="199"/>
        <v>0</v>
      </c>
      <c r="I1813" s="107">
        <f t="shared" si="200"/>
        <v>0</v>
      </c>
      <c r="J1813" s="87">
        <f>IF($D1813&gt;0,IFERROR(Параметры!$D$42*$H1813/$H$2408,0),0)</f>
        <v>0</v>
      </c>
      <c r="K1813" s="87">
        <f>IFERROR(ROUND($N1813*Параметры!$D$36,2),0)</f>
        <v>0</v>
      </c>
      <c r="L1813" s="87">
        <f t="shared" si="201"/>
        <v>0</v>
      </c>
      <c r="M1813" s="87">
        <f t="shared" si="202"/>
        <v>0</v>
      </c>
      <c r="N1813" s="107" t="str">
        <f t="shared" si="203"/>
        <v/>
      </c>
    </row>
    <row r="1814" spans="2:14" x14ac:dyDescent="0.25">
      <c r="B1814" s="82">
        <f>SUBTOTAL(103,$D$8:D1814)</f>
        <v>1807</v>
      </c>
      <c r="C1814" s="83" t="s">
        <v>1812</v>
      </c>
      <c r="D1814" s="84">
        <v>0</v>
      </c>
      <c r="E1814" s="85" t="str">
        <f t="shared" si="198"/>
        <v/>
      </c>
      <c r="F1814" s="106" t="str">
        <f t="shared" si="204"/>
        <v/>
      </c>
      <c r="G1814" s="86"/>
      <c r="H1814" s="107">
        <f t="shared" si="199"/>
        <v>0</v>
      </c>
      <c r="I1814" s="107">
        <f t="shared" si="200"/>
        <v>0</v>
      </c>
      <c r="J1814" s="87">
        <f>IF($D1814&gt;0,IFERROR(Параметры!$D$42*$H1814/$H$2408,0),0)</f>
        <v>0</v>
      </c>
      <c r="K1814" s="87">
        <f>IFERROR(ROUND($N1814*Параметры!$D$36,2),0)</f>
        <v>0</v>
      </c>
      <c r="L1814" s="87">
        <f t="shared" si="201"/>
        <v>0</v>
      </c>
      <c r="M1814" s="87">
        <f t="shared" si="202"/>
        <v>0</v>
      </c>
      <c r="N1814" s="107" t="str">
        <f t="shared" si="203"/>
        <v/>
      </c>
    </row>
    <row r="1815" spans="2:14" x14ac:dyDescent="0.25">
      <c r="B1815" s="82">
        <f>SUBTOTAL(103,$D$8:D1815)</f>
        <v>1808</v>
      </c>
      <c r="C1815" s="83" t="s">
        <v>1813</v>
      </c>
      <c r="D1815" s="84">
        <v>0</v>
      </c>
      <c r="E1815" s="85" t="str">
        <f t="shared" si="198"/>
        <v/>
      </c>
      <c r="F1815" s="106" t="str">
        <f t="shared" si="204"/>
        <v/>
      </c>
      <c r="G1815" s="86"/>
      <c r="H1815" s="107">
        <f t="shared" si="199"/>
        <v>0</v>
      </c>
      <c r="I1815" s="107">
        <f t="shared" si="200"/>
        <v>0</v>
      </c>
      <c r="J1815" s="87">
        <f>IF($D1815&gt;0,IFERROR(Параметры!$D$42*$H1815/$H$2408,0),0)</f>
        <v>0</v>
      </c>
      <c r="K1815" s="87">
        <f>IFERROR(ROUND($N1815*Параметры!$D$36,2),0)</f>
        <v>0</v>
      </c>
      <c r="L1815" s="87">
        <f t="shared" si="201"/>
        <v>0</v>
      </c>
      <c r="M1815" s="87">
        <f t="shared" si="202"/>
        <v>0</v>
      </c>
      <c r="N1815" s="107" t="str">
        <f t="shared" si="203"/>
        <v/>
      </c>
    </row>
    <row r="1816" spans="2:14" x14ac:dyDescent="0.25">
      <c r="B1816" s="82">
        <f>SUBTOTAL(103,$D$8:D1816)</f>
        <v>1809</v>
      </c>
      <c r="C1816" s="83" t="s">
        <v>1814</v>
      </c>
      <c r="D1816" s="84">
        <v>0</v>
      </c>
      <c r="E1816" s="85" t="str">
        <f t="shared" si="198"/>
        <v/>
      </c>
      <c r="F1816" s="106" t="str">
        <f t="shared" si="204"/>
        <v/>
      </c>
      <c r="G1816" s="86"/>
      <c r="H1816" s="107">
        <f t="shared" si="199"/>
        <v>0</v>
      </c>
      <c r="I1816" s="107">
        <f t="shared" si="200"/>
        <v>0</v>
      </c>
      <c r="J1816" s="87">
        <f>IF($D1816&gt;0,IFERROR(Параметры!$D$42*$H1816/$H$2408,0),0)</f>
        <v>0</v>
      </c>
      <c r="K1816" s="87">
        <f>IFERROR(ROUND($N1816*Параметры!$D$36,2),0)</f>
        <v>0</v>
      </c>
      <c r="L1816" s="87">
        <f t="shared" si="201"/>
        <v>0</v>
      </c>
      <c r="M1816" s="87">
        <f t="shared" si="202"/>
        <v>0</v>
      </c>
      <c r="N1816" s="107" t="str">
        <f t="shared" si="203"/>
        <v/>
      </c>
    </row>
    <row r="1817" spans="2:14" x14ac:dyDescent="0.25">
      <c r="B1817" s="82">
        <f>SUBTOTAL(103,$D$8:D1817)</f>
        <v>1810</v>
      </c>
      <c r="C1817" s="83" t="s">
        <v>1815</v>
      </c>
      <c r="D1817" s="84">
        <v>0</v>
      </c>
      <c r="E1817" s="85" t="str">
        <f t="shared" si="198"/>
        <v/>
      </c>
      <c r="F1817" s="106" t="str">
        <f t="shared" si="204"/>
        <v/>
      </c>
      <c r="G1817" s="86"/>
      <c r="H1817" s="107">
        <f t="shared" si="199"/>
        <v>0</v>
      </c>
      <c r="I1817" s="107">
        <f t="shared" si="200"/>
        <v>0</v>
      </c>
      <c r="J1817" s="87">
        <f>IF($D1817&gt;0,IFERROR(Параметры!$D$42*$H1817/$H$2408,0),0)</f>
        <v>0</v>
      </c>
      <c r="K1817" s="87">
        <f>IFERROR(ROUND($N1817*Параметры!$D$36,2),0)</f>
        <v>0</v>
      </c>
      <c r="L1817" s="87">
        <f t="shared" si="201"/>
        <v>0</v>
      </c>
      <c r="M1817" s="87">
        <f t="shared" si="202"/>
        <v>0</v>
      </c>
      <c r="N1817" s="107" t="str">
        <f t="shared" si="203"/>
        <v/>
      </c>
    </row>
    <row r="1818" spans="2:14" x14ac:dyDescent="0.25">
      <c r="B1818" s="82">
        <f>SUBTOTAL(103,$D$8:D1818)</f>
        <v>1811</v>
      </c>
      <c r="C1818" s="83" t="s">
        <v>1816</v>
      </c>
      <c r="D1818" s="84">
        <v>0</v>
      </c>
      <c r="E1818" s="85" t="str">
        <f t="shared" si="198"/>
        <v/>
      </c>
      <c r="F1818" s="106" t="str">
        <f t="shared" si="204"/>
        <v/>
      </c>
      <c r="G1818" s="86"/>
      <c r="H1818" s="107">
        <f t="shared" si="199"/>
        <v>0</v>
      </c>
      <c r="I1818" s="107">
        <f t="shared" si="200"/>
        <v>0</v>
      </c>
      <c r="J1818" s="87">
        <f>IF($D1818&gt;0,IFERROR(Параметры!$D$42*$H1818/$H$2408,0),0)</f>
        <v>0</v>
      </c>
      <c r="K1818" s="87">
        <f>IFERROR(ROUND($N1818*Параметры!$D$36,2),0)</f>
        <v>0</v>
      </c>
      <c r="L1818" s="87">
        <f t="shared" si="201"/>
        <v>0</v>
      </c>
      <c r="M1818" s="87">
        <f t="shared" si="202"/>
        <v>0</v>
      </c>
      <c r="N1818" s="107" t="str">
        <f t="shared" si="203"/>
        <v/>
      </c>
    </row>
    <row r="1819" spans="2:14" x14ac:dyDescent="0.25">
      <c r="B1819" s="82">
        <f>SUBTOTAL(103,$D$8:D1819)</f>
        <v>1812</v>
      </c>
      <c r="C1819" s="83" t="s">
        <v>1817</v>
      </c>
      <c r="D1819" s="84">
        <v>0</v>
      </c>
      <c r="E1819" s="85" t="str">
        <f t="shared" si="198"/>
        <v/>
      </c>
      <c r="F1819" s="106" t="str">
        <f t="shared" si="204"/>
        <v/>
      </c>
      <c r="G1819" s="86"/>
      <c r="H1819" s="107">
        <f t="shared" si="199"/>
        <v>0</v>
      </c>
      <c r="I1819" s="107">
        <f t="shared" si="200"/>
        <v>0</v>
      </c>
      <c r="J1819" s="87">
        <f>IF($D1819&gt;0,IFERROR(Параметры!$D$42*$H1819/$H$2408,0),0)</f>
        <v>0</v>
      </c>
      <c r="K1819" s="87">
        <f>IFERROR(ROUND($N1819*Параметры!$D$36,2),0)</f>
        <v>0</v>
      </c>
      <c r="L1819" s="87">
        <f t="shared" si="201"/>
        <v>0</v>
      </c>
      <c r="M1819" s="87">
        <f t="shared" si="202"/>
        <v>0</v>
      </c>
      <c r="N1819" s="107" t="str">
        <f t="shared" si="203"/>
        <v/>
      </c>
    </row>
    <row r="1820" spans="2:14" x14ac:dyDescent="0.25">
      <c r="B1820" s="82">
        <f>SUBTOTAL(103,$D$8:D1820)</f>
        <v>1813</v>
      </c>
      <c r="C1820" s="83" t="s">
        <v>1818</v>
      </c>
      <c r="D1820" s="84">
        <v>0</v>
      </c>
      <c r="E1820" s="85" t="str">
        <f t="shared" si="198"/>
        <v/>
      </c>
      <c r="F1820" s="106" t="str">
        <f t="shared" si="204"/>
        <v/>
      </c>
      <c r="G1820" s="86"/>
      <c r="H1820" s="107">
        <f t="shared" si="199"/>
        <v>0</v>
      </c>
      <c r="I1820" s="107">
        <f t="shared" si="200"/>
        <v>0</v>
      </c>
      <c r="J1820" s="87">
        <f>IF($D1820&gt;0,IFERROR(Параметры!$D$42*$H1820/$H$2408,0),0)</f>
        <v>0</v>
      </c>
      <c r="K1820" s="87">
        <f>IFERROR(ROUND($N1820*Параметры!$D$36,2),0)</f>
        <v>0</v>
      </c>
      <c r="L1820" s="87">
        <f t="shared" si="201"/>
        <v>0</v>
      </c>
      <c r="M1820" s="87">
        <f t="shared" si="202"/>
        <v>0</v>
      </c>
      <c r="N1820" s="107" t="str">
        <f t="shared" si="203"/>
        <v/>
      </c>
    </row>
    <row r="1821" spans="2:14" x14ac:dyDescent="0.25">
      <c r="B1821" s="82">
        <f>SUBTOTAL(103,$D$8:D1821)</f>
        <v>1814</v>
      </c>
      <c r="C1821" s="83" t="s">
        <v>1819</v>
      </c>
      <c r="D1821" s="84">
        <v>0</v>
      </c>
      <c r="E1821" s="85" t="str">
        <f t="shared" si="198"/>
        <v/>
      </c>
      <c r="F1821" s="106" t="str">
        <f t="shared" si="204"/>
        <v/>
      </c>
      <c r="G1821" s="86"/>
      <c r="H1821" s="107">
        <f t="shared" si="199"/>
        <v>0</v>
      </c>
      <c r="I1821" s="107">
        <f t="shared" si="200"/>
        <v>0</v>
      </c>
      <c r="J1821" s="87">
        <f>IF($D1821&gt;0,IFERROR(Параметры!$D$42*$H1821/$H$2408,0),0)</f>
        <v>0</v>
      </c>
      <c r="K1821" s="87">
        <f>IFERROR(ROUND($N1821*Параметры!$D$36,2),0)</f>
        <v>0</v>
      </c>
      <c r="L1821" s="87">
        <f t="shared" si="201"/>
        <v>0</v>
      </c>
      <c r="M1821" s="87">
        <f t="shared" si="202"/>
        <v>0</v>
      </c>
      <c r="N1821" s="107" t="str">
        <f t="shared" si="203"/>
        <v/>
      </c>
    </row>
    <row r="1822" spans="2:14" x14ac:dyDescent="0.25">
      <c r="B1822" s="82">
        <f>SUBTOTAL(103,$D$8:D1822)</f>
        <v>1815</v>
      </c>
      <c r="C1822" s="83" t="s">
        <v>1820</v>
      </c>
      <c r="D1822" s="84">
        <v>0</v>
      </c>
      <c r="E1822" s="85" t="str">
        <f t="shared" si="198"/>
        <v/>
      </c>
      <c r="F1822" s="106" t="str">
        <f t="shared" si="204"/>
        <v/>
      </c>
      <c r="G1822" s="86"/>
      <c r="H1822" s="107">
        <f t="shared" si="199"/>
        <v>0</v>
      </c>
      <c r="I1822" s="107">
        <f t="shared" si="200"/>
        <v>0</v>
      </c>
      <c r="J1822" s="87">
        <f>IF($D1822&gt;0,IFERROR(Параметры!$D$42*$H1822/$H$2408,0),0)</f>
        <v>0</v>
      </c>
      <c r="K1822" s="87">
        <f>IFERROR(ROUND($N1822*Параметры!$D$36,2),0)</f>
        <v>0</v>
      </c>
      <c r="L1822" s="87">
        <f t="shared" si="201"/>
        <v>0</v>
      </c>
      <c r="M1822" s="87">
        <f t="shared" si="202"/>
        <v>0</v>
      </c>
      <c r="N1822" s="107" t="str">
        <f t="shared" si="203"/>
        <v/>
      </c>
    </row>
    <row r="1823" spans="2:14" x14ac:dyDescent="0.25">
      <c r="B1823" s="82">
        <f>SUBTOTAL(103,$D$8:D1823)</f>
        <v>1816</v>
      </c>
      <c r="C1823" s="83" t="s">
        <v>1821</v>
      </c>
      <c r="D1823" s="84">
        <v>0</v>
      </c>
      <c r="E1823" s="85" t="str">
        <f t="shared" si="198"/>
        <v/>
      </c>
      <c r="F1823" s="106" t="str">
        <f t="shared" si="204"/>
        <v/>
      </c>
      <c r="G1823" s="86"/>
      <c r="H1823" s="107">
        <f t="shared" si="199"/>
        <v>0</v>
      </c>
      <c r="I1823" s="107">
        <f t="shared" si="200"/>
        <v>0</v>
      </c>
      <c r="J1823" s="87">
        <f>IF($D1823&gt;0,IFERROR(Параметры!$D$42*$H1823/$H$2408,0),0)</f>
        <v>0</v>
      </c>
      <c r="K1823" s="87">
        <f>IFERROR(ROUND($N1823*Параметры!$D$36,2),0)</f>
        <v>0</v>
      </c>
      <c r="L1823" s="87">
        <f t="shared" si="201"/>
        <v>0</v>
      </c>
      <c r="M1823" s="87">
        <f t="shared" si="202"/>
        <v>0</v>
      </c>
      <c r="N1823" s="107" t="str">
        <f t="shared" si="203"/>
        <v/>
      </c>
    </row>
    <row r="1824" spans="2:14" x14ac:dyDescent="0.25">
      <c r="B1824" s="82">
        <f>SUBTOTAL(103,$D$8:D1824)</f>
        <v>1817</v>
      </c>
      <c r="C1824" s="83" t="s">
        <v>1822</v>
      </c>
      <c r="D1824" s="84">
        <v>0</v>
      </c>
      <c r="E1824" s="85" t="str">
        <f t="shared" si="198"/>
        <v/>
      </c>
      <c r="F1824" s="106" t="str">
        <f t="shared" si="204"/>
        <v/>
      </c>
      <c r="G1824" s="86"/>
      <c r="H1824" s="107">
        <f t="shared" si="199"/>
        <v>0</v>
      </c>
      <c r="I1824" s="107">
        <f t="shared" si="200"/>
        <v>0</v>
      </c>
      <c r="J1824" s="87">
        <f>IF($D1824&gt;0,IFERROR(Параметры!$D$42*$H1824/$H$2408,0),0)</f>
        <v>0</v>
      </c>
      <c r="K1824" s="87">
        <f>IFERROR(ROUND($N1824*Параметры!$D$36,2),0)</f>
        <v>0</v>
      </c>
      <c r="L1824" s="87">
        <f t="shared" si="201"/>
        <v>0</v>
      </c>
      <c r="M1824" s="87">
        <f t="shared" si="202"/>
        <v>0</v>
      </c>
      <c r="N1824" s="107" t="str">
        <f t="shared" si="203"/>
        <v/>
      </c>
    </row>
    <row r="1825" spans="2:14" x14ac:dyDescent="0.25">
      <c r="B1825" s="82">
        <f>SUBTOTAL(103,$D$8:D1825)</f>
        <v>1818</v>
      </c>
      <c r="C1825" s="83" t="s">
        <v>1823</v>
      </c>
      <c r="D1825" s="84">
        <v>0</v>
      </c>
      <c r="E1825" s="85" t="str">
        <f t="shared" si="198"/>
        <v/>
      </c>
      <c r="F1825" s="106" t="str">
        <f t="shared" si="204"/>
        <v/>
      </c>
      <c r="G1825" s="86"/>
      <c r="H1825" s="107">
        <f t="shared" si="199"/>
        <v>0</v>
      </c>
      <c r="I1825" s="107">
        <f t="shared" si="200"/>
        <v>0</v>
      </c>
      <c r="J1825" s="87">
        <f>IF($D1825&gt;0,IFERROR(Параметры!$D$42*$H1825/$H$2408,0),0)</f>
        <v>0</v>
      </c>
      <c r="K1825" s="87">
        <f>IFERROR(ROUND($N1825*Параметры!$D$36,2),0)</f>
        <v>0</v>
      </c>
      <c r="L1825" s="87">
        <f t="shared" si="201"/>
        <v>0</v>
      </c>
      <c r="M1825" s="87">
        <f t="shared" si="202"/>
        <v>0</v>
      </c>
      <c r="N1825" s="107" t="str">
        <f t="shared" si="203"/>
        <v/>
      </c>
    </row>
    <row r="1826" spans="2:14" x14ac:dyDescent="0.25">
      <c r="B1826" s="82">
        <f>SUBTOTAL(103,$D$8:D1826)</f>
        <v>1819</v>
      </c>
      <c r="C1826" s="83" t="s">
        <v>1824</v>
      </c>
      <c r="D1826" s="84">
        <v>0</v>
      </c>
      <c r="E1826" s="85" t="str">
        <f t="shared" si="198"/>
        <v/>
      </c>
      <c r="F1826" s="106" t="str">
        <f t="shared" si="204"/>
        <v/>
      </c>
      <c r="G1826" s="86"/>
      <c r="H1826" s="107">
        <f t="shared" si="199"/>
        <v>0</v>
      </c>
      <c r="I1826" s="107">
        <f t="shared" si="200"/>
        <v>0</v>
      </c>
      <c r="J1826" s="87">
        <f>IF($D1826&gt;0,IFERROR(Параметры!$D$42*$H1826/$H$2408,0),0)</f>
        <v>0</v>
      </c>
      <c r="K1826" s="87">
        <f>IFERROR(ROUND($N1826*Параметры!$D$36,2),0)</f>
        <v>0</v>
      </c>
      <c r="L1826" s="87">
        <f t="shared" si="201"/>
        <v>0</v>
      </c>
      <c r="M1826" s="87">
        <f t="shared" si="202"/>
        <v>0</v>
      </c>
      <c r="N1826" s="107" t="str">
        <f t="shared" si="203"/>
        <v/>
      </c>
    </row>
    <row r="1827" spans="2:14" x14ac:dyDescent="0.25">
      <c r="B1827" s="82">
        <f>SUBTOTAL(103,$D$8:D1827)</f>
        <v>1820</v>
      </c>
      <c r="C1827" s="83" t="s">
        <v>1825</v>
      </c>
      <c r="D1827" s="84">
        <v>0</v>
      </c>
      <c r="E1827" s="85" t="str">
        <f t="shared" si="198"/>
        <v/>
      </c>
      <c r="F1827" s="106" t="str">
        <f t="shared" si="204"/>
        <v/>
      </c>
      <c r="G1827" s="86"/>
      <c r="H1827" s="107">
        <f t="shared" si="199"/>
        <v>0</v>
      </c>
      <c r="I1827" s="107">
        <f t="shared" si="200"/>
        <v>0</v>
      </c>
      <c r="J1827" s="87">
        <f>IF($D1827&gt;0,IFERROR(Параметры!$D$42*$H1827/$H$2408,0),0)</f>
        <v>0</v>
      </c>
      <c r="K1827" s="87">
        <f>IFERROR(ROUND($N1827*Параметры!$D$36,2),0)</f>
        <v>0</v>
      </c>
      <c r="L1827" s="87">
        <f t="shared" si="201"/>
        <v>0</v>
      </c>
      <c r="M1827" s="87">
        <f t="shared" si="202"/>
        <v>0</v>
      </c>
      <c r="N1827" s="107" t="str">
        <f t="shared" si="203"/>
        <v/>
      </c>
    </row>
    <row r="1828" spans="2:14" x14ac:dyDescent="0.25">
      <c r="B1828" s="82">
        <f>SUBTOTAL(103,$D$8:D1828)</f>
        <v>1821</v>
      </c>
      <c r="C1828" s="83" t="s">
        <v>1826</v>
      </c>
      <c r="D1828" s="84">
        <v>0</v>
      </c>
      <c r="E1828" s="85" t="str">
        <f t="shared" si="198"/>
        <v/>
      </c>
      <c r="F1828" s="106" t="str">
        <f t="shared" si="204"/>
        <v/>
      </c>
      <c r="G1828" s="86"/>
      <c r="H1828" s="107">
        <f t="shared" si="199"/>
        <v>0</v>
      </c>
      <c r="I1828" s="107">
        <f t="shared" si="200"/>
        <v>0</v>
      </c>
      <c r="J1828" s="87">
        <f>IF($D1828&gt;0,IFERROR(Параметры!$D$42*$H1828/$H$2408,0),0)</f>
        <v>0</v>
      </c>
      <c r="K1828" s="87">
        <f>IFERROR(ROUND($N1828*Параметры!$D$36,2),0)</f>
        <v>0</v>
      </c>
      <c r="L1828" s="87">
        <f t="shared" si="201"/>
        <v>0</v>
      </c>
      <c r="M1828" s="87">
        <f t="shared" si="202"/>
        <v>0</v>
      </c>
      <c r="N1828" s="107" t="str">
        <f t="shared" si="203"/>
        <v/>
      </c>
    </row>
    <row r="1829" spans="2:14" x14ac:dyDescent="0.25">
      <c r="B1829" s="82">
        <f>SUBTOTAL(103,$D$8:D1829)</f>
        <v>1822</v>
      </c>
      <c r="C1829" s="83" t="s">
        <v>1827</v>
      </c>
      <c r="D1829" s="84">
        <v>0</v>
      </c>
      <c r="E1829" s="85" t="str">
        <f t="shared" si="198"/>
        <v/>
      </c>
      <c r="F1829" s="106" t="str">
        <f t="shared" si="204"/>
        <v/>
      </c>
      <c r="G1829" s="86"/>
      <c r="H1829" s="107">
        <f t="shared" si="199"/>
        <v>0</v>
      </c>
      <c r="I1829" s="107">
        <f t="shared" si="200"/>
        <v>0</v>
      </c>
      <c r="J1829" s="87">
        <f>IF($D1829&gt;0,IFERROR(Параметры!$D$42*$H1829/$H$2408,0),0)</f>
        <v>0</v>
      </c>
      <c r="K1829" s="87">
        <f>IFERROR(ROUND($N1829*Параметры!$D$36,2),0)</f>
        <v>0</v>
      </c>
      <c r="L1829" s="87">
        <f t="shared" si="201"/>
        <v>0</v>
      </c>
      <c r="M1829" s="87">
        <f t="shared" si="202"/>
        <v>0</v>
      </c>
      <c r="N1829" s="107" t="str">
        <f t="shared" si="203"/>
        <v/>
      </c>
    </row>
    <row r="1830" spans="2:14" x14ac:dyDescent="0.25">
      <c r="B1830" s="82">
        <f>SUBTOTAL(103,$D$8:D1830)</f>
        <v>1823</v>
      </c>
      <c r="C1830" s="83" t="s">
        <v>1828</v>
      </c>
      <c r="D1830" s="84">
        <v>0</v>
      </c>
      <c r="E1830" s="85" t="str">
        <f t="shared" si="198"/>
        <v/>
      </c>
      <c r="F1830" s="106" t="str">
        <f t="shared" si="204"/>
        <v/>
      </c>
      <c r="G1830" s="86"/>
      <c r="H1830" s="107">
        <f t="shared" si="199"/>
        <v>0</v>
      </c>
      <c r="I1830" s="107">
        <f t="shared" si="200"/>
        <v>0</v>
      </c>
      <c r="J1830" s="87">
        <f>IF($D1830&gt;0,IFERROR(Параметры!$D$42*$H1830/$H$2408,0),0)</f>
        <v>0</v>
      </c>
      <c r="K1830" s="87">
        <f>IFERROR(ROUND($N1830*Параметры!$D$36,2),0)</f>
        <v>0</v>
      </c>
      <c r="L1830" s="87">
        <f t="shared" si="201"/>
        <v>0</v>
      </c>
      <c r="M1830" s="87">
        <f t="shared" si="202"/>
        <v>0</v>
      </c>
      <c r="N1830" s="107" t="str">
        <f t="shared" si="203"/>
        <v/>
      </c>
    </row>
    <row r="1831" spans="2:14" x14ac:dyDescent="0.25">
      <c r="B1831" s="82">
        <f>SUBTOTAL(103,$D$8:D1831)</f>
        <v>1824</v>
      </c>
      <c r="C1831" s="83" t="s">
        <v>1829</v>
      </c>
      <c r="D1831" s="84">
        <v>0</v>
      </c>
      <c r="E1831" s="85" t="str">
        <f t="shared" si="198"/>
        <v/>
      </c>
      <c r="F1831" s="106" t="str">
        <f t="shared" si="204"/>
        <v/>
      </c>
      <c r="G1831" s="86"/>
      <c r="H1831" s="107">
        <f t="shared" si="199"/>
        <v>0</v>
      </c>
      <c r="I1831" s="107">
        <f t="shared" si="200"/>
        <v>0</v>
      </c>
      <c r="J1831" s="87">
        <f>IF($D1831&gt;0,IFERROR(Параметры!$D$42*$H1831/$H$2408,0),0)</f>
        <v>0</v>
      </c>
      <c r="K1831" s="87">
        <f>IFERROR(ROUND($N1831*Параметры!$D$36,2),0)</f>
        <v>0</v>
      </c>
      <c r="L1831" s="87">
        <f t="shared" si="201"/>
        <v>0</v>
      </c>
      <c r="M1831" s="87">
        <f t="shared" si="202"/>
        <v>0</v>
      </c>
      <c r="N1831" s="107" t="str">
        <f t="shared" si="203"/>
        <v/>
      </c>
    </row>
    <row r="1832" spans="2:14" x14ac:dyDescent="0.25">
      <c r="B1832" s="82">
        <f>SUBTOTAL(103,$D$8:D1832)</f>
        <v>1825</v>
      </c>
      <c r="C1832" s="83" t="s">
        <v>1830</v>
      </c>
      <c r="D1832" s="84">
        <v>0</v>
      </c>
      <c r="E1832" s="85" t="str">
        <f t="shared" si="198"/>
        <v/>
      </c>
      <c r="F1832" s="106" t="str">
        <f t="shared" si="204"/>
        <v/>
      </c>
      <c r="G1832" s="86"/>
      <c r="H1832" s="107">
        <f t="shared" si="199"/>
        <v>0</v>
      </c>
      <c r="I1832" s="107">
        <f t="shared" si="200"/>
        <v>0</v>
      </c>
      <c r="J1832" s="87">
        <f>IF($D1832&gt;0,IFERROR(Параметры!$D$42*$H1832/$H$2408,0),0)</f>
        <v>0</v>
      </c>
      <c r="K1832" s="87">
        <f>IFERROR(ROUND($N1832*Параметры!$D$36,2),0)</f>
        <v>0</v>
      </c>
      <c r="L1832" s="87">
        <f t="shared" si="201"/>
        <v>0</v>
      </c>
      <c r="M1832" s="87">
        <f t="shared" si="202"/>
        <v>0</v>
      </c>
      <c r="N1832" s="107" t="str">
        <f t="shared" si="203"/>
        <v/>
      </c>
    </row>
    <row r="1833" spans="2:14" x14ac:dyDescent="0.25">
      <c r="B1833" s="82">
        <f>SUBTOTAL(103,$D$8:D1833)</f>
        <v>1826</v>
      </c>
      <c r="C1833" s="83" t="s">
        <v>1831</v>
      </c>
      <c r="D1833" s="84">
        <v>0</v>
      </c>
      <c r="E1833" s="85" t="str">
        <f t="shared" si="198"/>
        <v/>
      </c>
      <c r="F1833" s="106" t="str">
        <f t="shared" si="204"/>
        <v/>
      </c>
      <c r="G1833" s="86"/>
      <c r="H1833" s="107">
        <f t="shared" si="199"/>
        <v>0</v>
      </c>
      <c r="I1833" s="107">
        <f t="shared" si="200"/>
        <v>0</v>
      </c>
      <c r="J1833" s="87">
        <f>IF($D1833&gt;0,IFERROR(Параметры!$D$42*$H1833/$H$2408,0),0)</f>
        <v>0</v>
      </c>
      <c r="K1833" s="87">
        <f>IFERROR(ROUND($N1833*Параметры!$D$36,2),0)</f>
        <v>0</v>
      </c>
      <c r="L1833" s="87">
        <f t="shared" si="201"/>
        <v>0</v>
      </c>
      <c r="M1833" s="87">
        <f t="shared" si="202"/>
        <v>0</v>
      </c>
      <c r="N1833" s="107" t="str">
        <f t="shared" si="203"/>
        <v/>
      </c>
    </row>
    <row r="1834" spans="2:14" x14ac:dyDescent="0.25">
      <c r="B1834" s="82">
        <f>SUBTOTAL(103,$D$8:D1834)</f>
        <v>1827</v>
      </c>
      <c r="C1834" s="83" t="s">
        <v>1832</v>
      </c>
      <c r="D1834" s="84">
        <v>0</v>
      </c>
      <c r="E1834" s="85" t="str">
        <f t="shared" si="198"/>
        <v/>
      </c>
      <c r="F1834" s="106" t="str">
        <f t="shared" si="204"/>
        <v/>
      </c>
      <c r="G1834" s="86"/>
      <c r="H1834" s="107">
        <f t="shared" si="199"/>
        <v>0</v>
      </c>
      <c r="I1834" s="107">
        <f t="shared" si="200"/>
        <v>0</v>
      </c>
      <c r="J1834" s="87">
        <f>IF($D1834&gt;0,IFERROR(Параметры!$D$42*$H1834/$H$2408,0),0)</f>
        <v>0</v>
      </c>
      <c r="K1834" s="87">
        <f>IFERROR(ROUND($N1834*Параметры!$D$36,2),0)</f>
        <v>0</v>
      </c>
      <c r="L1834" s="87">
        <f t="shared" si="201"/>
        <v>0</v>
      </c>
      <c r="M1834" s="87">
        <f t="shared" si="202"/>
        <v>0</v>
      </c>
      <c r="N1834" s="107" t="str">
        <f t="shared" si="203"/>
        <v/>
      </c>
    </row>
    <row r="1835" spans="2:14" x14ac:dyDescent="0.25">
      <c r="B1835" s="82">
        <f>SUBTOTAL(103,$D$8:D1835)</f>
        <v>1828</v>
      </c>
      <c r="C1835" s="83" t="s">
        <v>1833</v>
      </c>
      <c r="D1835" s="84">
        <v>0</v>
      </c>
      <c r="E1835" s="85" t="str">
        <f t="shared" si="198"/>
        <v/>
      </c>
      <c r="F1835" s="106" t="str">
        <f t="shared" si="204"/>
        <v/>
      </c>
      <c r="G1835" s="86"/>
      <c r="H1835" s="107">
        <f t="shared" si="199"/>
        <v>0</v>
      </c>
      <c r="I1835" s="107">
        <f t="shared" si="200"/>
        <v>0</v>
      </c>
      <c r="J1835" s="87">
        <f>IF($D1835&gt;0,IFERROR(Параметры!$D$42*$H1835/$H$2408,0),0)</f>
        <v>0</v>
      </c>
      <c r="K1835" s="87">
        <f>IFERROR(ROUND($N1835*Параметры!$D$36,2),0)</f>
        <v>0</v>
      </c>
      <c r="L1835" s="87">
        <f t="shared" si="201"/>
        <v>0</v>
      </c>
      <c r="M1835" s="87">
        <f t="shared" si="202"/>
        <v>0</v>
      </c>
      <c r="N1835" s="107" t="str">
        <f t="shared" si="203"/>
        <v/>
      </c>
    </row>
    <row r="1836" spans="2:14" x14ac:dyDescent="0.25">
      <c r="B1836" s="82">
        <f>SUBTOTAL(103,$D$8:D1836)</f>
        <v>1829</v>
      </c>
      <c r="C1836" s="83" t="s">
        <v>1834</v>
      </c>
      <c r="D1836" s="84">
        <v>0</v>
      </c>
      <c r="E1836" s="85" t="str">
        <f t="shared" si="198"/>
        <v/>
      </c>
      <c r="F1836" s="106" t="str">
        <f t="shared" si="204"/>
        <v/>
      </c>
      <c r="G1836" s="86"/>
      <c r="H1836" s="107">
        <f t="shared" si="199"/>
        <v>0</v>
      </c>
      <c r="I1836" s="107">
        <f t="shared" si="200"/>
        <v>0</v>
      </c>
      <c r="J1836" s="87">
        <f>IF($D1836&gt;0,IFERROR(Параметры!$D$42*$H1836/$H$2408,0),0)</f>
        <v>0</v>
      </c>
      <c r="K1836" s="87">
        <f>IFERROR(ROUND($N1836*Параметры!$D$36,2),0)</f>
        <v>0</v>
      </c>
      <c r="L1836" s="87">
        <f t="shared" si="201"/>
        <v>0</v>
      </c>
      <c r="M1836" s="87">
        <f t="shared" si="202"/>
        <v>0</v>
      </c>
      <c r="N1836" s="107" t="str">
        <f t="shared" si="203"/>
        <v/>
      </c>
    </row>
    <row r="1837" spans="2:14" x14ac:dyDescent="0.25">
      <c r="B1837" s="82">
        <f>SUBTOTAL(103,$D$8:D1837)</f>
        <v>1830</v>
      </c>
      <c r="C1837" s="83" t="s">
        <v>1835</v>
      </c>
      <c r="D1837" s="84">
        <v>0</v>
      </c>
      <c r="E1837" s="85" t="str">
        <f t="shared" si="198"/>
        <v/>
      </c>
      <c r="F1837" s="106" t="str">
        <f t="shared" si="204"/>
        <v/>
      </c>
      <c r="G1837" s="86"/>
      <c r="H1837" s="107">
        <f t="shared" si="199"/>
        <v>0</v>
      </c>
      <c r="I1837" s="107">
        <f t="shared" si="200"/>
        <v>0</v>
      </c>
      <c r="J1837" s="87">
        <f>IF($D1837&gt;0,IFERROR(Параметры!$D$42*$H1837/$H$2408,0),0)</f>
        <v>0</v>
      </c>
      <c r="K1837" s="87">
        <f>IFERROR(ROUND($N1837*Параметры!$D$36,2),0)</f>
        <v>0</v>
      </c>
      <c r="L1837" s="87">
        <f t="shared" si="201"/>
        <v>0</v>
      </c>
      <c r="M1837" s="87">
        <f t="shared" si="202"/>
        <v>0</v>
      </c>
      <c r="N1837" s="107" t="str">
        <f t="shared" si="203"/>
        <v/>
      </c>
    </row>
    <row r="1838" spans="2:14" x14ac:dyDescent="0.25">
      <c r="B1838" s="82">
        <f>SUBTOTAL(103,$D$8:D1838)</f>
        <v>1831</v>
      </c>
      <c r="C1838" s="83" t="s">
        <v>1836</v>
      </c>
      <c r="D1838" s="84">
        <v>0</v>
      </c>
      <c r="E1838" s="85" t="str">
        <f t="shared" si="198"/>
        <v/>
      </c>
      <c r="F1838" s="106" t="str">
        <f t="shared" si="204"/>
        <v/>
      </c>
      <c r="G1838" s="86"/>
      <c r="H1838" s="107">
        <f t="shared" si="199"/>
        <v>0</v>
      </c>
      <c r="I1838" s="107">
        <f t="shared" si="200"/>
        <v>0</v>
      </c>
      <c r="J1838" s="87">
        <f>IF($D1838&gt;0,IFERROR(Параметры!$D$42*$H1838/$H$2408,0),0)</f>
        <v>0</v>
      </c>
      <c r="K1838" s="87">
        <f>IFERROR(ROUND($N1838*Параметры!$D$36,2),0)</f>
        <v>0</v>
      </c>
      <c r="L1838" s="87">
        <f t="shared" si="201"/>
        <v>0</v>
      </c>
      <c r="M1838" s="87">
        <f t="shared" si="202"/>
        <v>0</v>
      </c>
      <c r="N1838" s="107" t="str">
        <f t="shared" si="203"/>
        <v/>
      </c>
    </row>
    <row r="1839" spans="2:14" x14ac:dyDescent="0.25">
      <c r="B1839" s="82">
        <f>SUBTOTAL(103,$D$8:D1839)</f>
        <v>1832</v>
      </c>
      <c r="C1839" s="83" t="s">
        <v>1837</v>
      </c>
      <c r="D1839" s="84">
        <v>0</v>
      </c>
      <c r="E1839" s="85" t="str">
        <f t="shared" si="198"/>
        <v/>
      </c>
      <c r="F1839" s="106" t="str">
        <f t="shared" si="204"/>
        <v/>
      </c>
      <c r="G1839" s="86"/>
      <c r="H1839" s="107">
        <f t="shared" si="199"/>
        <v>0</v>
      </c>
      <c r="I1839" s="107">
        <f t="shared" si="200"/>
        <v>0</v>
      </c>
      <c r="J1839" s="87">
        <f>IF($D1839&gt;0,IFERROR(Параметры!$D$42*$H1839/$H$2408,0),0)</f>
        <v>0</v>
      </c>
      <c r="K1839" s="87">
        <f>IFERROR(ROUND($N1839*Параметры!$D$36,2),0)</f>
        <v>0</v>
      </c>
      <c r="L1839" s="87">
        <f t="shared" si="201"/>
        <v>0</v>
      </c>
      <c r="M1839" s="87">
        <f t="shared" si="202"/>
        <v>0</v>
      </c>
      <c r="N1839" s="107" t="str">
        <f t="shared" si="203"/>
        <v/>
      </c>
    </row>
    <row r="1840" spans="2:14" x14ac:dyDescent="0.25">
      <c r="B1840" s="82">
        <f>SUBTOTAL(103,$D$8:D1840)</f>
        <v>1833</v>
      </c>
      <c r="C1840" s="83" t="s">
        <v>1838</v>
      </c>
      <c r="D1840" s="84">
        <v>0</v>
      </c>
      <c r="E1840" s="85" t="str">
        <f t="shared" si="198"/>
        <v/>
      </c>
      <c r="F1840" s="106" t="str">
        <f t="shared" si="204"/>
        <v/>
      </c>
      <c r="G1840" s="86"/>
      <c r="H1840" s="107">
        <f t="shared" si="199"/>
        <v>0</v>
      </c>
      <c r="I1840" s="107">
        <f t="shared" si="200"/>
        <v>0</v>
      </c>
      <c r="J1840" s="87">
        <f>IF($D1840&gt;0,IFERROR(Параметры!$D$42*$H1840/$H$2408,0),0)</f>
        <v>0</v>
      </c>
      <c r="K1840" s="87">
        <f>IFERROR(ROUND($N1840*Параметры!$D$36,2),0)</f>
        <v>0</v>
      </c>
      <c r="L1840" s="87">
        <f t="shared" si="201"/>
        <v>0</v>
      </c>
      <c r="M1840" s="87">
        <f t="shared" si="202"/>
        <v>0</v>
      </c>
      <c r="N1840" s="107" t="str">
        <f t="shared" si="203"/>
        <v/>
      </c>
    </row>
    <row r="1841" spans="2:14" x14ac:dyDescent="0.25">
      <c r="B1841" s="82">
        <f>SUBTOTAL(103,$D$8:D1841)</f>
        <v>1834</v>
      </c>
      <c r="C1841" s="83" t="s">
        <v>1839</v>
      </c>
      <c r="D1841" s="84">
        <v>0</v>
      </c>
      <c r="E1841" s="85" t="str">
        <f t="shared" si="198"/>
        <v/>
      </c>
      <c r="F1841" s="106" t="str">
        <f t="shared" si="204"/>
        <v/>
      </c>
      <c r="G1841" s="86"/>
      <c r="H1841" s="107">
        <f t="shared" si="199"/>
        <v>0</v>
      </c>
      <c r="I1841" s="107">
        <f t="shared" si="200"/>
        <v>0</v>
      </c>
      <c r="J1841" s="87">
        <f>IF($D1841&gt;0,IFERROR(Параметры!$D$42*$H1841/$H$2408,0),0)</f>
        <v>0</v>
      </c>
      <c r="K1841" s="87">
        <f>IFERROR(ROUND($N1841*Параметры!$D$36,2),0)</f>
        <v>0</v>
      </c>
      <c r="L1841" s="87">
        <f t="shared" si="201"/>
        <v>0</v>
      </c>
      <c r="M1841" s="87">
        <f t="shared" si="202"/>
        <v>0</v>
      </c>
      <c r="N1841" s="107" t="str">
        <f t="shared" si="203"/>
        <v/>
      </c>
    </row>
    <row r="1842" spans="2:14" x14ac:dyDescent="0.25">
      <c r="B1842" s="82">
        <f>SUBTOTAL(103,$D$8:D1842)</f>
        <v>1835</v>
      </c>
      <c r="C1842" s="83" t="s">
        <v>1840</v>
      </c>
      <c r="D1842" s="84">
        <v>0</v>
      </c>
      <c r="E1842" s="85" t="str">
        <f t="shared" si="198"/>
        <v/>
      </c>
      <c r="F1842" s="106" t="str">
        <f t="shared" si="204"/>
        <v/>
      </c>
      <c r="G1842" s="86"/>
      <c r="H1842" s="107">
        <f t="shared" si="199"/>
        <v>0</v>
      </c>
      <c r="I1842" s="107">
        <f t="shared" si="200"/>
        <v>0</v>
      </c>
      <c r="J1842" s="87">
        <f>IF($D1842&gt;0,IFERROR(Параметры!$D$42*$H1842/$H$2408,0),0)</f>
        <v>0</v>
      </c>
      <c r="K1842" s="87">
        <f>IFERROR(ROUND($N1842*Параметры!$D$36,2),0)</f>
        <v>0</v>
      </c>
      <c r="L1842" s="87">
        <f t="shared" si="201"/>
        <v>0</v>
      </c>
      <c r="M1842" s="87">
        <f t="shared" si="202"/>
        <v>0</v>
      </c>
      <c r="N1842" s="107" t="str">
        <f t="shared" si="203"/>
        <v/>
      </c>
    </row>
    <row r="1843" spans="2:14" x14ac:dyDescent="0.25">
      <c r="B1843" s="82">
        <f>SUBTOTAL(103,$D$8:D1843)</f>
        <v>1836</v>
      </c>
      <c r="C1843" s="83" t="s">
        <v>1841</v>
      </c>
      <c r="D1843" s="84">
        <v>0</v>
      </c>
      <c r="E1843" s="85" t="str">
        <f t="shared" si="198"/>
        <v/>
      </c>
      <c r="F1843" s="106" t="str">
        <f t="shared" si="204"/>
        <v/>
      </c>
      <c r="G1843" s="86"/>
      <c r="H1843" s="107">
        <f t="shared" si="199"/>
        <v>0</v>
      </c>
      <c r="I1843" s="107">
        <f t="shared" si="200"/>
        <v>0</v>
      </c>
      <c r="J1843" s="87">
        <f>IF($D1843&gt;0,IFERROR(Параметры!$D$42*$H1843/$H$2408,0),0)</f>
        <v>0</v>
      </c>
      <c r="K1843" s="87">
        <f>IFERROR(ROUND($N1843*Параметры!$D$36,2),0)</f>
        <v>0</v>
      </c>
      <c r="L1843" s="87">
        <f t="shared" si="201"/>
        <v>0</v>
      </c>
      <c r="M1843" s="87">
        <f t="shared" si="202"/>
        <v>0</v>
      </c>
      <c r="N1843" s="107" t="str">
        <f t="shared" si="203"/>
        <v/>
      </c>
    </row>
    <row r="1844" spans="2:14" x14ac:dyDescent="0.25">
      <c r="B1844" s="82">
        <f>SUBTOTAL(103,$D$8:D1844)</f>
        <v>1837</v>
      </c>
      <c r="C1844" s="83" t="s">
        <v>1842</v>
      </c>
      <c r="D1844" s="84">
        <v>0</v>
      </c>
      <c r="E1844" s="85" t="str">
        <f t="shared" si="198"/>
        <v/>
      </c>
      <c r="F1844" s="106" t="str">
        <f t="shared" si="204"/>
        <v/>
      </c>
      <c r="G1844" s="86"/>
      <c r="H1844" s="107">
        <f t="shared" si="199"/>
        <v>0</v>
      </c>
      <c r="I1844" s="107">
        <f t="shared" si="200"/>
        <v>0</v>
      </c>
      <c r="J1844" s="87">
        <f>IF($D1844&gt;0,IFERROR(Параметры!$D$42*$H1844/$H$2408,0),0)</f>
        <v>0</v>
      </c>
      <c r="K1844" s="87">
        <f>IFERROR(ROUND($N1844*Параметры!$D$36,2),0)</f>
        <v>0</v>
      </c>
      <c r="L1844" s="87">
        <f t="shared" si="201"/>
        <v>0</v>
      </c>
      <c r="M1844" s="87">
        <f t="shared" si="202"/>
        <v>0</v>
      </c>
      <c r="N1844" s="107" t="str">
        <f t="shared" si="203"/>
        <v/>
      </c>
    </row>
    <row r="1845" spans="2:14" x14ac:dyDescent="0.25">
      <c r="B1845" s="82">
        <f>SUBTOTAL(103,$D$8:D1845)</f>
        <v>1838</v>
      </c>
      <c r="C1845" s="83" t="s">
        <v>1843</v>
      </c>
      <c r="D1845" s="84">
        <v>0</v>
      </c>
      <c r="E1845" s="85" t="str">
        <f t="shared" si="198"/>
        <v/>
      </c>
      <c r="F1845" s="106" t="str">
        <f t="shared" si="204"/>
        <v/>
      </c>
      <c r="G1845" s="86"/>
      <c r="H1845" s="107">
        <f t="shared" si="199"/>
        <v>0</v>
      </c>
      <c r="I1845" s="107">
        <f t="shared" si="200"/>
        <v>0</v>
      </c>
      <c r="J1845" s="87">
        <f>IF($D1845&gt;0,IFERROR(Параметры!$D$42*$H1845/$H$2408,0),0)</f>
        <v>0</v>
      </c>
      <c r="K1845" s="87">
        <f>IFERROR(ROUND($N1845*Параметры!$D$36,2),0)</f>
        <v>0</v>
      </c>
      <c r="L1845" s="87">
        <f t="shared" si="201"/>
        <v>0</v>
      </c>
      <c r="M1845" s="87">
        <f t="shared" si="202"/>
        <v>0</v>
      </c>
      <c r="N1845" s="107" t="str">
        <f t="shared" si="203"/>
        <v/>
      </c>
    </row>
    <row r="1846" spans="2:14" x14ac:dyDescent="0.25">
      <c r="B1846" s="82">
        <f>SUBTOTAL(103,$D$8:D1846)</f>
        <v>1839</v>
      </c>
      <c r="C1846" s="83" t="s">
        <v>1844</v>
      </c>
      <c r="D1846" s="84">
        <v>0</v>
      </c>
      <c r="E1846" s="85" t="str">
        <f t="shared" si="198"/>
        <v/>
      </c>
      <c r="F1846" s="106" t="str">
        <f t="shared" si="204"/>
        <v/>
      </c>
      <c r="G1846" s="86"/>
      <c r="H1846" s="107">
        <f t="shared" si="199"/>
        <v>0</v>
      </c>
      <c r="I1846" s="107">
        <f t="shared" si="200"/>
        <v>0</v>
      </c>
      <c r="J1846" s="87">
        <f>IF($D1846&gt;0,IFERROR(Параметры!$D$42*$H1846/$H$2408,0),0)</f>
        <v>0</v>
      </c>
      <c r="K1846" s="87">
        <f>IFERROR(ROUND($N1846*Параметры!$D$36,2),0)</f>
        <v>0</v>
      </c>
      <c r="L1846" s="87">
        <f t="shared" si="201"/>
        <v>0</v>
      </c>
      <c r="M1846" s="87">
        <f t="shared" si="202"/>
        <v>0</v>
      </c>
      <c r="N1846" s="107" t="str">
        <f t="shared" si="203"/>
        <v/>
      </c>
    </row>
    <row r="1847" spans="2:14" x14ac:dyDescent="0.25">
      <c r="B1847" s="82">
        <f>SUBTOTAL(103,$D$8:D1847)</f>
        <v>1840</v>
      </c>
      <c r="C1847" s="83" t="s">
        <v>1845</v>
      </c>
      <c r="D1847" s="84">
        <v>0</v>
      </c>
      <c r="E1847" s="85" t="str">
        <f t="shared" si="198"/>
        <v/>
      </c>
      <c r="F1847" s="106" t="str">
        <f t="shared" si="204"/>
        <v/>
      </c>
      <c r="G1847" s="86"/>
      <c r="H1847" s="107">
        <f t="shared" si="199"/>
        <v>0</v>
      </c>
      <c r="I1847" s="107">
        <f t="shared" si="200"/>
        <v>0</v>
      </c>
      <c r="J1847" s="87">
        <f>IF($D1847&gt;0,IFERROR(Параметры!$D$42*$H1847/$H$2408,0),0)</f>
        <v>0</v>
      </c>
      <c r="K1847" s="87">
        <f>IFERROR(ROUND($N1847*Параметры!$D$36,2),0)</f>
        <v>0</v>
      </c>
      <c r="L1847" s="87">
        <f t="shared" si="201"/>
        <v>0</v>
      </c>
      <c r="M1847" s="87">
        <f t="shared" si="202"/>
        <v>0</v>
      </c>
      <c r="N1847" s="107" t="str">
        <f t="shared" si="203"/>
        <v/>
      </c>
    </row>
    <row r="1848" spans="2:14" x14ac:dyDescent="0.25">
      <c r="B1848" s="82">
        <f>SUBTOTAL(103,$D$8:D1848)</f>
        <v>1841</v>
      </c>
      <c r="C1848" s="83" t="s">
        <v>1846</v>
      </c>
      <c r="D1848" s="84">
        <v>0</v>
      </c>
      <c r="E1848" s="85" t="str">
        <f t="shared" si="198"/>
        <v/>
      </c>
      <c r="F1848" s="106" t="str">
        <f t="shared" si="204"/>
        <v/>
      </c>
      <c r="G1848" s="86"/>
      <c r="H1848" s="107">
        <f t="shared" si="199"/>
        <v>0</v>
      </c>
      <c r="I1848" s="107">
        <f t="shared" si="200"/>
        <v>0</v>
      </c>
      <c r="J1848" s="87">
        <f>IF($D1848&gt;0,IFERROR(Параметры!$D$42*$H1848/$H$2408,0),0)</f>
        <v>0</v>
      </c>
      <c r="K1848" s="87">
        <f>IFERROR(ROUND($N1848*Параметры!$D$36,2),0)</f>
        <v>0</v>
      </c>
      <c r="L1848" s="87">
        <f t="shared" si="201"/>
        <v>0</v>
      </c>
      <c r="M1848" s="87">
        <f t="shared" si="202"/>
        <v>0</v>
      </c>
      <c r="N1848" s="107" t="str">
        <f t="shared" si="203"/>
        <v/>
      </c>
    </row>
    <row r="1849" spans="2:14" x14ac:dyDescent="0.25">
      <c r="B1849" s="82">
        <f>SUBTOTAL(103,$D$8:D1849)</f>
        <v>1842</v>
      </c>
      <c r="C1849" s="83" t="s">
        <v>1847</v>
      </c>
      <c r="D1849" s="84">
        <v>0</v>
      </c>
      <c r="E1849" s="85" t="str">
        <f t="shared" si="198"/>
        <v/>
      </c>
      <c r="F1849" s="106" t="str">
        <f t="shared" si="204"/>
        <v/>
      </c>
      <c r="G1849" s="86"/>
      <c r="H1849" s="107">
        <f t="shared" si="199"/>
        <v>0</v>
      </c>
      <c r="I1849" s="107">
        <f t="shared" si="200"/>
        <v>0</v>
      </c>
      <c r="J1849" s="87">
        <f>IF($D1849&gt;0,IFERROR(Параметры!$D$42*$H1849/$H$2408,0),0)</f>
        <v>0</v>
      </c>
      <c r="K1849" s="87">
        <f>IFERROR(ROUND($N1849*Параметры!$D$36,2),0)</f>
        <v>0</v>
      </c>
      <c r="L1849" s="87">
        <f t="shared" si="201"/>
        <v>0</v>
      </c>
      <c r="M1849" s="87">
        <f t="shared" si="202"/>
        <v>0</v>
      </c>
      <c r="N1849" s="107" t="str">
        <f t="shared" si="203"/>
        <v/>
      </c>
    </row>
    <row r="1850" spans="2:14" x14ac:dyDescent="0.25">
      <c r="B1850" s="82">
        <f>SUBTOTAL(103,$D$8:D1850)</f>
        <v>1843</v>
      </c>
      <c r="C1850" s="83" t="s">
        <v>1848</v>
      </c>
      <c r="D1850" s="84">
        <v>0</v>
      </c>
      <c r="E1850" s="85" t="str">
        <f t="shared" si="198"/>
        <v/>
      </c>
      <c r="F1850" s="106" t="str">
        <f t="shared" si="204"/>
        <v/>
      </c>
      <c r="G1850" s="86"/>
      <c r="H1850" s="107">
        <f t="shared" si="199"/>
        <v>0</v>
      </c>
      <c r="I1850" s="107">
        <f t="shared" si="200"/>
        <v>0</v>
      </c>
      <c r="J1850" s="87">
        <f>IF($D1850&gt;0,IFERROR(Параметры!$D$42*$H1850/$H$2408,0),0)</f>
        <v>0</v>
      </c>
      <c r="K1850" s="87">
        <f>IFERROR(ROUND($N1850*Параметры!$D$36,2),0)</f>
        <v>0</v>
      </c>
      <c r="L1850" s="87">
        <f t="shared" si="201"/>
        <v>0</v>
      </c>
      <c r="M1850" s="87">
        <f t="shared" si="202"/>
        <v>0</v>
      </c>
      <c r="N1850" s="107" t="str">
        <f t="shared" si="203"/>
        <v/>
      </c>
    </row>
    <row r="1851" spans="2:14" x14ac:dyDescent="0.25">
      <c r="B1851" s="82">
        <f>SUBTOTAL(103,$D$8:D1851)</f>
        <v>1844</v>
      </c>
      <c r="C1851" s="83" t="s">
        <v>1849</v>
      </c>
      <c r="D1851" s="84">
        <v>0</v>
      </c>
      <c r="E1851" s="85" t="str">
        <f t="shared" si="198"/>
        <v/>
      </c>
      <c r="F1851" s="106" t="str">
        <f t="shared" si="204"/>
        <v/>
      </c>
      <c r="G1851" s="86"/>
      <c r="H1851" s="107">
        <f t="shared" si="199"/>
        <v>0</v>
      </c>
      <c r="I1851" s="107">
        <f t="shared" si="200"/>
        <v>0</v>
      </c>
      <c r="J1851" s="87">
        <f>IF($D1851&gt;0,IFERROR(Параметры!$D$42*$H1851/$H$2408,0),0)</f>
        <v>0</v>
      </c>
      <c r="K1851" s="87">
        <f>IFERROR(ROUND($N1851*Параметры!$D$36,2),0)</f>
        <v>0</v>
      </c>
      <c r="L1851" s="87">
        <f t="shared" si="201"/>
        <v>0</v>
      </c>
      <c r="M1851" s="87">
        <f t="shared" si="202"/>
        <v>0</v>
      </c>
      <c r="N1851" s="107" t="str">
        <f t="shared" si="203"/>
        <v/>
      </c>
    </row>
    <row r="1852" spans="2:14" x14ac:dyDescent="0.25">
      <c r="B1852" s="82">
        <f>SUBTOTAL(103,$D$8:D1852)</f>
        <v>1845</v>
      </c>
      <c r="C1852" s="83" t="s">
        <v>1850</v>
      </c>
      <c r="D1852" s="84">
        <v>0</v>
      </c>
      <c r="E1852" s="85" t="str">
        <f t="shared" si="198"/>
        <v/>
      </c>
      <c r="F1852" s="106" t="str">
        <f t="shared" si="204"/>
        <v/>
      </c>
      <c r="G1852" s="86"/>
      <c r="H1852" s="107">
        <f t="shared" si="199"/>
        <v>0</v>
      </c>
      <c r="I1852" s="107">
        <f t="shared" si="200"/>
        <v>0</v>
      </c>
      <c r="J1852" s="87">
        <f>IF($D1852&gt;0,IFERROR(Параметры!$D$42*$H1852/$H$2408,0),0)</f>
        <v>0</v>
      </c>
      <c r="K1852" s="87">
        <f>IFERROR(ROUND($N1852*Параметры!$D$36,2),0)</f>
        <v>0</v>
      </c>
      <c r="L1852" s="87">
        <f t="shared" si="201"/>
        <v>0</v>
      </c>
      <c r="M1852" s="87">
        <f t="shared" si="202"/>
        <v>0</v>
      </c>
      <c r="N1852" s="107" t="str">
        <f t="shared" si="203"/>
        <v/>
      </c>
    </row>
    <row r="1853" spans="2:14" x14ac:dyDescent="0.25">
      <c r="B1853" s="82">
        <f>SUBTOTAL(103,$D$8:D1853)</f>
        <v>1846</v>
      </c>
      <c r="C1853" s="83" t="s">
        <v>1851</v>
      </c>
      <c r="D1853" s="84">
        <v>0</v>
      </c>
      <c r="E1853" s="85" t="str">
        <f t="shared" si="198"/>
        <v/>
      </c>
      <c r="F1853" s="106" t="str">
        <f t="shared" si="204"/>
        <v/>
      </c>
      <c r="G1853" s="86"/>
      <c r="H1853" s="107">
        <f t="shared" si="199"/>
        <v>0</v>
      </c>
      <c r="I1853" s="107">
        <f t="shared" si="200"/>
        <v>0</v>
      </c>
      <c r="J1853" s="87">
        <f>IF($D1853&gt;0,IFERROR(Параметры!$D$42*$H1853/$H$2408,0),0)</f>
        <v>0</v>
      </c>
      <c r="K1853" s="87">
        <f>IFERROR(ROUND($N1853*Параметры!$D$36,2),0)</f>
        <v>0</v>
      </c>
      <c r="L1853" s="87">
        <f t="shared" si="201"/>
        <v>0</v>
      </c>
      <c r="M1853" s="87">
        <f t="shared" si="202"/>
        <v>0</v>
      </c>
      <c r="N1853" s="107" t="str">
        <f t="shared" si="203"/>
        <v/>
      </c>
    </row>
    <row r="1854" spans="2:14" x14ac:dyDescent="0.25">
      <c r="B1854" s="82">
        <f>SUBTOTAL(103,$D$8:D1854)</f>
        <v>1847</v>
      </c>
      <c r="C1854" s="83" t="s">
        <v>1852</v>
      </c>
      <c r="D1854" s="84">
        <v>0</v>
      </c>
      <c r="E1854" s="85" t="str">
        <f t="shared" si="198"/>
        <v/>
      </c>
      <c r="F1854" s="106" t="str">
        <f t="shared" si="204"/>
        <v/>
      </c>
      <c r="G1854" s="86"/>
      <c r="H1854" s="107">
        <f t="shared" si="199"/>
        <v>0</v>
      </c>
      <c r="I1854" s="107">
        <f t="shared" si="200"/>
        <v>0</v>
      </c>
      <c r="J1854" s="87">
        <f>IF($D1854&gt;0,IFERROR(Параметры!$D$42*$H1854/$H$2408,0),0)</f>
        <v>0</v>
      </c>
      <c r="K1854" s="87">
        <f>IFERROR(ROUND($N1854*Параметры!$D$36,2),0)</f>
        <v>0</v>
      </c>
      <c r="L1854" s="87">
        <f t="shared" si="201"/>
        <v>0</v>
      </c>
      <c r="M1854" s="87">
        <f t="shared" si="202"/>
        <v>0</v>
      </c>
      <c r="N1854" s="107" t="str">
        <f t="shared" si="203"/>
        <v/>
      </c>
    </row>
    <row r="1855" spans="2:14" x14ac:dyDescent="0.25">
      <c r="B1855" s="82">
        <f>SUBTOTAL(103,$D$8:D1855)</f>
        <v>1848</v>
      </c>
      <c r="C1855" s="83" t="s">
        <v>1853</v>
      </c>
      <c r="D1855" s="84">
        <v>0</v>
      </c>
      <c r="E1855" s="85" t="str">
        <f t="shared" si="198"/>
        <v/>
      </c>
      <c r="F1855" s="106" t="str">
        <f t="shared" si="204"/>
        <v/>
      </c>
      <c r="G1855" s="86"/>
      <c r="H1855" s="107">
        <f t="shared" si="199"/>
        <v>0</v>
      </c>
      <c r="I1855" s="107">
        <f t="shared" si="200"/>
        <v>0</v>
      </c>
      <c r="J1855" s="87">
        <f>IF($D1855&gt;0,IFERROR(Параметры!$D$42*$H1855/$H$2408,0),0)</f>
        <v>0</v>
      </c>
      <c r="K1855" s="87">
        <f>IFERROR(ROUND($N1855*Параметры!$D$36,2),0)</f>
        <v>0</v>
      </c>
      <c r="L1855" s="87">
        <f t="shared" si="201"/>
        <v>0</v>
      </c>
      <c r="M1855" s="87">
        <f t="shared" si="202"/>
        <v>0</v>
      </c>
      <c r="N1855" s="107" t="str">
        <f t="shared" si="203"/>
        <v/>
      </c>
    </row>
    <row r="1856" spans="2:14" x14ac:dyDescent="0.25">
      <c r="B1856" s="82">
        <f>SUBTOTAL(103,$D$8:D1856)</f>
        <v>1849</v>
      </c>
      <c r="C1856" s="83" t="s">
        <v>1854</v>
      </c>
      <c r="D1856" s="84">
        <v>0</v>
      </c>
      <c r="E1856" s="85" t="str">
        <f t="shared" si="198"/>
        <v/>
      </c>
      <c r="F1856" s="106" t="str">
        <f t="shared" si="204"/>
        <v/>
      </c>
      <c r="G1856" s="86"/>
      <c r="H1856" s="107">
        <f t="shared" si="199"/>
        <v>0</v>
      </c>
      <c r="I1856" s="107">
        <f t="shared" si="200"/>
        <v>0</v>
      </c>
      <c r="J1856" s="87">
        <f>IF($D1856&gt;0,IFERROR(Параметры!$D$42*$H1856/$H$2408,0),0)</f>
        <v>0</v>
      </c>
      <c r="K1856" s="87">
        <f>IFERROR(ROUND($N1856*Параметры!$D$36,2),0)</f>
        <v>0</v>
      </c>
      <c r="L1856" s="87">
        <f t="shared" si="201"/>
        <v>0</v>
      </c>
      <c r="M1856" s="87">
        <f t="shared" si="202"/>
        <v>0</v>
      </c>
      <c r="N1856" s="107" t="str">
        <f t="shared" si="203"/>
        <v/>
      </c>
    </row>
    <row r="1857" spans="2:14" x14ac:dyDescent="0.25">
      <c r="B1857" s="82">
        <f>SUBTOTAL(103,$D$8:D1857)</f>
        <v>1850</v>
      </c>
      <c r="C1857" s="83" t="s">
        <v>1855</v>
      </c>
      <c r="D1857" s="84">
        <v>0</v>
      </c>
      <c r="E1857" s="85" t="str">
        <f t="shared" si="198"/>
        <v/>
      </c>
      <c r="F1857" s="106" t="str">
        <f t="shared" si="204"/>
        <v/>
      </c>
      <c r="G1857" s="86"/>
      <c r="H1857" s="107">
        <f t="shared" si="199"/>
        <v>0</v>
      </c>
      <c r="I1857" s="107">
        <f t="shared" si="200"/>
        <v>0</v>
      </c>
      <c r="J1857" s="87">
        <f>IF($D1857&gt;0,IFERROR(Параметры!$D$42*$H1857/$H$2408,0),0)</f>
        <v>0</v>
      </c>
      <c r="K1857" s="87">
        <f>IFERROR(ROUND($N1857*Параметры!$D$36,2),0)</f>
        <v>0</v>
      </c>
      <c r="L1857" s="87">
        <f t="shared" si="201"/>
        <v>0</v>
      </c>
      <c r="M1857" s="87">
        <f t="shared" si="202"/>
        <v>0</v>
      </c>
      <c r="N1857" s="107" t="str">
        <f t="shared" si="203"/>
        <v/>
      </c>
    </row>
    <row r="1858" spans="2:14" x14ac:dyDescent="0.25">
      <c r="B1858" s="82">
        <f>SUBTOTAL(103,$D$8:D1858)</f>
        <v>1851</v>
      </c>
      <c r="C1858" s="83" t="s">
        <v>1856</v>
      </c>
      <c r="D1858" s="84">
        <v>0</v>
      </c>
      <c r="E1858" s="85" t="str">
        <f t="shared" si="198"/>
        <v/>
      </c>
      <c r="F1858" s="106" t="str">
        <f t="shared" si="204"/>
        <v/>
      </c>
      <c r="G1858" s="86"/>
      <c r="H1858" s="107">
        <f t="shared" si="199"/>
        <v>0</v>
      </c>
      <c r="I1858" s="107">
        <f t="shared" si="200"/>
        <v>0</v>
      </c>
      <c r="J1858" s="87">
        <f>IF($D1858&gt;0,IFERROR(Параметры!$D$42*$H1858/$H$2408,0),0)</f>
        <v>0</v>
      </c>
      <c r="K1858" s="87">
        <f>IFERROR(ROUND($N1858*Параметры!$D$36,2),0)</f>
        <v>0</v>
      </c>
      <c r="L1858" s="87">
        <f t="shared" si="201"/>
        <v>0</v>
      </c>
      <c r="M1858" s="87">
        <f t="shared" si="202"/>
        <v>0</v>
      </c>
      <c r="N1858" s="107" t="str">
        <f t="shared" si="203"/>
        <v/>
      </c>
    </row>
    <row r="1859" spans="2:14" x14ac:dyDescent="0.25">
      <c r="B1859" s="82">
        <f>SUBTOTAL(103,$D$8:D1859)</f>
        <v>1852</v>
      </c>
      <c r="C1859" s="83" t="s">
        <v>1857</v>
      </c>
      <c r="D1859" s="84">
        <v>0</v>
      </c>
      <c r="E1859" s="85" t="str">
        <f t="shared" si="198"/>
        <v/>
      </c>
      <c r="F1859" s="106" t="str">
        <f t="shared" si="204"/>
        <v/>
      </c>
      <c r="G1859" s="86"/>
      <c r="H1859" s="107">
        <f t="shared" si="199"/>
        <v>0</v>
      </c>
      <c r="I1859" s="107">
        <f t="shared" si="200"/>
        <v>0</v>
      </c>
      <c r="J1859" s="87">
        <f>IF($D1859&gt;0,IFERROR(Параметры!$D$42*$H1859/$H$2408,0),0)</f>
        <v>0</v>
      </c>
      <c r="K1859" s="87">
        <f>IFERROR(ROUND($N1859*Параметры!$D$36,2),0)</f>
        <v>0</v>
      </c>
      <c r="L1859" s="87">
        <f t="shared" si="201"/>
        <v>0</v>
      </c>
      <c r="M1859" s="87">
        <f t="shared" si="202"/>
        <v>0</v>
      </c>
      <c r="N1859" s="107" t="str">
        <f t="shared" si="203"/>
        <v/>
      </c>
    </row>
    <row r="1860" spans="2:14" x14ac:dyDescent="0.25">
      <c r="B1860" s="82">
        <f>SUBTOTAL(103,$D$8:D1860)</f>
        <v>1853</v>
      </c>
      <c r="C1860" s="83" t="s">
        <v>1858</v>
      </c>
      <c r="D1860" s="84">
        <v>0</v>
      </c>
      <c r="E1860" s="85" t="str">
        <f t="shared" si="198"/>
        <v/>
      </c>
      <c r="F1860" s="106" t="str">
        <f t="shared" si="204"/>
        <v/>
      </c>
      <c r="G1860" s="86"/>
      <c r="H1860" s="107">
        <f t="shared" si="199"/>
        <v>0</v>
      </c>
      <c r="I1860" s="107">
        <f t="shared" si="200"/>
        <v>0</v>
      </c>
      <c r="J1860" s="87">
        <f>IF($D1860&gt;0,IFERROR(Параметры!$D$42*$H1860/$H$2408,0),0)</f>
        <v>0</v>
      </c>
      <c r="K1860" s="87">
        <f>IFERROR(ROUND($N1860*Параметры!$D$36,2),0)</f>
        <v>0</v>
      </c>
      <c r="L1860" s="87">
        <f t="shared" si="201"/>
        <v>0</v>
      </c>
      <c r="M1860" s="87">
        <f t="shared" si="202"/>
        <v>0</v>
      </c>
      <c r="N1860" s="107" t="str">
        <f t="shared" si="203"/>
        <v/>
      </c>
    </row>
    <row r="1861" spans="2:14" x14ac:dyDescent="0.25">
      <c r="B1861" s="82">
        <f>SUBTOTAL(103,$D$8:D1861)</f>
        <v>1854</v>
      </c>
      <c r="C1861" s="83" t="s">
        <v>1859</v>
      </c>
      <c r="D1861" s="84">
        <v>0</v>
      </c>
      <c r="E1861" s="85" t="str">
        <f t="shared" si="198"/>
        <v/>
      </c>
      <c r="F1861" s="106" t="str">
        <f t="shared" si="204"/>
        <v/>
      </c>
      <c r="G1861" s="86"/>
      <c r="H1861" s="107">
        <f t="shared" si="199"/>
        <v>0</v>
      </c>
      <c r="I1861" s="107">
        <f t="shared" si="200"/>
        <v>0</v>
      </c>
      <c r="J1861" s="87">
        <f>IF($D1861&gt;0,IFERROR(Параметры!$D$42*$H1861/$H$2408,0),0)</f>
        <v>0</v>
      </c>
      <c r="K1861" s="87">
        <f>IFERROR(ROUND($N1861*Параметры!$D$36,2),0)</f>
        <v>0</v>
      </c>
      <c r="L1861" s="87">
        <f t="shared" si="201"/>
        <v>0</v>
      </c>
      <c r="M1861" s="87">
        <f t="shared" si="202"/>
        <v>0</v>
      </c>
      <c r="N1861" s="107" t="str">
        <f t="shared" si="203"/>
        <v/>
      </c>
    </row>
    <row r="1862" spans="2:14" x14ac:dyDescent="0.25">
      <c r="B1862" s="82">
        <f>SUBTOTAL(103,$D$8:D1862)</f>
        <v>1855</v>
      </c>
      <c r="C1862" s="83" t="s">
        <v>1860</v>
      </c>
      <c r="D1862" s="84">
        <v>0</v>
      </c>
      <c r="E1862" s="85" t="str">
        <f t="shared" si="198"/>
        <v/>
      </c>
      <c r="F1862" s="106" t="str">
        <f t="shared" si="204"/>
        <v/>
      </c>
      <c r="G1862" s="86"/>
      <c r="H1862" s="107">
        <f t="shared" si="199"/>
        <v>0</v>
      </c>
      <c r="I1862" s="107">
        <f t="shared" si="200"/>
        <v>0</v>
      </c>
      <c r="J1862" s="87">
        <f>IF($D1862&gt;0,IFERROR(Параметры!$D$42*$H1862/$H$2408,0),0)</f>
        <v>0</v>
      </c>
      <c r="K1862" s="87">
        <f>IFERROR(ROUND($N1862*Параметры!$D$36,2),0)</f>
        <v>0</v>
      </c>
      <c r="L1862" s="87">
        <f t="shared" si="201"/>
        <v>0</v>
      </c>
      <c r="M1862" s="87">
        <f t="shared" si="202"/>
        <v>0</v>
      </c>
      <c r="N1862" s="107" t="str">
        <f t="shared" si="203"/>
        <v/>
      </c>
    </row>
    <row r="1863" spans="2:14" x14ac:dyDescent="0.25">
      <c r="B1863" s="82">
        <f>SUBTOTAL(103,$D$8:D1863)</f>
        <v>1856</v>
      </c>
      <c r="C1863" s="83" t="s">
        <v>1861</v>
      </c>
      <c r="D1863" s="84">
        <v>0</v>
      </c>
      <c r="E1863" s="85" t="str">
        <f t="shared" si="198"/>
        <v/>
      </c>
      <c r="F1863" s="106" t="str">
        <f t="shared" si="204"/>
        <v/>
      </c>
      <c r="G1863" s="86"/>
      <c r="H1863" s="107">
        <f t="shared" si="199"/>
        <v>0</v>
      </c>
      <c r="I1863" s="107">
        <f t="shared" si="200"/>
        <v>0</v>
      </c>
      <c r="J1863" s="87">
        <f>IF($D1863&gt;0,IFERROR(Параметры!$D$42*$H1863/$H$2408,0),0)</f>
        <v>0</v>
      </c>
      <c r="K1863" s="87">
        <f>IFERROR(ROUND($N1863*Параметры!$D$36,2),0)</f>
        <v>0</v>
      </c>
      <c r="L1863" s="87">
        <f t="shared" si="201"/>
        <v>0</v>
      </c>
      <c r="M1863" s="87">
        <f t="shared" si="202"/>
        <v>0</v>
      </c>
      <c r="N1863" s="107" t="str">
        <f t="shared" si="203"/>
        <v/>
      </c>
    </row>
    <row r="1864" spans="2:14" x14ac:dyDescent="0.25">
      <c r="B1864" s="82">
        <f>SUBTOTAL(103,$D$8:D1864)</f>
        <v>1857</v>
      </c>
      <c r="C1864" s="83" t="s">
        <v>1862</v>
      </c>
      <c r="D1864" s="84">
        <v>0</v>
      </c>
      <c r="E1864" s="85" t="str">
        <f t="shared" ref="E1864:E1927" si="205">IF($D1864&lt;1,"",$K1864+$L1864)</f>
        <v/>
      </c>
      <c r="F1864" s="106" t="str">
        <f t="shared" si="204"/>
        <v/>
      </c>
      <c r="G1864" s="86"/>
      <c r="H1864" s="107">
        <f t="shared" ref="H1864:H1927" si="206">IF($D1864&gt;0,$D1864*КИС,0)</f>
        <v>0</v>
      </c>
      <c r="I1864" s="107">
        <f t="shared" ref="I1864:I1927" si="207">IF($D1864&gt;0,$D1864-$H1864,0)</f>
        <v>0</v>
      </c>
      <c r="J1864" s="87">
        <f>IF($D1864&gt;0,IFERROR(Параметры!$D$42*$H1864/$H$2408,0),0)</f>
        <v>0</v>
      </c>
      <c r="K1864" s="87">
        <f>IFERROR(ROUND($N1864*Параметры!$D$36,2),0)</f>
        <v>0</v>
      </c>
      <c r="L1864" s="87">
        <f t="shared" ref="L1864:L1927" si="208">IF($K1864&gt;0,$K1864*0.055,0)</f>
        <v>0</v>
      </c>
      <c r="M1864" s="87">
        <f t="shared" ref="M1864:M1927" si="209">IFERROR($L1864/Плотность_ДТ,0)</f>
        <v>0</v>
      </c>
      <c r="N1864" s="107" t="str">
        <f t="shared" ref="N1864:N1927" si="210">IF($D1864&gt;0,MAX(0,$D1864-IF($F1864="",0,$F1864)),"")</f>
        <v/>
      </c>
    </row>
    <row r="1865" spans="2:14" x14ac:dyDescent="0.25">
      <c r="B1865" s="82">
        <f>SUBTOTAL(103,$D$8:D1865)</f>
        <v>1858</v>
      </c>
      <c r="C1865" s="83" t="s">
        <v>1863</v>
      </c>
      <c r="D1865" s="84">
        <v>0</v>
      </c>
      <c r="E1865" s="85" t="str">
        <f t="shared" si="205"/>
        <v/>
      </c>
      <c r="F1865" s="106" t="str">
        <f t="shared" si="204"/>
        <v/>
      </c>
      <c r="G1865" s="86"/>
      <c r="H1865" s="107">
        <f t="shared" si="206"/>
        <v>0</v>
      </c>
      <c r="I1865" s="107">
        <f t="shared" si="207"/>
        <v>0</v>
      </c>
      <c r="J1865" s="87">
        <f>IF($D1865&gt;0,IFERROR(Параметры!$D$42*$H1865/$H$2408,0),0)</f>
        <v>0</v>
      </c>
      <c r="K1865" s="87">
        <f>IFERROR(ROUND($N1865*Параметры!$D$36,2),0)</f>
        <v>0</v>
      </c>
      <c r="L1865" s="87">
        <f t="shared" si="208"/>
        <v>0</v>
      </c>
      <c r="M1865" s="87">
        <f t="shared" si="209"/>
        <v>0</v>
      </c>
      <c r="N1865" s="107" t="str">
        <f t="shared" si="210"/>
        <v/>
      </c>
    </row>
    <row r="1866" spans="2:14" x14ac:dyDescent="0.25">
      <c r="B1866" s="82">
        <f>SUBTOTAL(103,$D$8:D1866)</f>
        <v>1859</v>
      </c>
      <c r="C1866" s="83" t="s">
        <v>1864</v>
      </c>
      <c r="D1866" s="84">
        <v>0</v>
      </c>
      <c r="E1866" s="85" t="str">
        <f t="shared" si="205"/>
        <v/>
      </c>
      <c r="F1866" s="106" t="str">
        <f t="shared" si="204"/>
        <v/>
      </c>
      <c r="G1866" s="86"/>
      <c r="H1866" s="107">
        <f t="shared" si="206"/>
        <v>0</v>
      </c>
      <c r="I1866" s="107">
        <f t="shared" si="207"/>
        <v>0</v>
      </c>
      <c r="J1866" s="87">
        <f>IF($D1866&gt;0,IFERROR(Параметры!$D$42*$H1866/$H$2408,0),0)</f>
        <v>0</v>
      </c>
      <c r="K1866" s="87">
        <f>IFERROR(ROUND($N1866*Параметры!$D$36,2),0)</f>
        <v>0</v>
      </c>
      <c r="L1866" s="87">
        <f t="shared" si="208"/>
        <v>0</v>
      </c>
      <c r="M1866" s="87">
        <f t="shared" si="209"/>
        <v>0</v>
      </c>
      <c r="N1866" s="107" t="str">
        <f t="shared" si="210"/>
        <v/>
      </c>
    </row>
    <row r="1867" spans="2:14" x14ac:dyDescent="0.25">
      <c r="B1867" s="82">
        <f>SUBTOTAL(103,$D$8:D1867)</f>
        <v>1860</v>
      </c>
      <c r="C1867" s="83" t="s">
        <v>1865</v>
      </c>
      <c r="D1867" s="84">
        <v>0</v>
      </c>
      <c r="E1867" s="85" t="str">
        <f t="shared" si="205"/>
        <v/>
      </c>
      <c r="F1867" s="106" t="str">
        <f t="shared" ref="F1867:F1930" si="211">IF(D1867&gt;0,2,"")</f>
        <v/>
      </c>
      <c r="G1867" s="86"/>
      <c r="H1867" s="107">
        <f t="shared" si="206"/>
        <v>0</v>
      </c>
      <c r="I1867" s="107">
        <f t="shared" si="207"/>
        <v>0</v>
      </c>
      <c r="J1867" s="87">
        <f>IF($D1867&gt;0,IFERROR(Параметры!$D$42*$H1867/$H$2408,0),0)</f>
        <v>0</v>
      </c>
      <c r="K1867" s="87">
        <f>IFERROR(ROUND($N1867*Параметры!$D$36,2),0)</f>
        <v>0</v>
      </c>
      <c r="L1867" s="87">
        <f t="shared" si="208"/>
        <v>0</v>
      </c>
      <c r="M1867" s="87">
        <f t="shared" si="209"/>
        <v>0</v>
      </c>
      <c r="N1867" s="107" t="str">
        <f t="shared" si="210"/>
        <v/>
      </c>
    </row>
    <row r="1868" spans="2:14" x14ac:dyDescent="0.25">
      <c r="B1868" s="82">
        <f>SUBTOTAL(103,$D$8:D1868)</f>
        <v>1861</v>
      </c>
      <c r="C1868" s="83" t="s">
        <v>1866</v>
      </c>
      <c r="D1868" s="84">
        <f t="array" ref="D1868:D1927">TRANSPOSE('Зарядная карта'!$C$36:$BJ$36)</f>
        <v>0</v>
      </c>
      <c r="E1868" s="85" t="str">
        <f t="shared" si="205"/>
        <v/>
      </c>
      <c r="F1868" s="106" t="str">
        <f t="shared" si="211"/>
        <v/>
      </c>
      <c r="G1868" s="86"/>
      <c r="H1868" s="107">
        <f t="shared" si="206"/>
        <v>0</v>
      </c>
      <c r="I1868" s="107">
        <f t="shared" si="207"/>
        <v>0</v>
      </c>
      <c r="J1868" s="87">
        <f>IF($D1868&gt;0,IFERROR(Параметры!$D$42*$H1868/$H$2408,0),0)</f>
        <v>0</v>
      </c>
      <c r="K1868" s="87">
        <f>IFERROR(ROUND($N1868*Параметры!$D$36,2),0)</f>
        <v>0</v>
      </c>
      <c r="L1868" s="87">
        <f t="shared" si="208"/>
        <v>0</v>
      </c>
      <c r="M1868" s="87">
        <f t="shared" si="209"/>
        <v>0</v>
      </c>
      <c r="N1868" s="107" t="str">
        <f t="shared" si="210"/>
        <v/>
      </c>
    </row>
    <row r="1869" spans="2:14" x14ac:dyDescent="0.25">
      <c r="B1869" s="82">
        <f>SUBTOTAL(103,$D$8:D1869)</f>
        <v>1862</v>
      </c>
      <c r="C1869" s="83" t="s">
        <v>1867</v>
      </c>
      <c r="D1869" s="84">
        <v>0</v>
      </c>
      <c r="E1869" s="85" t="str">
        <f t="shared" si="205"/>
        <v/>
      </c>
      <c r="F1869" s="106" t="str">
        <f t="shared" si="211"/>
        <v/>
      </c>
      <c r="G1869" s="86"/>
      <c r="H1869" s="107">
        <f t="shared" si="206"/>
        <v>0</v>
      </c>
      <c r="I1869" s="107">
        <f t="shared" si="207"/>
        <v>0</v>
      </c>
      <c r="J1869" s="87">
        <f>IF($D1869&gt;0,IFERROR(Параметры!$D$42*$H1869/$H$2408,0),0)</f>
        <v>0</v>
      </c>
      <c r="K1869" s="87">
        <f>IFERROR(ROUND($N1869*Параметры!$D$36,2),0)</f>
        <v>0</v>
      </c>
      <c r="L1869" s="87">
        <f t="shared" si="208"/>
        <v>0</v>
      </c>
      <c r="M1869" s="87">
        <f t="shared" si="209"/>
        <v>0</v>
      </c>
      <c r="N1869" s="107" t="str">
        <f t="shared" si="210"/>
        <v/>
      </c>
    </row>
    <row r="1870" spans="2:14" x14ac:dyDescent="0.25">
      <c r="B1870" s="82">
        <f>SUBTOTAL(103,$D$8:D1870)</f>
        <v>1863</v>
      </c>
      <c r="C1870" s="83" t="s">
        <v>1868</v>
      </c>
      <c r="D1870" s="84">
        <v>0</v>
      </c>
      <c r="E1870" s="85" t="str">
        <f t="shared" si="205"/>
        <v/>
      </c>
      <c r="F1870" s="106" t="str">
        <f t="shared" si="211"/>
        <v/>
      </c>
      <c r="G1870" s="86"/>
      <c r="H1870" s="107">
        <f t="shared" si="206"/>
        <v>0</v>
      </c>
      <c r="I1870" s="107">
        <f t="shared" si="207"/>
        <v>0</v>
      </c>
      <c r="J1870" s="87">
        <f>IF($D1870&gt;0,IFERROR(Параметры!$D$42*$H1870/$H$2408,0),0)</f>
        <v>0</v>
      </c>
      <c r="K1870" s="87">
        <f>IFERROR(ROUND($N1870*Параметры!$D$36,2),0)</f>
        <v>0</v>
      </c>
      <c r="L1870" s="87">
        <f t="shared" si="208"/>
        <v>0</v>
      </c>
      <c r="M1870" s="87">
        <f t="shared" si="209"/>
        <v>0</v>
      </c>
      <c r="N1870" s="107" t="str">
        <f t="shared" si="210"/>
        <v/>
      </c>
    </row>
    <row r="1871" spans="2:14" x14ac:dyDescent="0.25">
      <c r="B1871" s="82">
        <f>SUBTOTAL(103,$D$8:D1871)</f>
        <v>1864</v>
      </c>
      <c r="C1871" s="83" t="s">
        <v>1869</v>
      </c>
      <c r="D1871" s="84">
        <v>0</v>
      </c>
      <c r="E1871" s="85" t="str">
        <f t="shared" si="205"/>
        <v/>
      </c>
      <c r="F1871" s="106" t="str">
        <f t="shared" si="211"/>
        <v/>
      </c>
      <c r="G1871" s="86"/>
      <c r="H1871" s="107">
        <f t="shared" si="206"/>
        <v>0</v>
      </c>
      <c r="I1871" s="107">
        <f t="shared" si="207"/>
        <v>0</v>
      </c>
      <c r="J1871" s="87">
        <f>IF($D1871&gt;0,IFERROR(Параметры!$D$42*$H1871/$H$2408,0),0)</f>
        <v>0</v>
      </c>
      <c r="K1871" s="87">
        <f>IFERROR(ROUND($N1871*Параметры!$D$36,2),0)</f>
        <v>0</v>
      </c>
      <c r="L1871" s="87">
        <f t="shared" si="208"/>
        <v>0</v>
      </c>
      <c r="M1871" s="87">
        <f t="shared" si="209"/>
        <v>0</v>
      </c>
      <c r="N1871" s="107" t="str">
        <f t="shared" si="210"/>
        <v/>
      </c>
    </row>
    <row r="1872" spans="2:14" x14ac:dyDescent="0.25">
      <c r="B1872" s="82">
        <f>SUBTOTAL(103,$D$8:D1872)</f>
        <v>1865</v>
      </c>
      <c r="C1872" s="83" t="s">
        <v>1870</v>
      </c>
      <c r="D1872" s="84">
        <v>0</v>
      </c>
      <c r="E1872" s="85" t="str">
        <f t="shared" si="205"/>
        <v/>
      </c>
      <c r="F1872" s="106" t="str">
        <f t="shared" si="211"/>
        <v/>
      </c>
      <c r="G1872" s="86"/>
      <c r="H1872" s="107">
        <f t="shared" si="206"/>
        <v>0</v>
      </c>
      <c r="I1872" s="107">
        <f t="shared" si="207"/>
        <v>0</v>
      </c>
      <c r="J1872" s="87">
        <f>IF($D1872&gt;0,IFERROR(Параметры!$D$42*$H1872/$H$2408,0),0)</f>
        <v>0</v>
      </c>
      <c r="K1872" s="87">
        <f>IFERROR(ROUND($N1872*Параметры!$D$36,2),0)</f>
        <v>0</v>
      </c>
      <c r="L1872" s="87">
        <f t="shared" si="208"/>
        <v>0</v>
      </c>
      <c r="M1872" s="87">
        <f t="shared" si="209"/>
        <v>0</v>
      </c>
      <c r="N1872" s="107" t="str">
        <f t="shared" si="210"/>
        <v/>
      </c>
    </row>
    <row r="1873" spans="2:14" x14ac:dyDescent="0.25">
      <c r="B1873" s="82">
        <f>SUBTOTAL(103,$D$8:D1873)</f>
        <v>1866</v>
      </c>
      <c r="C1873" s="83" t="s">
        <v>1871</v>
      </c>
      <c r="D1873" s="84">
        <v>0</v>
      </c>
      <c r="E1873" s="85" t="str">
        <f t="shared" si="205"/>
        <v/>
      </c>
      <c r="F1873" s="106" t="str">
        <f t="shared" si="211"/>
        <v/>
      </c>
      <c r="G1873" s="86"/>
      <c r="H1873" s="107">
        <f t="shared" si="206"/>
        <v>0</v>
      </c>
      <c r="I1873" s="107">
        <f t="shared" si="207"/>
        <v>0</v>
      </c>
      <c r="J1873" s="87">
        <f>IF($D1873&gt;0,IFERROR(Параметры!$D$42*$H1873/$H$2408,0),0)</f>
        <v>0</v>
      </c>
      <c r="K1873" s="87">
        <f>IFERROR(ROUND($N1873*Параметры!$D$36,2),0)</f>
        <v>0</v>
      </c>
      <c r="L1873" s="87">
        <f t="shared" si="208"/>
        <v>0</v>
      </c>
      <c r="M1873" s="87">
        <f t="shared" si="209"/>
        <v>0</v>
      </c>
      <c r="N1873" s="107" t="str">
        <f t="shared" si="210"/>
        <v/>
      </c>
    </row>
    <row r="1874" spans="2:14" x14ac:dyDescent="0.25">
      <c r="B1874" s="82">
        <f>SUBTOTAL(103,$D$8:D1874)</f>
        <v>1867</v>
      </c>
      <c r="C1874" s="83" t="s">
        <v>1872</v>
      </c>
      <c r="D1874" s="84">
        <v>0</v>
      </c>
      <c r="E1874" s="85" t="str">
        <f t="shared" si="205"/>
        <v/>
      </c>
      <c r="F1874" s="106" t="str">
        <f t="shared" si="211"/>
        <v/>
      </c>
      <c r="G1874" s="86"/>
      <c r="H1874" s="107">
        <f t="shared" si="206"/>
        <v>0</v>
      </c>
      <c r="I1874" s="107">
        <f t="shared" si="207"/>
        <v>0</v>
      </c>
      <c r="J1874" s="87">
        <f>IF($D1874&gt;0,IFERROR(Параметры!$D$42*$H1874/$H$2408,0),0)</f>
        <v>0</v>
      </c>
      <c r="K1874" s="87">
        <f>IFERROR(ROUND($N1874*Параметры!$D$36,2),0)</f>
        <v>0</v>
      </c>
      <c r="L1874" s="87">
        <f t="shared" si="208"/>
        <v>0</v>
      </c>
      <c r="M1874" s="87">
        <f t="shared" si="209"/>
        <v>0</v>
      </c>
      <c r="N1874" s="107" t="str">
        <f t="shared" si="210"/>
        <v/>
      </c>
    </row>
    <row r="1875" spans="2:14" x14ac:dyDescent="0.25">
      <c r="B1875" s="82">
        <f>SUBTOTAL(103,$D$8:D1875)</f>
        <v>1868</v>
      </c>
      <c r="C1875" s="83" t="s">
        <v>1873</v>
      </c>
      <c r="D1875" s="84">
        <v>0</v>
      </c>
      <c r="E1875" s="85" t="str">
        <f t="shared" si="205"/>
        <v/>
      </c>
      <c r="F1875" s="106" t="str">
        <f t="shared" si="211"/>
        <v/>
      </c>
      <c r="G1875" s="86"/>
      <c r="H1875" s="107">
        <f t="shared" si="206"/>
        <v>0</v>
      </c>
      <c r="I1875" s="107">
        <f t="shared" si="207"/>
        <v>0</v>
      </c>
      <c r="J1875" s="87">
        <f>IF($D1875&gt;0,IFERROR(Параметры!$D$42*$H1875/$H$2408,0),0)</f>
        <v>0</v>
      </c>
      <c r="K1875" s="87">
        <f>IFERROR(ROUND($N1875*Параметры!$D$36,2),0)</f>
        <v>0</v>
      </c>
      <c r="L1875" s="87">
        <f t="shared" si="208"/>
        <v>0</v>
      </c>
      <c r="M1875" s="87">
        <f t="shared" si="209"/>
        <v>0</v>
      </c>
      <c r="N1875" s="107" t="str">
        <f t="shared" si="210"/>
        <v/>
      </c>
    </row>
    <row r="1876" spans="2:14" x14ac:dyDescent="0.25">
      <c r="B1876" s="82">
        <f>SUBTOTAL(103,$D$8:D1876)</f>
        <v>1869</v>
      </c>
      <c r="C1876" s="83" t="s">
        <v>1874</v>
      </c>
      <c r="D1876" s="84">
        <v>0</v>
      </c>
      <c r="E1876" s="85" t="str">
        <f t="shared" si="205"/>
        <v/>
      </c>
      <c r="F1876" s="106" t="str">
        <f t="shared" si="211"/>
        <v/>
      </c>
      <c r="G1876" s="86"/>
      <c r="H1876" s="107">
        <f t="shared" si="206"/>
        <v>0</v>
      </c>
      <c r="I1876" s="107">
        <f t="shared" si="207"/>
        <v>0</v>
      </c>
      <c r="J1876" s="87">
        <f>IF($D1876&gt;0,IFERROR(Параметры!$D$42*$H1876/$H$2408,0),0)</f>
        <v>0</v>
      </c>
      <c r="K1876" s="87">
        <f>IFERROR(ROUND($N1876*Параметры!$D$36,2),0)</f>
        <v>0</v>
      </c>
      <c r="L1876" s="87">
        <f t="shared" si="208"/>
        <v>0</v>
      </c>
      <c r="M1876" s="87">
        <f t="shared" si="209"/>
        <v>0</v>
      </c>
      <c r="N1876" s="107" t="str">
        <f t="shared" si="210"/>
        <v/>
      </c>
    </row>
    <row r="1877" spans="2:14" x14ac:dyDescent="0.25">
      <c r="B1877" s="82">
        <f>SUBTOTAL(103,$D$8:D1877)</f>
        <v>1870</v>
      </c>
      <c r="C1877" s="83" t="s">
        <v>1875</v>
      </c>
      <c r="D1877" s="84">
        <v>0</v>
      </c>
      <c r="E1877" s="85" t="str">
        <f t="shared" si="205"/>
        <v/>
      </c>
      <c r="F1877" s="106" t="str">
        <f t="shared" si="211"/>
        <v/>
      </c>
      <c r="G1877" s="86"/>
      <c r="H1877" s="107">
        <f t="shared" si="206"/>
        <v>0</v>
      </c>
      <c r="I1877" s="107">
        <f t="shared" si="207"/>
        <v>0</v>
      </c>
      <c r="J1877" s="87">
        <f>IF($D1877&gt;0,IFERROR(Параметры!$D$42*$H1877/$H$2408,0),0)</f>
        <v>0</v>
      </c>
      <c r="K1877" s="87">
        <f>IFERROR(ROUND($N1877*Параметры!$D$36,2),0)</f>
        <v>0</v>
      </c>
      <c r="L1877" s="87">
        <f t="shared" si="208"/>
        <v>0</v>
      </c>
      <c r="M1877" s="87">
        <f t="shared" si="209"/>
        <v>0</v>
      </c>
      <c r="N1877" s="107" t="str">
        <f t="shared" si="210"/>
        <v/>
      </c>
    </row>
    <row r="1878" spans="2:14" x14ac:dyDescent="0.25">
      <c r="B1878" s="82">
        <f>SUBTOTAL(103,$D$8:D1878)</f>
        <v>1871</v>
      </c>
      <c r="C1878" s="83" t="s">
        <v>1876</v>
      </c>
      <c r="D1878" s="84">
        <v>0</v>
      </c>
      <c r="E1878" s="85" t="str">
        <f t="shared" si="205"/>
        <v/>
      </c>
      <c r="F1878" s="106" t="str">
        <f t="shared" si="211"/>
        <v/>
      </c>
      <c r="G1878" s="86"/>
      <c r="H1878" s="107">
        <f t="shared" si="206"/>
        <v>0</v>
      </c>
      <c r="I1878" s="107">
        <f t="shared" si="207"/>
        <v>0</v>
      </c>
      <c r="J1878" s="87">
        <f>IF($D1878&gt;0,IFERROR(Параметры!$D$42*$H1878/$H$2408,0),0)</f>
        <v>0</v>
      </c>
      <c r="K1878" s="87">
        <f>IFERROR(ROUND($N1878*Параметры!$D$36,2),0)</f>
        <v>0</v>
      </c>
      <c r="L1878" s="87">
        <f t="shared" si="208"/>
        <v>0</v>
      </c>
      <c r="M1878" s="87">
        <f t="shared" si="209"/>
        <v>0</v>
      </c>
      <c r="N1878" s="107" t="str">
        <f t="shared" si="210"/>
        <v/>
      </c>
    </row>
    <row r="1879" spans="2:14" x14ac:dyDescent="0.25">
      <c r="B1879" s="82">
        <f>SUBTOTAL(103,$D$8:D1879)</f>
        <v>1872</v>
      </c>
      <c r="C1879" s="83" t="s">
        <v>1877</v>
      </c>
      <c r="D1879" s="84">
        <v>0</v>
      </c>
      <c r="E1879" s="85" t="str">
        <f t="shared" si="205"/>
        <v/>
      </c>
      <c r="F1879" s="106" t="str">
        <f t="shared" si="211"/>
        <v/>
      </c>
      <c r="G1879" s="86"/>
      <c r="H1879" s="107">
        <f t="shared" si="206"/>
        <v>0</v>
      </c>
      <c r="I1879" s="107">
        <f t="shared" si="207"/>
        <v>0</v>
      </c>
      <c r="J1879" s="87">
        <f>IF($D1879&gt;0,IFERROR(Параметры!$D$42*$H1879/$H$2408,0),0)</f>
        <v>0</v>
      </c>
      <c r="K1879" s="87">
        <f>IFERROR(ROUND($N1879*Параметры!$D$36,2),0)</f>
        <v>0</v>
      </c>
      <c r="L1879" s="87">
        <f t="shared" si="208"/>
        <v>0</v>
      </c>
      <c r="M1879" s="87">
        <f t="shared" si="209"/>
        <v>0</v>
      </c>
      <c r="N1879" s="107" t="str">
        <f t="shared" si="210"/>
        <v/>
      </c>
    </row>
    <row r="1880" spans="2:14" x14ac:dyDescent="0.25">
      <c r="B1880" s="82">
        <f>SUBTOTAL(103,$D$8:D1880)</f>
        <v>1873</v>
      </c>
      <c r="C1880" s="83" t="s">
        <v>1878</v>
      </c>
      <c r="D1880" s="84">
        <v>0</v>
      </c>
      <c r="E1880" s="85" t="str">
        <f t="shared" si="205"/>
        <v/>
      </c>
      <c r="F1880" s="106" t="str">
        <f t="shared" si="211"/>
        <v/>
      </c>
      <c r="G1880" s="86"/>
      <c r="H1880" s="107">
        <f t="shared" si="206"/>
        <v>0</v>
      </c>
      <c r="I1880" s="107">
        <f t="shared" si="207"/>
        <v>0</v>
      </c>
      <c r="J1880" s="87">
        <f>IF($D1880&gt;0,IFERROR(Параметры!$D$42*$H1880/$H$2408,0),0)</f>
        <v>0</v>
      </c>
      <c r="K1880" s="87">
        <f>IFERROR(ROUND($N1880*Параметры!$D$36,2),0)</f>
        <v>0</v>
      </c>
      <c r="L1880" s="87">
        <f t="shared" si="208"/>
        <v>0</v>
      </c>
      <c r="M1880" s="87">
        <f t="shared" si="209"/>
        <v>0</v>
      </c>
      <c r="N1880" s="107" t="str">
        <f t="shared" si="210"/>
        <v/>
      </c>
    </row>
    <row r="1881" spans="2:14" x14ac:dyDescent="0.25">
      <c r="B1881" s="82">
        <f>SUBTOTAL(103,$D$8:D1881)</f>
        <v>1874</v>
      </c>
      <c r="C1881" s="83" t="s">
        <v>1879</v>
      </c>
      <c r="D1881" s="84">
        <v>0</v>
      </c>
      <c r="E1881" s="85" t="str">
        <f t="shared" si="205"/>
        <v/>
      </c>
      <c r="F1881" s="106" t="str">
        <f t="shared" si="211"/>
        <v/>
      </c>
      <c r="G1881" s="86"/>
      <c r="H1881" s="107">
        <f t="shared" si="206"/>
        <v>0</v>
      </c>
      <c r="I1881" s="107">
        <f t="shared" si="207"/>
        <v>0</v>
      </c>
      <c r="J1881" s="87">
        <f>IF($D1881&gt;0,IFERROR(Параметры!$D$42*$H1881/$H$2408,0),0)</f>
        <v>0</v>
      </c>
      <c r="K1881" s="87">
        <f>IFERROR(ROUND($N1881*Параметры!$D$36,2),0)</f>
        <v>0</v>
      </c>
      <c r="L1881" s="87">
        <f t="shared" si="208"/>
        <v>0</v>
      </c>
      <c r="M1881" s="87">
        <f t="shared" si="209"/>
        <v>0</v>
      </c>
      <c r="N1881" s="107" t="str">
        <f t="shared" si="210"/>
        <v/>
      </c>
    </row>
    <row r="1882" spans="2:14" x14ac:dyDescent="0.25">
      <c r="B1882" s="82">
        <f>SUBTOTAL(103,$D$8:D1882)</f>
        <v>1875</v>
      </c>
      <c r="C1882" s="83" t="s">
        <v>1880</v>
      </c>
      <c r="D1882" s="84">
        <v>0</v>
      </c>
      <c r="E1882" s="85" t="str">
        <f t="shared" si="205"/>
        <v/>
      </c>
      <c r="F1882" s="106" t="str">
        <f t="shared" si="211"/>
        <v/>
      </c>
      <c r="G1882" s="86"/>
      <c r="H1882" s="107">
        <f t="shared" si="206"/>
        <v>0</v>
      </c>
      <c r="I1882" s="107">
        <f t="shared" si="207"/>
        <v>0</v>
      </c>
      <c r="J1882" s="87">
        <f>IF($D1882&gt;0,IFERROR(Параметры!$D$42*$H1882/$H$2408,0),0)</f>
        <v>0</v>
      </c>
      <c r="K1882" s="87">
        <f>IFERROR(ROUND($N1882*Параметры!$D$36,2),0)</f>
        <v>0</v>
      </c>
      <c r="L1882" s="87">
        <f t="shared" si="208"/>
        <v>0</v>
      </c>
      <c r="M1882" s="87">
        <f t="shared" si="209"/>
        <v>0</v>
      </c>
      <c r="N1882" s="107" t="str">
        <f t="shared" si="210"/>
        <v/>
      </c>
    </row>
    <row r="1883" spans="2:14" x14ac:dyDescent="0.25">
      <c r="B1883" s="82">
        <f>SUBTOTAL(103,$D$8:D1883)</f>
        <v>1876</v>
      </c>
      <c r="C1883" s="83" t="s">
        <v>1881</v>
      </c>
      <c r="D1883" s="84">
        <v>0</v>
      </c>
      <c r="E1883" s="85" t="str">
        <f t="shared" si="205"/>
        <v/>
      </c>
      <c r="F1883" s="106" t="str">
        <f t="shared" si="211"/>
        <v/>
      </c>
      <c r="G1883" s="86"/>
      <c r="H1883" s="107">
        <f t="shared" si="206"/>
        <v>0</v>
      </c>
      <c r="I1883" s="107">
        <f t="shared" si="207"/>
        <v>0</v>
      </c>
      <c r="J1883" s="87">
        <f>IF($D1883&gt;0,IFERROR(Параметры!$D$42*$H1883/$H$2408,0),0)</f>
        <v>0</v>
      </c>
      <c r="K1883" s="87">
        <f>IFERROR(ROUND($N1883*Параметры!$D$36,2),0)</f>
        <v>0</v>
      </c>
      <c r="L1883" s="87">
        <f t="shared" si="208"/>
        <v>0</v>
      </c>
      <c r="M1883" s="87">
        <f t="shared" si="209"/>
        <v>0</v>
      </c>
      <c r="N1883" s="107" t="str">
        <f t="shared" si="210"/>
        <v/>
      </c>
    </row>
    <row r="1884" spans="2:14" x14ac:dyDescent="0.25">
      <c r="B1884" s="82">
        <f>SUBTOTAL(103,$D$8:D1884)</f>
        <v>1877</v>
      </c>
      <c r="C1884" s="83" t="s">
        <v>1882</v>
      </c>
      <c r="D1884" s="84">
        <v>0</v>
      </c>
      <c r="E1884" s="85" t="str">
        <f t="shared" si="205"/>
        <v/>
      </c>
      <c r="F1884" s="106" t="str">
        <f t="shared" si="211"/>
        <v/>
      </c>
      <c r="G1884" s="86"/>
      <c r="H1884" s="107">
        <f t="shared" si="206"/>
        <v>0</v>
      </c>
      <c r="I1884" s="107">
        <f t="shared" si="207"/>
        <v>0</v>
      </c>
      <c r="J1884" s="87">
        <f>IF($D1884&gt;0,IFERROR(Параметры!$D$42*$H1884/$H$2408,0),0)</f>
        <v>0</v>
      </c>
      <c r="K1884" s="87">
        <f>IFERROR(ROUND($N1884*Параметры!$D$36,2),0)</f>
        <v>0</v>
      </c>
      <c r="L1884" s="87">
        <f t="shared" si="208"/>
        <v>0</v>
      </c>
      <c r="M1884" s="87">
        <f t="shared" si="209"/>
        <v>0</v>
      </c>
      <c r="N1884" s="107" t="str">
        <f t="shared" si="210"/>
        <v/>
      </c>
    </row>
    <row r="1885" spans="2:14" x14ac:dyDescent="0.25">
      <c r="B1885" s="82">
        <f>SUBTOTAL(103,$D$8:D1885)</f>
        <v>1878</v>
      </c>
      <c r="C1885" s="83" t="s">
        <v>1883</v>
      </c>
      <c r="D1885" s="84">
        <v>0</v>
      </c>
      <c r="E1885" s="85" t="str">
        <f t="shared" si="205"/>
        <v/>
      </c>
      <c r="F1885" s="106" t="str">
        <f t="shared" si="211"/>
        <v/>
      </c>
      <c r="G1885" s="86"/>
      <c r="H1885" s="107">
        <f t="shared" si="206"/>
        <v>0</v>
      </c>
      <c r="I1885" s="107">
        <f t="shared" si="207"/>
        <v>0</v>
      </c>
      <c r="J1885" s="87">
        <f>IF($D1885&gt;0,IFERROR(Параметры!$D$42*$H1885/$H$2408,0),0)</f>
        <v>0</v>
      </c>
      <c r="K1885" s="87">
        <f>IFERROR(ROUND($N1885*Параметры!$D$36,2),0)</f>
        <v>0</v>
      </c>
      <c r="L1885" s="87">
        <f t="shared" si="208"/>
        <v>0</v>
      </c>
      <c r="M1885" s="87">
        <f t="shared" si="209"/>
        <v>0</v>
      </c>
      <c r="N1885" s="107" t="str">
        <f t="shared" si="210"/>
        <v/>
      </c>
    </row>
    <row r="1886" spans="2:14" x14ac:dyDescent="0.25">
      <c r="B1886" s="82">
        <f>SUBTOTAL(103,$D$8:D1886)</f>
        <v>1879</v>
      </c>
      <c r="C1886" s="83" t="s">
        <v>1884</v>
      </c>
      <c r="D1886" s="84">
        <v>0</v>
      </c>
      <c r="E1886" s="85" t="str">
        <f t="shared" si="205"/>
        <v/>
      </c>
      <c r="F1886" s="106" t="str">
        <f t="shared" si="211"/>
        <v/>
      </c>
      <c r="G1886" s="86"/>
      <c r="H1886" s="107">
        <f t="shared" si="206"/>
        <v>0</v>
      </c>
      <c r="I1886" s="107">
        <f t="shared" si="207"/>
        <v>0</v>
      </c>
      <c r="J1886" s="87">
        <f>IF($D1886&gt;0,IFERROR(Параметры!$D$42*$H1886/$H$2408,0),0)</f>
        <v>0</v>
      </c>
      <c r="K1886" s="87">
        <f>IFERROR(ROUND($N1886*Параметры!$D$36,2),0)</f>
        <v>0</v>
      </c>
      <c r="L1886" s="87">
        <f t="shared" si="208"/>
        <v>0</v>
      </c>
      <c r="M1886" s="87">
        <f t="shared" si="209"/>
        <v>0</v>
      </c>
      <c r="N1886" s="107" t="str">
        <f t="shared" si="210"/>
        <v/>
      </c>
    </row>
    <row r="1887" spans="2:14" x14ac:dyDescent="0.25">
      <c r="B1887" s="82">
        <f>SUBTOTAL(103,$D$8:D1887)</f>
        <v>1880</v>
      </c>
      <c r="C1887" s="83" t="s">
        <v>1885</v>
      </c>
      <c r="D1887" s="84">
        <v>0</v>
      </c>
      <c r="E1887" s="85" t="str">
        <f t="shared" si="205"/>
        <v/>
      </c>
      <c r="F1887" s="106" t="str">
        <f t="shared" si="211"/>
        <v/>
      </c>
      <c r="G1887" s="86"/>
      <c r="H1887" s="107">
        <f t="shared" si="206"/>
        <v>0</v>
      </c>
      <c r="I1887" s="107">
        <f t="shared" si="207"/>
        <v>0</v>
      </c>
      <c r="J1887" s="87">
        <f>IF($D1887&gt;0,IFERROR(Параметры!$D$42*$H1887/$H$2408,0),0)</f>
        <v>0</v>
      </c>
      <c r="K1887" s="87">
        <f>IFERROR(ROUND($N1887*Параметры!$D$36,2),0)</f>
        <v>0</v>
      </c>
      <c r="L1887" s="87">
        <f t="shared" si="208"/>
        <v>0</v>
      </c>
      <c r="M1887" s="87">
        <f t="shared" si="209"/>
        <v>0</v>
      </c>
      <c r="N1887" s="107" t="str">
        <f t="shared" si="210"/>
        <v/>
      </c>
    </row>
    <row r="1888" spans="2:14" x14ac:dyDescent="0.25">
      <c r="B1888" s="82">
        <f>SUBTOTAL(103,$D$8:D1888)</f>
        <v>1881</v>
      </c>
      <c r="C1888" s="83" t="s">
        <v>1886</v>
      </c>
      <c r="D1888" s="84">
        <v>0</v>
      </c>
      <c r="E1888" s="85" t="str">
        <f t="shared" si="205"/>
        <v/>
      </c>
      <c r="F1888" s="106" t="str">
        <f t="shared" si="211"/>
        <v/>
      </c>
      <c r="G1888" s="86"/>
      <c r="H1888" s="107">
        <f t="shared" si="206"/>
        <v>0</v>
      </c>
      <c r="I1888" s="107">
        <f t="shared" si="207"/>
        <v>0</v>
      </c>
      <c r="J1888" s="87">
        <f>IF($D1888&gt;0,IFERROR(Параметры!$D$42*$H1888/$H$2408,0),0)</f>
        <v>0</v>
      </c>
      <c r="K1888" s="87">
        <f>IFERROR(ROUND($N1888*Параметры!$D$36,2),0)</f>
        <v>0</v>
      </c>
      <c r="L1888" s="87">
        <f t="shared" si="208"/>
        <v>0</v>
      </c>
      <c r="M1888" s="87">
        <f t="shared" si="209"/>
        <v>0</v>
      </c>
      <c r="N1888" s="107" t="str">
        <f t="shared" si="210"/>
        <v/>
      </c>
    </row>
    <row r="1889" spans="2:14" x14ac:dyDescent="0.25">
      <c r="B1889" s="82">
        <f>SUBTOTAL(103,$D$8:D1889)</f>
        <v>1882</v>
      </c>
      <c r="C1889" s="83" t="s">
        <v>1887</v>
      </c>
      <c r="D1889" s="84">
        <v>0</v>
      </c>
      <c r="E1889" s="85" t="str">
        <f t="shared" si="205"/>
        <v/>
      </c>
      <c r="F1889" s="106" t="str">
        <f t="shared" si="211"/>
        <v/>
      </c>
      <c r="G1889" s="86"/>
      <c r="H1889" s="107">
        <f t="shared" si="206"/>
        <v>0</v>
      </c>
      <c r="I1889" s="107">
        <f t="shared" si="207"/>
        <v>0</v>
      </c>
      <c r="J1889" s="87">
        <f>IF($D1889&gt;0,IFERROR(Параметры!$D$42*$H1889/$H$2408,0),0)</f>
        <v>0</v>
      </c>
      <c r="K1889" s="87">
        <f>IFERROR(ROUND($N1889*Параметры!$D$36,2),0)</f>
        <v>0</v>
      </c>
      <c r="L1889" s="87">
        <f t="shared" si="208"/>
        <v>0</v>
      </c>
      <c r="M1889" s="87">
        <f t="shared" si="209"/>
        <v>0</v>
      </c>
      <c r="N1889" s="107" t="str">
        <f t="shared" si="210"/>
        <v/>
      </c>
    </row>
    <row r="1890" spans="2:14" x14ac:dyDescent="0.25">
      <c r="B1890" s="82">
        <f>SUBTOTAL(103,$D$8:D1890)</f>
        <v>1883</v>
      </c>
      <c r="C1890" s="83" t="s">
        <v>1888</v>
      </c>
      <c r="D1890" s="84">
        <v>0</v>
      </c>
      <c r="E1890" s="85" t="str">
        <f t="shared" si="205"/>
        <v/>
      </c>
      <c r="F1890" s="106" t="str">
        <f t="shared" si="211"/>
        <v/>
      </c>
      <c r="G1890" s="86"/>
      <c r="H1890" s="107">
        <f t="shared" si="206"/>
        <v>0</v>
      </c>
      <c r="I1890" s="107">
        <f t="shared" si="207"/>
        <v>0</v>
      </c>
      <c r="J1890" s="87">
        <f>IF($D1890&gt;0,IFERROR(Параметры!$D$42*$H1890/$H$2408,0),0)</f>
        <v>0</v>
      </c>
      <c r="K1890" s="87">
        <f>IFERROR(ROUND($N1890*Параметры!$D$36,2),0)</f>
        <v>0</v>
      </c>
      <c r="L1890" s="87">
        <f t="shared" si="208"/>
        <v>0</v>
      </c>
      <c r="M1890" s="87">
        <f t="shared" si="209"/>
        <v>0</v>
      </c>
      <c r="N1890" s="107" t="str">
        <f t="shared" si="210"/>
        <v/>
      </c>
    </row>
    <row r="1891" spans="2:14" x14ac:dyDescent="0.25">
      <c r="B1891" s="82">
        <f>SUBTOTAL(103,$D$8:D1891)</f>
        <v>1884</v>
      </c>
      <c r="C1891" s="83" t="s">
        <v>1889</v>
      </c>
      <c r="D1891" s="84">
        <v>0</v>
      </c>
      <c r="E1891" s="85" t="str">
        <f t="shared" si="205"/>
        <v/>
      </c>
      <c r="F1891" s="106" t="str">
        <f t="shared" si="211"/>
        <v/>
      </c>
      <c r="G1891" s="86"/>
      <c r="H1891" s="107">
        <f t="shared" si="206"/>
        <v>0</v>
      </c>
      <c r="I1891" s="107">
        <f t="shared" si="207"/>
        <v>0</v>
      </c>
      <c r="J1891" s="87">
        <f>IF($D1891&gt;0,IFERROR(Параметры!$D$42*$H1891/$H$2408,0),0)</f>
        <v>0</v>
      </c>
      <c r="K1891" s="87">
        <f>IFERROR(ROUND($N1891*Параметры!$D$36,2),0)</f>
        <v>0</v>
      </c>
      <c r="L1891" s="87">
        <f t="shared" si="208"/>
        <v>0</v>
      </c>
      <c r="M1891" s="87">
        <f t="shared" si="209"/>
        <v>0</v>
      </c>
      <c r="N1891" s="107" t="str">
        <f t="shared" si="210"/>
        <v/>
      </c>
    </row>
    <row r="1892" spans="2:14" x14ac:dyDescent="0.25">
      <c r="B1892" s="82">
        <f>SUBTOTAL(103,$D$8:D1892)</f>
        <v>1885</v>
      </c>
      <c r="C1892" s="83" t="s">
        <v>1890</v>
      </c>
      <c r="D1892" s="84">
        <v>0</v>
      </c>
      <c r="E1892" s="85" t="str">
        <f t="shared" si="205"/>
        <v/>
      </c>
      <c r="F1892" s="106" t="str">
        <f t="shared" si="211"/>
        <v/>
      </c>
      <c r="G1892" s="86"/>
      <c r="H1892" s="107">
        <f t="shared" si="206"/>
        <v>0</v>
      </c>
      <c r="I1892" s="107">
        <f t="shared" si="207"/>
        <v>0</v>
      </c>
      <c r="J1892" s="87">
        <f>IF($D1892&gt;0,IFERROR(Параметры!$D$42*$H1892/$H$2408,0),0)</f>
        <v>0</v>
      </c>
      <c r="K1892" s="87">
        <f>IFERROR(ROUND($N1892*Параметры!$D$36,2),0)</f>
        <v>0</v>
      </c>
      <c r="L1892" s="87">
        <f t="shared" si="208"/>
        <v>0</v>
      </c>
      <c r="M1892" s="87">
        <f t="shared" si="209"/>
        <v>0</v>
      </c>
      <c r="N1892" s="107" t="str">
        <f t="shared" si="210"/>
        <v/>
      </c>
    </row>
    <row r="1893" spans="2:14" x14ac:dyDescent="0.25">
      <c r="B1893" s="82">
        <f>SUBTOTAL(103,$D$8:D1893)</f>
        <v>1886</v>
      </c>
      <c r="C1893" s="83" t="s">
        <v>1891</v>
      </c>
      <c r="D1893" s="84">
        <v>0</v>
      </c>
      <c r="E1893" s="85" t="str">
        <f t="shared" si="205"/>
        <v/>
      </c>
      <c r="F1893" s="106" t="str">
        <f t="shared" si="211"/>
        <v/>
      </c>
      <c r="G1893" s="86"/>
      <c r="H1893" s="107">
        <f t="shared" si="206"/>
        <v>0</v>
      </c>
      <c r="I1893" s="107">
        <f t="shared" si="207"/>
        <v>0</v>
      </c>
      <c r="J1893" s="87">
        <f>IF($D1893&gt;0,IFERROR(Параметры!$D$42*$H1893/$H$2408,0),0)</f>
        <v>0</v>
      </c>
      <c r="K1893" s="87">
        <f>IFERROR(ROUND($N1893*Параметры!$D$36,2),0)</f>
        <v>0</v>
      </c>
      <c r="L1893" s="87">
        <f t="shared" si="208"/>
        <v>0</v>
      </c>
      <c r="M1893" s="87">
        <f t="shared" si="209"/>
        <v>0</v>
      </c>
      <c r="N1893" s="107" t="str">
        <f t="shared" si="210"/>
        <v/>
      </c>
    </row>
    <row r="1894" spans="2:14" x14ac:dyDescent="0.25">
      <c r="B1894" s="82">
        <f>SUBTOTAL(103,$D$8:D1894)</f>
        <v>1887</v>
      </c>
      <c r="C1894" s="83" t="s">
        <v>1892</v>
      </c>
      <c r="D1894" s="84">
        <v>0</v>
      </c>
      <c r="E1894" s="85" t="str">
        <f t="shared" si="205"/>
        <v/>
      </c>
      <c r="F1894" s="106" t="str">
        <f t="shared" si="211"/>
        <v/>
      </c>
      <c r="G1894" s="86"/>
      <c r="H1894" s="107">
        <f t="shared" si="206"/>
        <v>0</v>
      </c>
      <c r="I1894" s="107">
        <f t="shared" si="207"/>
        <v>0</v>
      </c>
      <c r="J1894" s="87">
        <f>IF($D1894&gt;0,IFERROR(Параметры!$D$42*$H1894/$H$2408,0),0)</f>
        <v>0</v>
      </c>
      <c r="K1894" s="87">
        <f>IFERROR(ROUND($N1894*Параметры!$D$36,2),0)</f>
        <v>0</v>
      </c>
      <c r="L1894" s="87">
        <f t="shared" si="208"/>
        <v>0</v>
      </c>
      <c r="M1894" s="87">
        <f t="shared" si="209"/>
        <v>0</v>
      </c>
      <c r="N1894" s="107" t="str">
        <f t="shared" si="210"/>
        <v/>
      </c>
    </row>
    <row r="1895" spans="2:14" x14ac:dyDescent="0.25">
      <c r="B1895" s="82">
        <f>SUBTOTAL(103,$D$8:D1895)</f>
        <v>1888</v>
      </c>
      <c r="C1895" s="83" t="s">
        <v>1893</v>
      </c>
      <c r="D1895" s="84">
        <v>0</v>
      </c>
      <c r="E1895" s="85" t="str">
        <f t="shared" si="205"/>
        <v/>
      </c>
      <c r="F1895" s="106" t="str">
        <f t="shared" si="211"/>
        <v/>
      </c>
      <c r="G1895" s="86"/>
      <c r="H1895" s="107">
        <f t="shared" si="206"/>
        <v>0</v>
      </c>
      <c r="I1895" s="107">
        <f t="shared" si="207"/>
        <v>0</v>
      </c>
      <c r="J1895" s="87">
        <f>IF($D1895&gt;0,IFERROR(Параметры!$D$42*$H1895/$H$2408,0),0)</f>
        <v>0</v>
      </c>
      <c r="K1895" s="87">
        <f>IFERROR(ROUND($N1895*Параметры!$D$36,2),0)</f>
        <v>0</v>
      </c>
      <c r="L1895" s="87">
        <f t="shared" si="208"/>
        <v>0</v>
      </c>
      <c r="M1895" s="87">
        <f t="shared" si="209"/>
        <v>0</v>
      </c>
      <c r="N1895" s="107" t="str">
        <f t="shared" si="210"/>
        <v/>
      </c>
    </row>
    <row r="1896" spans="2:14" x14ac:dyDescent="0.25">
      <c r="B1896" s="82">
        <f>SUBTOTAL(103,$D$8:D1896)</f>
        <v>1889</v>
      </c>
      <c r="C1896" s="83" t="s">
        <v>1894</v>
      </c>
      <c r="D1896" s="84">
        <v>0</v>
      </c>
      <c r="E1896" s="85" t="str">
        <f t="shared" si="205"/>
        <v/>
      </c>
      <c r="F1896" s="106" t="str">
        <f t="shared" si="211"/>
        <v/>
      </c>
      <c r="G1896" s="86"/>
      <c r="H1896" s="107">
        <f t="shared" si="206"/>
        <v>0</v>
      </c>
      <c r="I1896" s="107">
        <f t="shared" si="207"/>
        <v>0</v>
      </c>
      <c r="J1896" s="87">
        <f>IF($D1896&gt;0,IFERROR(Параметры!$D$42*$H1896/$H$2408,0),0)</f>
        <v>0</v>
      </c>
      <c r="K1896" s="87">
        <f>IFERROR(ROUND($N1896*Параметры!$D$36,2),0)</f>
        <v>0</v>
      </c>
      <c r="L1896" s="87">
        <f t="shared" si="208"/>
        <v>0</v>
      </c>
      <c r="M1896" s="87">
        <f t="shared" si="209"/>
        <v>0</v>
      </c>
      <c r="N1896" s="107" t="str">
        <f t="shared" si="210"/>
        <v/>
      </c>
    </row>
    <row r="1897" spans="2:14" x14ac:dyDescent="0.25">
      <c r="B1897" s="82">
        <f>SUBTOTAL(103,$D$8:D1897)</f>
        <v>1890</v>
      </c>
      <c r="C1897" s="83" t="s">
        <v>1895</v>
      </c>
      <c r="D1897" s="84">
        <v>0</v>
      </c>
      <c r="E1897" s="85" t="str">
        <f t="shared" si="205"/>
        <v/>
      </c>
      <c r="F1897" s="106" t="str">
        <f t="shared" si="211"/>
        <v/>
      </c>
      <c r="G1897" s="86"/>
      <c r="H1897" s="107">
        <f t="shared" si="206"/>
        <v>0</v>
      </c>
      <c r="I1897" s="107">
        <f t="shared" si="207"/>
        <v>0</v>
      </c>
      <c r="J1897" s="87">
        <f>IF($D1897&gt;0,IFERROR(Параметры!$D$42*$H1897/$H$2408,0),0)</f>
        <v>0</v>
      </c>
      <c r="K1897" s="87">
        <f>IFERROR(ROUND($N1897*Параметры!$D$36,2),0)</f>
        <v>0</v>
      </c>
      <c r="L1897" s="87">
        <f t="shared" si="208"/>
        <v>0</v>
      </c>
      <c r="M1897" s="87">
        <f t="shared" si="209"/>
        <v>0</v>
      </c>
      <c r="N1897" s="107" t="str">
        <f t="shared" si="210"/>
        <v/>
      </c>
    </row>
    <row r="1898" spans="2:14" x14ac:dyDescent="0.25">
      <c r="B1898" s="82">
        <f>SUBTOTAL(103,$D$8:D1898)</f>
        <v>1891</v>
      </c>
      <c r="C1898" s="83" t="s">
        <v>1896</v>
      </c>
      <c r="D1898" s="84">
        <v>0</v>
      </c>
      <c r="E1898" s="85" t="str">
        <f t="shared" si="205"/>
        <v/>
      </c>
      <c r="F1898" s="106" t="str">
        <f t="shared" si="211"/>
        <v/>
      </c>
      <c r="G1898" s="86"/>
      <c r="H1898" s="107">
        <f t="shared" si="206"/>
        <v>0</v>
      </c>
      <c r="I1898" s="107">
        <f t="shared" si="207"/>
        <v>0</v>
      </c>
      <c r="J1898" s="87">
        <f>IF($D1898&gt;0,IFERROR(Параметры!$D$42*$H1898/$H$2408,0),0)</f>
        <v>0</v>
      </c>
      <c r="K1898" s="87">
        <f>IFERROR(ROUND($N1898*Параметры!$D$36,2),0)</f>
        <v>0</v>
      </c>
      <c r="L1898" s="87">
        <f t="shared" si="208"/>
        <v>0</v>
      </c>
      <c r="M1898" s="87">
        <f t="shared" si="209"/>
        <v>0</v>
      </c>
      <c r="N1898" s="107" t="str">
        <f t="shared" si="210"/>
        <v/>
      </c>
    </row>
    <row r="1899" spans="2:14" x14ac:dyDescent="0.25">
      <c r="B1899" s="82">
        <f>SUBTOTAL(103,$D$8:D1899)</f>
        <v>1892</v>
      </c>
      <c r="C1899" s="83" t="s">
        <v>1897</v>
      </c>
      <c r="D1899" s="84">
        <v>0</v>
      </c>
      <c r="E1899" s="85" t="str">
        <f t="shared" si="205"/>
        <v/>
      </c>
      <c r="F1899" s="106" t="str">
        <f t="shared" si="211"/>
        <v/>
      </c>
      <c r="G1899" s="86"/>
      <c r="H1899" s="107">
        <f t="shared" si="206"/>
        <v>0</v>
      </c>
      <c r="I1899" s="107">
        <f t="shared" si="207"/>
        <v>0</v>
      </c>
      <c r="J1899" s="87">
        <f>IF($D1899&gt;0,IFERROR(Параметры!$D$42*$H1899/$H$2408,0),0)</f>
        <v>0</v>
      </c>
      <c r="K1899" s="87">
        <f>IFERROR(ROUND($N1899*Параметры!$D$36,2),0)</f>
        <v>0</v>
      </c>
      <c r="L1899" s="87">
        <f t="shared" si="208"/>
        <v>0</v>
      </c>
      <c r="M1899" s="87">
        <f t="shared" si="209"/>
        <v>0</v>
      </c>
      <c r="N1899" s="107" t="str">
        <f t="shared" si="210"/>
        <v/>
      </c>
    </row>
    <row r="1900" spans="2:14" x14ac:dyDescent="0.25">
      <c r="B1900" s="82">
        <f>SUBTOTAL(103,$D$8:D1900)</f>
        <v>1893</v>
      </c>
      <c r="C1900" s="83" t="s">
        <v>1898</v>
      </c>
      <c r="D1900" s="84">
        <v>0</v>
      </c>
      <c r="E1900" s="85" t="str">
        <f t="shared" si="205"/>
        <v/>
      </c>
      <c r="F1900" s="106" t="str">
        <f t="shared" si="211"/>
        <v/>
      </c>
      <c r="G1900" s="86"/>
      <c r="H1900" s="107">
        <f t="shared" si="206"/>
        <v>0</v>
      </c>
      <c r="I1900" s="107">
        <f t="shared" si="207"/>
        <v>0</v>
      </c>
      <c r="J1900" s="87">
        <f>IF($D1900&gt;0,IFERROR(Параметры!$D$42*$H1900/$H$2408,0),0)</f>
        <v>0</v>
      </c>
      <c r="K1900" s="87">
        <f>IFERROR(ROUND($N1900*Параметры!$D$36,2),0)</f>
        <v>0</v>
      </c>
      <c r="L1900" s="87">
        <f t="shared" si="208"/>
        <v>0</v>
      </c>
      <c r="M1900" s="87">
        <f t="shared" si="209"/>
        <v>0</v>
      </c>
      <c r="N1900" s="107" t="str">
        <f t="shared" si="210"/>
        <v/>
      </c>
    </row>
    <row r="1901" spans="2:14" x14ac:dyDescent="0.25">
      <c r="B1901" s="82">
        <f>SUBTOTAL(103,$D$8:D1901)</f>
        <v>1894</v>
      </c>
      <c r="C1901" s="83" t="s">
        <v>1899</v>
      </c>
      <c r="D1901" s="84">
        <v>0</v>
      </c>
      <c r="E1901" s="85" t="str">
        <f t="shared" si="205"/>
        <v/>
      </c>
      <c r="F1901" s="106" t="str">
        <f t="shared" si="211"/>
        <v/>
      </c>
      <c r="G1901" s="86"/>
      <c r="H1901" s="107">
        <f t="shared" si="206"/>
        <v>0</v>
      </c>
      <c r="I1901" s="107">
        <f t="shared" si="207"/>
        <v>0</v>
      </c>
      <c r="J1901" s="87">
        <f>IF($D1901&gt;0,IFERROR(Параметры!$D$42*$H1901/$H$2408,0),0)</f>
        <v>0</v>
      </c>
      <c r="K1901" s="87">
        <f>IFERROR(ROUND($N1901*Параметры!$D$36,2),0)</f>
        <v>0</v>
      </c>
      <c r="L1901" s="87">
        <f t="shared" si="208"/>
        <v>0</v>
      </c>
      <c r="M1901" s="87">
        <f t="shared" si="209"/>
        <v>0</v>
      </c>
      <c r="N1901" s="107" t="str">
        <f t="shared" si="210"/>
        <v/>
      </c>
    </row>
    <row r="1902" spans="2:14" x14ac:dyDescent="0.25">
      <c r="B1902" s="82">
        <f>SUBTOTAL(103,$D$8:D1902)</f>
        <v>1895</v>
      </c>
      <c r="C1902" s="83" t="s">
        <v>1900</v>
      </c>
      <c r="D1902" s="84">
        <v>0</v>
      </c>
      <c r="E1902" s="85" t="str">
        <f t="shared" si="205"/>
        <v/>
      </c>
      <c r="F1902" s="106" t="str">
        <f t="shared" si="211"/>
        <v/>
      </c>
      <c r="G1902" s="86"/>
      <c r="H1902" s="107">
        <f t="shared" si="206"/>
        <v>0</v>
      </c>
      <c r="I1902" s="107">
        <f t="shared" si="207"/>
        <v>0</v>
      </c>
      <c r="J1902" s="87">
        <f>IF($D1902&gt;0,IFERROR(Параметры!$D$42*$H1902/$H$2408,0),0)</f>
        <v>0</v>
      </c>
      <c r="K1902" s="87">
        <f>IFERROR(ROUND($N1902*Параметры!$D$36,2),0)</f>
        <v>0</v>
      </c>
      <c r="L1902" s="87">
        <f t="shared" si="208"/>
        <v>0</v>
      </c>
      <c r="M1902" s="87">
        <f t="shared" si="209"/>
        <v>0</v>
      </c>
      <c r="N1902" s="107" t="str">
        <f t="shared" si="210"/>
        <v/>
      </c>
    </row>
    <row r="1903" spans="2:14" x14ac:dyDescent="0.25">
      <c r="B1903" s="82">
        <f>SUBTOTAL(103,$D$8:D1903)</f>
        <v>1896</v>
      </c>
      <c r="C1903" s="83" t="s">
        <v>1901</v>
      </c>
      <c r="D1903" s="84">
        <v>0</v>
      </c>
      <c r="E1903" s="85" t="str">
        <f t="shared" si="205"/>
        <v/>
      </c>
      <c r="F1903" s="106" t="str">
        <f t="shared" si="211"/>
        <v/>
      </c>
      <c r="G1903" s="86"/>
      <c r="H1903" s="107">
        <f t="shared" si="206"/>
        <v>0</v>
      </c>
      <c r="I1903" s="107">
        <f t="shared" si="207"/>
        <v>0</v>
      </c>
      <c r="J1903" s="87">
        <f>IF($D1903&gt;0,IFERROR(Параметры!$D$42*$H1903/$H$2408,0),0)</f>
        <v>0</v>
      </c>
      <c r="K1903" s="87">
        <f>IFERROR(ROUND($N1903*Параметры!$D$36,2),0)</f>
        <v>0</v>
      </c>
      <c r="L1903" s="87">
        <f t="shared" si="208"/>
        <v>0</v>
      </c>
      <c r="M1903" s="87">
        <f t="shared" si="209"/>
        <v>0</v>
      </c>
      <c r="N1903" s="107" t="str">
        <f t="shared" si="210"/>
        <v/>
      </c>
    </row>
    <row r="1904" spans="2:14" x14ac:dyDescent="0.25">
      <c r="B1904" s="82">
        <f>SUBTOTAL(103,$D$8:D1904)</f>
        <v>1897</v>
      </c>
      <c r="C1904" s="83" t="s">
        <v>1902</v>
      </c>
      <c r="D1904" s="84">
        <v>0</v>
      </c>
      <c r="E1904" s="85" t="str">
        <f t="shared" si="205"/>
        <v/>
      </c>
      <c r="F1904" s="106" t="str">
        <f t="shared" si="211"/>
        <v/>
      </c>
      <c r="G1904" s="86"/>
      <c r="H1904" s="107">
        <f t="shared" si="206"/>
        <v>0</v>
      </c>
      <c r="I1904" s="107">
        <f t="shared" si="207"/>
        <v>0</v>
      </c>
      <c r="J1904" s="87">
        <f>IF($D1904&gt;0,IFERROR(Параметры!$D$42*$H1904/$H$2408,0),0)</f>
        <v>0</v>
      </c>
      <c r="K1904" s="87">
        <f>IFERROR(ROUND($N1904*Параметры!$D$36,2),0)</f>
        <v>0</v>
      </c>
      <c r="L1904" s="87">
        <f t="shared" si="208"/>
        <v>0</v>
      </c>
      <c r="M1904" s="87">
        <f t="shared" si="209"/>
        <v>0</v>
      </c>
      <c r="N1904" s="107" t="str">
        <f t="shared" si="210"/>
        <v/>
      </c>
    </row>
    <row r="1905" spans="2:14" x14ac:dyDescent="0.25">
      <c r="B1905" s="82">
        <f>SUBTOTAL(103,$D$8:D1905)</f>
        <v>1898</v>
      </c>
      <c r="C1905" s="83" t="s">
        <v>1903</v>
      </c>
      <c r="D1905" s="84">
        <v>0</v>
      </c>
      <c r="E1905" s="85" t="str">
        <f t="shared" si="205"/>
        <v/>
      </c>
      <c r="F1905" s="106" t="str">
        <f t="shared" si="211"/>
        <v/>
      </c>
      <c r="G1905" s="86"/>
      <c r="H1905" s="107">
        <f t="shared" si="206"/>
        <v>0</v>
      </c>
      <c r="I1905" s="107">
        <f t="shared" si="207"/>
        <v>0</v>
      </c>
      <c r="J1905" s="87">
        <f>IF($D1905&gt;0,IFERROR(Параметры!$D$42*$H1905/$H$2408,0),0)</f>
        <v>0</v>
      </c>
      <c r="K1905" s="87">
        <f>IFERROR(ROUND($N1905*Параметры!$D$36,2),0)</f>
        <v>0</v>
      </c>
      <c r="L1905" s="87">
        <f t="shared" si="208"/>
        <v>0</v>
      </c>
      <c r="M1905" s="87">
        <f t="shared" si="209"/>
        <v>0</v>
      </c>
      <c r="N1905" s="107" t="str">
        <f t="shared" si="210"/>
        <v/>
      </c>
    </row>
    <row r="1906" spans="2:14" x14ac:dyDescent="0.25">
      <c r="B1906" s="82">
        <f>SUBTOTAL(103,$D$8:D1906)</f>
        <v>1899</v>
      </c>
      <c r="C1906" s="83" t="s">
        <v>1904</v>
      </c>
      <c r="D1906" s="84">
        <v>0</v>
      </c>
      <c r="E1906" s="85" t="str">
        <f t="shared" si="205"/>
        <v/>
      </c>
      <c r="F1906" s="106" t="str">
        <f t="shared" si="211"/>
        <v/>
      </c>
      <c r="G1906" s="86"/>
      <c r="H1906" s="107">
        <f t="shared" si="206"/>
        <v>0</v>
      </c>
      <c r="I1906" s="107">
        <f t="shared" si="207"/>
        <v>0</v>
      </c>
      <c r="J1906" s="87">
        <f>IF($D1906&gt;0,IFERROR(Параметры!$D$42*$H1906/$H$2408,0),0)</f>
        <v>0</v>
      </c>
      <c r="K1906" s="87">
        <f>IFERROR(ROUND($N1906*Параметры!$D$36,2),0)</f>
        <v>0</v>
      </c>
      <c r="L1906" s="87">
        <f t="shared" si="208"/>
        <v>0</v>
      </c>
      <c r="M1906" s="87">
        <f t="shared" si="209"/>
        <v>0</v>
      </c>
      <c r="N1906" s="107" t="str">
        <f t="shared" si="210"/>
        <v/>
      </c>
    </row>
    <row r="1907" spans="2:14" x14ac:dyDescent="0.25">
      <c r="B1907" s="82">
        <f>SUBTOTAL(103,$D$8:D1907)</f>
        <v>1900</v>
      </c>
      <c r="C1907" s="83" t="s">
        <v>1905</v>
      </c>
      <c r="D1907" s="84">
        <v>0</v>
      </c>
      <c r="E1907" s="85" t="str">
        <f t="shared" si="205"/>
        <v/>
      </c>
      <c r="F1907" s="106" t="str">
        <f t="shared" si="211"/>
        <v/>
      </c>
      <c r="G1907" s="86"/>
      <c r="H1907" s="107">
        <f t="shared" si="206"/>
        <v>0</v>
      </c>
      <c r="I1907" s="107">
        <f t="shared" si="207"/>
        <v>0</v>
      </c>
      <c r="J1907" s="87">
        <f>IF($D1907&gt;0,IFERROR(Параметры!$D$42*$H1907/$H$2408,0),0)</f>
        <v>0</v>
      </c>
      <c r="K1907" s="87">
        <f>IFERROR(ROUND($N1907*Параметры!$D$36,2),0)</f>
        <v>0</v>
      </c>
      <c r="L1907" s="87">
        <f t="shared" si="208"/>
        <v>0</v>
      </c>
      <c r="M1907" s="87">
        <f t="shared" si="209"/>
        <v>0</v>
      </c>
      <c r="N1907" s="107" t="str">
        <f t="shared" si="210"/>
        <v/>
      </c>
    </row>
    <row r="1908" spans="2:14" x14ac:dyDescent="0.25">
      <c r="B1908" s="82">
        <f>SUBTOTAL(103,$D$8:D1908)</f>
        <v>1901</v>
      </c>
      <c r="C1908" s="83" t="s">
        <v>1906</v>
      </c>
      <c r="D1908" s="84">
        <v>0</v>
      </c>
      <c r="E1908" s="85" t="str">
        <f t="shared" si="205"/>
        <v/>
      </c>
      <c r="F1908" s="106" t="str">
        <f t="shared" si="211"/>
        <v/>
      </c>
      <c r="G1908" s="86"/>
      <c r="H1908" s="107">
        <f t="shared" si="206"/>
        <v>0</v>
      </c>
      <c r="I1908" s="107">
        <f t="shared" si="207"/>
        <v>0</v>
      </c>
      <c r="J1908" s="87">
        <f>IF($D1908&gt;0,IFERROR(Параметры!$D$42*$H1908/$H$2408,0),0)</f>
        <v>0</v>
      </c>
      <c r="K1908" s="87">
        <f>IFERROR(ROUND($N1908*Параметры!$D$36,2),0)</f>
        <v>0</v>
      </c>
      <c r="L1908" s="87">
        <f t="shared" si="208"/>
        <v>0</v>
      </c>
      <c r="M1908" s="87">
        <f t="shared" si="209"/>
        <v>0</v>
      </c>
      <c r="N1908" s="107" t="str">
        <f t="shared" si="210"/>
        <v/>
      </c>
    </row>
    <row r="1909" spans="2:14" x14ac:dyDescent="0.25">
      <c r="B1909" s="82">
        <f>SUBTOTAL(103,$D$8:D1909)</f>
        <v>1902</v>
      </c>
      <c r="C1909" s="83" t="s">
        <v>1907</v>
      </c>
      <c r="D1909" s="84">
        <v>0</v>
      </c>
      <c r="E1909" s="85" t="str">
        <f t="shared" si="205"/>
        <v/>
      </c>
      <c r="F1909" s="106" t="str">
        <f t="shared" si="211"/>
        <v/>
      </c>
      <c r="G1909" s="86"/>
      <c r="H1909" s="107">
        <f t="shared" si="206"/>
        <v>0</v>
      </c>
      <c r="I1909" s="107">
        <f t="shared" si="207"/>
        <v>0</v>
      </c>
      <c r="J1909" s="87">
        <f>IF($D1909&gt;0,IFERROR(Параметры!$D$42*$H1909/$H$2408,0),0)</f>
        <v>0</v>
      </c>
      <c r="K1909" s="87">
        <f>IFERROR(ROUND($N1909*Параметры!$D$36,2),0)</f>
        <v>0</v>
      </c>
      <c r="L1909" s="87">
        <f t="shared" si="208"/>
        <v>0</v>
      </c>
      <c r="M1909" s="87">
        <f t="shared" si="209"/>
        <v>0</v>
      </c>
      <c r="N1909" s="107" t="str">
        <f t="shared" si="210"/>
        <v/>
      </c>
    </row>
    <row r="1910" spans="2:14" x14ac:dyDescent="0.25">
      <c r="B1910" s="82">
        <f>SUBTOTAL(103,$D$8:D1910)</f>
        <v>1903</v>
      </c>
      <c r="C1910" s="83" t="s">
        <v>1908</v>
      </c>
      <c r="D1910" s="84">
        <v>0</v>
      </c>
      <c r="E1910" s="85" t="str">
        <f t="shared" si="205"/>
        <v/>
      </c>
      <c r="F1910" s="106" t="str">
        <f t="shared" si="211"/>
        <v/>
      </c>
      <c r="G1910" s="86"/>
      <c r="H1910" s="107">
        <f t="shared" si="206"/>
        <v>0</v>
      </c>
      <c r="I1910" s="107">
        <f t="shared" si="207"/>
        <v>0</v>
      </c>
      <c r="J1910" s="87">
        <f>IF($D1910&gt;0,IFERROR(Параметры!$D$42*$H1910/$H$2408,0),0)</f>
        <v>0</v>
      </c>
      <c r="K1910" s="87">
        <f>IFERROR(ROUND($N1910*Параметры!$D$36,2),0)</f>
        <v>0</v>
      </c>
      <c r="L1910" s="87">
        <f t="shared" si="208"/>
        <v>0</v>
      </c>
      <c r="M1910" s="87">
        <f t="shared" si="209"/>
        <v>0</v>
      </c>
      <c r="N1910" s="107" t="str">
        <f t="shared" si="210"/>
        <v/>
      </c>
    </row>
    <row r="1911" spans="2:14" x14ac:dyDescent="0.25">
      <c r="B1911" s="82">
        <f>SUBTOTAL(103,$D$8:D1911)</f>
        <v>1904</v>
      </c>
      <c r="C1911" s="83" t="s">
        <v>1909</v>
      </c>
      <c r="D1911" s="84">
        <v>0</v>
      </c>
      <c r="E1911" s="85" t="str">
        <f t="shared" si="205"/>
        <v/>
      </c>
      <c r="F1911" s="106" t="str">
        <f t="shared" si="211"/>
        <v/>
      </c>
      <c r="G1911" s="86"/>
      <c r="H1911" s="107">
        <f t="shared" si="206"/>
        <v>0</v>
      </c>
      <c r="I1911" s="107">
        <f t="shared" si="207"/>
        <v>0</v>
      </c>
      <c r="J1911" s="87">
        <f>IF($D1911&gt;0,IFERROR(Параметры!$D$42*$H1911/$H$2408,0),0)</f>
        <v>0</v>
      </c>
      <c r="K1911" s="87">
        <f>IFERROR(ROUND($N1911*Параметры!$D$36,2),0)</f>
        <v>0</v>
      </c>
      <c r="L1911" s="87">
        <f t="shared" si="208"/>
        <v>0</v>
      </c>
      <c r="M1911" s="87">
        <f t="shared" si="209"/>
        <v>0</v>
      </c>
      <c r="N1911" s="107" t="str">
        <f t="shared" si="210"/>
        <v/>
      </c>
    </row>
    <row r="1912" spans="2:14" x14ac:dyDescent="0.25">
      <c r="B1912" s="82">
        <f>SUBTOTAL(103,$D$8:D1912)</f>
        <v>1905</v>
      </c>
      <c r="C1912" s="83" t="s">
        <v>1910</v>
      </c>
      <c r="D1912" s="84">
        <v>0</v>
      </c>
      <c r="E1912" s="85" t="str">
        <f t="shared" si="205"/>
        <v/>
      </c>
      <c r="F1912" s="106" t="str">
        <f t="shared" si="211"/>
        <v/>
      </c>
      <c r="G1912" s="86"/>
      <c r="H1912" s="107">
        <f t="shared" si="206"/>
        <v>0</v>
      </c>
      <c r="I1912" s="107">
        <f t="shared" si="207"/>
        <v>0</v>
      </c>
      <c r="J1912" s="87">
        <f>IF($D1912&gt;0,IFERROR(Параметры!$D$42*$H1912/$H$2408,0),0)</f>
        <v>0</v>
      </c>
      <c r="K1912" s="87">
        <f>IFERROR(ROUND($N1912*Параметры!$D$36,2),0)</f>
        <v>0</v>
      </c>
      <c r="L1912" s="87">
        <f t="shared" si="208"/>
        <v>0</v>
      </c>
      <c r="M1912" s="87">
        <f t="shared" si="209"/>
        <v>0</v>
      </c>
      <c r="N1912" s="107" t="str">
        <f t="shared" si="210"/>
        <v/>
      </c>
    </row>
    <row r="1913" spans="2:14" x14ac:dyDescent="0.25">
      <c r="B1913" s="82">
        <f>SUBTOTAL(103,$D$8:D1913)</f>
        <v>1906</v>
      </c>
      <c r="C1913" s="83" t="s">
        <v>1911</v>
      </c>
      <c r="D1913" s="84">
        <v>0</v>
      </c>
      <c r="E1913" s="85" t="str">
        <f t="shared" si="205"/>
        <v/>
      </c>
      <c r="F1913" s="106" t="str">
        <f t="shared" si="211"/>
        <v/>
      </c>
      <c r="G1913" s="86"/>
      <c r="H1913" s="107">
        <f t="shared" si="206"/>
        <v>0</v>
      </c>
      <c r="I1913" s="107">
        <f t="shared" si="207"/>
        <v>0</v>
      </c>
      <c r="J1913" s="87">
        <f>IF($D1913&gt;0,IFERROR(Параметры!$D$42*$H1913/$H$2408,0),0)</f>
        <v>0</v>
      </c>
      <c r="K1913" s="87">
        <f>IFERROR(ROUND($N1913*Параметры!$D$36,2),0)</f>
        <v>0</v>
      </c>
      <c r="L1913" s="87">
        <f t="shared" si="208"/>
        <v>0</v>
      </c>
      <c r="M1913" s="87">
        <f t="shared" si="209"/>
        <v>0</v>
      </c>
      <c r="N1913" s="107" t="str">
        <f t="shared" si="210"/>
        <v/>
      </c>
    </row>
    <row r="1914" spans="2:14" x14ac:dyDescent="0.25">
      <c r="B1914" s="82">
        <f>SUBTOTAL(103,$D$8:D1914)</f>
        <v>1907</v>
      </c>
      <c r="C1914" s="83" t="s">
        <v>1912</v>
      </c>
      <c r="D1914" s="84">
        <v>0</v>
      </c>
      <c r="E1914" s="85" t="str">
        <f t="shared" si="205"/>
        <v/>
      </c>
      <c r="F1914" s="106" t="str">
        <f t="shared" si="211"/>
        <v/>
      </c>
      <c r="G1914" s="86"/>
      <c r="H1914" s="107">
        <f t="shared" si="206"/>
        <v>0</v>
      </c>
      <c r="I1914" s="107">
        <f t="shared" si="207"/>
        <v>0</v>
      </c>
      <c r="J1914" s="87">
        <f>IF($D1914&gt;0,IFERROR(Параметры!$D$42*$H1914/$H$2408,0),0)</f>
        <v>0</v>
      </c>
      <c r="K1914" s="87">
        <f>IFERROR(ROUND($N1914*Параметры!$D$36,2),0)</f>
        <v>0</v>
      </c>
      <c r="L1914" s="87">
        <f t="shared" si="208"/>
        <v>0</v>
      </c>
      <c r="M1914" s="87">
        <f t="shared" si="209"/>
        <v>0</v>
      </c>
      <c r="N1914" s="107" t="str">
        <f t="shared" si="210"/>
        <v/>
      </c>
    </row>
    <row r="1915" spans="2:14" x14ac:dyDescent="0.25">
      <c r="B1915" s="82">
        <f>SUBTOTAL(103,$D$8:D1915)</f>
        <v>1908</v>
      </c>
      <c r="C1915" s="83" t="s">
        <v>1913</v>
      </c>
      <c r="D1915" s="84">
        <v>0</v>
      </c>
      <c r="E1915" s="85" t="str">
        <f t="shared" si="205"/>
        <v/>
      </c>
      <c r="F1915" s="106" t="str">
        <f t="shared" si="211"/>
        <v/>
      </c>
      <c r="G1915" s="86"/>
      <c r="H1915" s="107">
        <f t="shared" si="206"/>
        <v>0</v>
      </c>
      <c r="I1915" s="107">
        <f t="shared" si="207"/>
        <v>0</v>
      </c>
      <c r="J1915" s="87">
        <f>IF($D1915&gt;0,IFERROR(Параметры!$D$42*$H1915/$H$2408,0),0)</f>
        <v>0</v>
      </c>
      <c r="K1915" s="87">
        <f>IFERROR(ROUND($N1915*Параметры!$D$36,2),0)</f>
        <v>0</v>
      </c>
      <c r="L1915" s="87">
        <f t="shared" si="208"/>
        <v>0</v>
      </c>
      <c r="M1915" s="87">
        <f t="shared" si="209"/>
        <v>0</v>
      </c>
      <c r="N1915" s="107" t="str">
        <f t="shared" si="210"/>
        <v/>
      </c>
    </row>
    <row r="1916" spans="2:14" x14ac:dyDescent="0.25">
      <c r="B1916" s="82">
        <f>SUBTOTAL(103,$D$8:D1916)</f>
        <v>1909</v>
      </c>
      <c r="C1916" s="83" t="s">
        <v>1914</v>
      </c>
      <c r="D1916" s="84">
        <v>0</v>
      </c>
      <c r="E1916" s="85" t="str">
        <f t="shared" si="205"/>
        <v/>
      </c>
      <c r="F1916" s="106" t="str">
        <f t="shared" si="211"/>
        <v/>
      </c>
      <c r="G1916" s="86"/>
      <c r="H1916" s="107">
        <f t="shared" si="206"/>
        <v>0</v>
      </c>
      <c r="I1916" s="107">
        <f t="shared" si="207"/>
        <v>0</v>
      </c>
      <c r="J1916" s="87">
        <f>IF($D1916&gt;0,IFERROR(Параметры!$D$42*$H1916/$H$2408,0),0)</f>
        <v>0</v>
      </c>
      <c r="K1916" s="87">
        <f>IFERROR(ROUND($N1916*Параметры!$D$36,2),0)</f>
        <v>0</v>
      </c>
      <c r="L1916" s="87">
        <f t="shared" si="208"/>
        <v>0</v>
      </c>
      <c r="M1916" s="87">
        <f t="shared" si="209"/>
        <v>0</v>
      </c>
      <c r="N1916" s="107" t="str">
        <f t="shared" si="210"/>
        <v/>
      </c>
    </row>
    <row r="1917" spans="2:14" x14ac:dyDescent="0.25">
      <c r="B1917" s="82">
        <f>SUBTOTAL(103,$D$8:D1917)</f>
        <v>1910</v>
      </c>
      <c r="C1917" s="83" t="s">
        <v>1915</v>
      </c>
      <c r="D1917" s="84">
        <v>0</v>
      </c>
      <c r="E1917" s="85" t="str">
        <f t="shared" si="205"/>
        <v/>
      </c>
      <c r="F1917" s="106" t="str">
        <f t="shared" si="211"/>
        <v/>
      </c>
      <c r="G1917" s="86"/>
      <c r="H1917" s="107">
        <f t="shared" si="206"/>
        <v>0</v>
      </c>
      <c r="I1917" s="107">
        <f t="shared" si="207"/>
        <v>0</v>
      </c>
      <c r="J1917" s="87">
        <f>IF($D1917&gt;0,IFERROR(Параметры!$D$42*$H1917/$H$2408,0),0)</f>
        <v>0</v>
      </c>
      <c r="K1917" s="87">
        <f>IFERROR(ROUND($N1917*Параметры!$D$36,2),0)</f>
        <v>0</v>
      </c>
      <c r="L1917" s="87">
        <f t="shared" si="208"/>
        <v>0</v>
      </c>
      <c r="M1917" s="87">
        <f t="shared" si="209"/>
        <v>0</v>
      </c>
      <c r="N1917" s="107" t="str">
        <f t="shared" si="210"/>
        <v/>
      </c>
    </row>
    <row r="1918" spans="2:14" x14ac:dyDescent="0.25">
      <c r="B1918" s="82">
        <f>SUBTOTAL(103,$D$8:D1918)</f>
        <v>1911</v>
      </c>
      <c r="C1918" s="83" t="s">
        <v>1916</v>
      </c>
      <c r="D1918" s="84">
        <v>0</v>
      </c>
      <c r="E1918" s="85" t="str">
        <f t="shared" si="205"/>
        <v/>
      </c>
      <c r="F1918" s="106" t="str">
        <f t="shared" si="211"/>
        <v/>
      </c>
      <c r="G1918" s="86"/>
      <c r="H1918" s="107">
        <f t="shared" si="206"/>
        <v>0</v>
      </c>
      <c r="I1918" s="107">
        <f t="shared" si="207"/>
        <v>0</v>
      </c>
      <c r="J1918" s="87">
        <f>IF($D1918&gt;0,IFERROR(Параметры!$D$42*$H1918/$H$2408,0),0)</f>
        <v>0</v>
      </c>
      <c r="K1918" s="87">
        <f>IFERROR(ROUND($N1918*Параметры!$D$36,2),0)</f>
        <v>0</v>
      </c>
      <c r="L1918" s="87">
        <f t="shared" si="208"/>
        <v>0</v>
      </c>
      <c r="M1918" s="87">
        <f t="shared" si="209"/>
        <v>0</v>
      </c>
      <c r="N1918" s="107" t="str">
        <f t="shared" si="210"/>
        <v/>
      </c>
    </row>
    <row r="1919" spans="2:14" x14ac:dyDescent="0.25">
      <c r="B1919" s="82">
        <f>SUBTOTAL(103,$D$8:D1919)</f>
        <v>1912</v>
      </c>
      <c r="C1919" s="83" t="s">
        <v>1917</v>
      </c>
      <c r="D1919" s="84">
        <v>0</v>
      </c>
      <c r="E1919" s="85" t="str">
        <f t="shared" si="205"/>
        <v/>
      </c>
      <c r="F1919" s="106" t="str">
        <f t="shared" si="211"/>
        <v/>
      </c>
      <c r="G1919" s="86"/>
      <c r="H1919" s="107">
        <f t="shared" si="206"/>
        <v>0</v>
      </c>
      <c r="I1919" s="107">
        <f t="shared" si="207"/>
        <v>0</v>
      </c>
      <c r="J1919" s="87">
        <f>IF($D1919&gt;0,IFERROR(Параметры!$D$42*$H1919/$H$2408,0),0)</f>
        <v>0</v>
      </c>
      <c r="K1919" s="87">
        <f>IFERROR(ROUND($N1919*Параметры!$D$36,2),0)</f>
        <v>0</v>
      </c>
      <c r="L1919" s="87">
        <f t="shared" si="208"/>
        <v>0</v>
      </c>
      <c r="M1919" s="87">
        <f t="shared" si="209"/>
        <v>0</v>
      </c>
      <c r="N1919" s="107" t="str">
        <f t="shared" si="210"/>
        <v/>
      </c>
    </row>
    <row r="1920" spans="2:14" x14ac:dyDescent="0.25">
      <c r="B1920" s="82">
        <f>SUBTOTAL(103,$D$8:D1920)</f>
        <v>1913</v>
      </c>
      <c r="C1920" s="83" t="s">
        <v>1918</v>
      </c>
      <c r="D1920" s="84">
        <v>0</v>
      </c>
      <c r="E1920" s="85" t="str">
        <f t="shared" si="205"/>
        <v/>
      </c>
      <c r="F1920" s="106" t="str">
        <f t="shared" si="211"/>
        <v/>
      </c>
      <c r="G1920" s="86"/>
      <c r="H1920" s="107">
        <f t="shared" si="206"/>
        <v>0</v>
      </c>
      <c r="I1920" s="107">
        <f t="shared" si="207"/>
        <v>0</v>
      </c>
      <c r="J1920" s="87">
        <f>IF($D1920&gt;0,IFERROR(Параметры!$D$42*$H1920/$H$2408,0),0)</f>
        <v>0</v>
      </c>
      <c r="K1920" s="87">
        <f>IFERROR(ROUND($N1920*Параметры!$D$36,2),0)</f>
        <v>0</v>
      </c>
      <c r="L1920" s="87">
        <f t="shared" si="208"/>
        <v>0</v>
      </c>
      <c r="M1920" s="87">
        <f t="shared" si="209"/>
        <v>0</v>
      </c>
      <c r="N1920" s="107" t="str">
        <f t="shared" si="210"/>
        <v/>
      </c>
    </row>
    <row r="1921" spans="2:14" x14ac:dyDescent="0.25">
      <c r="B1921" s="82">
        <f>SUBTOTAL(103,$D$8:D1921)</f>
        <v>1914</v>
      </c>
      <c r="C1921" s="83" t="s">
        <v>1919</v>
      </c>
      <c r="D1921" s="84">
        <v>0</v>
      </c>
      <c r="E1921" s="85" t="str">
        <f t="shared" si="205"/>
        <v/>
      </c>
      <c r="F1921" s="106" t="str">
        <f t="shared" si="211"/>
        <v/>
      </c>
      <c r="G1921" s="86"/>
      <c r="H1921" s="107">
        <f t="shared" si="206"/>
        <v>0</v>
      </c>
      <c r="I1921" s="107">
        <f t="shared" si="207"/>
        <v>0</v>
      </c>
      <c r="J1921" s="87">
        <f>IF($D1921&gt;0,IFERROR(Параметры!$D$42*$H1921/$H$2408,0),0)</f>
        <v>0</v>
      </c>
      <c r="K1921" s="87">
        <f>IFERROR(ROUND($N1921*Параметры!$D$36,2),0)</f>
        <v>0</v>
      </c>
      <c r="L1921" s="87">
        <f t="shared" si="208"/>
        <v>0</v>
      </c>
      <c r="M1921" s="87">
        <f t="shared" si="209"/>
        <v>0</v>
      </c>
      <c r="N1921" s="107" t="str">
        <f t="shared" si="210"/>
        <v/>
      </c>
    </row>
    <row r="1922" spans="2:14" x14ac:dyDescent="0.25">
      <c r="B1922" s="82">
        <f>SUBTOTAL(103,$D$8:D1922)</f>
        <v>1915</v>
      </c>
      <c r="C1922" s="83" t="s">
        <v>1920</v>
      </c>
      <c r="D1922" s="84">
        <v>0</v>
      </c>
      <c r="E1922" s="85" t="str">
        <f t="shared" si="205"/>
        <v/>
      </c>
      <c r="F1922" s="106" t="str">
        <f t="shared" si="211"/>
        <v/>
      </c>
      <c r="G1922" s="86"/>
      <c r="H1922" s="107">
        <f t="shared" si="206"/>
        <v>0</v>
      </c>
      <c r="I1922" s="107">
        <f t="shared" si="207"/>
        <v>0</v>
      </c>
      <c r="J1922" s="87">
        <f>IF($D1922&gt;0,IFERROR(Параметры!$D$42*$H1922/$H$2408,0),0)</f>
        <v>0</v>
      </c>
      <c r="K1922" s="87">
        <f>IFERROR(ROUND($N1922*Параметры!$D$36,2),0)</f>
        <v>0</v>
      </c>
      <c r="L1922" s="87">
        <f t="shared" si="208"/>
        <v>0</v>
      </c>
      <c r="M1922" s="87">
        <f t="shared" si="209"/>
        <v>0</v>
      </c>
      <c r="N1922" s="107" t="str">
        <f t="shared" si="210"/>
        <v/>
      </c>
    </row>
    <row r="1923" spans="2:14" x14ac:dyDescent="0.25">
      <c r="B1923" s="82">
        <f>SUBTOTAL(103,$D$8:D1923)</f>
        <v>1916</v>
      </c>
      <c r="C1923" s="83" t="s">
        <v>1921</v>
      </c>
      <c r="D1923" s="84">
        <v>0</v>
      </c>
      <c r="E1923" s="85" t="str">
        <f t="shared" si="205"/>
        <v/>
      </c>
      <c r="F1923" s="106" t="str">
        <f t="shared" si="211"/>
        <v/>
      </c>
      <c r="G1923" s="86"/>
      <c r="H1923" s="107">
        <f t="shared" si="206"/>
        <v>0</v>
      </c>
      <c r="I1923" s="107">
        <f t="shared" si="207"/>
        <v>0</v>
      </c>
      <c r="J1923" s="87">
        <f>IF($D1923&gt;0,IFERROR(Параметры!$D$42*$H1923/$H$2408,0),0)</f>
        <v>0</v>
      </c>
      <c r="K1923" s="87">
        <f>IFERROR(ROUND($N1923*Параметры!$D$36,2),0)</f>
        <v>0</v>
      </c>
      <c r="L1923" s="87">
        <f t="shared" si="208"/>
        <v>0</v>
      </c>
      <c r="M1923" s="87">
        <f t="shared" si="209"/>
        <v>0</v>
      </c>
      <c r="N1923" s="107" t="str">
        <f t="shared" si="210"/>
        <v/>
      </c>
    </row>
    <row r="1924" spans="2:14" x14ac:dyDescent="0.25">
      <c r="B1924" s="82">
        <f>SUBTOTAL(103,$D$8:D1924)</f>
        <v>1917</v>
      </c>
      <c r="C1924" s="83" t="s">
        <v>1922</v>
      </c>
      <c r="D1924" s="84">
        <v>0</v>
      </c>
      <c r="E1924" s="85" t="str">
        <f t="shared" si="205"/>
        <v/>
      </c>
      <c r="F1924" s="106" t="str">
        <f t="shared" si="211"/>
        <v/>
      </c>
      <c r="G1924" s="86"/>
      <c r="H1924" s="107">
        <f t="shared" si="206"/>
        <v>0</v>
      </c>
      <c r="I1924" s="107">
        <f t="shared" si="207"/>
        <v>0</v>
      </c>
      <c r="J1924" s="87">
        <f>IF($D1924&gt;0,IFERROR(Параметры!$D$42*$H1924/$H$2408,0),0)</f>
        <v>0</v>
      </c>
      <c r="K1924" s="87">
        <f>IFERROR(ROUND($N1924*Параметры!$D$36,2),0)</f>
        <v>0</v>
      </c>
      <c r="L1924" s="87">
        <f t="shared" si="208"/>
        <v>0</v>
      </c>
      <c r="M1924" s="87">
        <f t="shared" si="209"/>
        <v>0</v>
      </c>
      <c r="N1924" s="107" t="str">
        <f t="shared" si="210"/>
        <v/>
      </c>
    </row>
    <row r="1925" spans="2:14" x14ac:dyDescent="0.25">
      <c r="B1925" s="82">
        <f>SUBTOTAL(103,$D$8:D1925)</f>
        <v>1918</v>
      </c>
      <c r="C1925" s="83" t="s">
        <v>1923</v>
      </c>
      <c r="D1925" s="84">
        <v>0</v>
      </c>
      <c r="E1925" s="85" t="str">
        <f t="shared" si="205"/>
        <v/>
      </c>
      <c r="F1925" s="106" t="str">
        <f t="shared" si="211"/>
        <v/>
      </c>
      <c r="G1925" s="86"/>
      <c r="H1925" s="107">
        <f t="shared" si="206"/>
        <v>0</v>
      </c>
      <c r="I1925" s="107">
        <f t="shared" si="207"/>
        <v>0</v>
      </c>
      <c r="J1925" s="87">
        <f>IF($D1925&gt;0,IFERROR(Параметры!$D$42*$H1925/$H$2408,0),0)</f>
        <v>0</v>
      </c>
      <c r="K1925" s="87">
        <f>IFERROR(ROUND($N1925*Параметры!$D$36,2),0)</f>
        <v>0</v>
      </c>
      <c r="L1925" s="87">
        <f t="shared" si="208"/>
        <v>0</v>
      </c>
      <c r="M1925" s="87">
        <f t="shared" si="209"/>
        <v>0</v>
      </c>
      <c r="N1925" s="107" t="str">
        <f t="shared" si="210"/>
        <v/>
      </c>
    </row>
    <row r="1926" spans="2:14" x14ac:dyDescent="0.25">
      <c r="B1926" s="82">
        <f>SUBTOTAL(103,$D$8:D1926)</f>
        <v>1919</v>
      </c>
      <c r="C1926" s="83" t="s">
        <v>1924</v>
      </c>
      <c r="D1926" s="84">
        <v>0</v>
      </c>
      <c r="E1926" s="85" t="str">
        <f t="shared" si="205"/>
        <v/>
      </c>
      <c r="F1926" s="106" t="str">
        <f t="shared" si="211"/>
        <v/>
      </c>
      <c r="G1926" s="86"/>
      <c r="H1926" s="107">
        <f t="shared" si="206"/>
        <v>0</v>
      </c>
      <c r="I1926" s="107">
        <f t="shared" si="207"/>
        <v>0</v>
      </c>
      <c r="J1926" s="87">
        <f>IF($D1926&gt;0,IFERROR(Параметры!$D$42*$H1926/$H$2408,0),0)</f>
        <v>0</v>
      </c>
      <c r="K1926" s="87">
        <f>IFERROR(ROUND($N1926*Параметры!$D$36,2),0)</f>
        <v>0</v>
      </c>
      <c r="L1926" s="87">
        <f t="shared" si="208"/>
        <v>0</v>
      </c>
      <c r="M1926" s="87">
        <f t="shared" si="209"/>
        <v>0</v>
      </c>
      <c r="N1926" s="107" t="str">
        <f t="shared" si="210"/>
        <v/>
      </c>
    </row>
    <row r="1927" spans="2:14" x14ac:dyDescent="0.25">
      <c r="B1927" s="82">
        <f>SUBTOTAL(103,$D$8:D1927)</f>
        <v>1920</v>
      </c>
      <c r="C1927" s="83" t="s">
        <v>1925</v>
      </c>
      <c r="D1927" s="84">
        <v>0</v>
      </c>
      <c r="E1927" s="85" t="str">
        <f t="shared" si="205"/>
        <v/>
      </c>
      <c r="F1927" s="106" t="str">
        <f t="shared" si="211"/>
        <v/>
      </c>
      <c r="G1927" s="86"/>
      <c r="H1927" s="107">
        <f t="shared" si="206"/>
        <v>0</v>
      </c>
      <c r="I1927" s="107">
        <f t="shared" si="207"/>
        <v>0</v>
      </c>
      <c r="J1927" s="87">
        <f>IF($D1927&gt;0,IFERROR(Параметры!$D$42*$H1927/$H$2408,0),0)</f>
        <v>0</v>
      </c>
      <c r="K1927" s="87">
        <f>IFERROR(ROUND($N1927*Параметры!$D$36,2),0)</f>
        <v>0</v>
      </c>
      <c r="L1927" s="87">
        <f t="shared" si="208"/>
        <v>0</v>
      </c>
      <c r="M1927" s="87">
        <f t="shared" si="209"/>
        <v>0</v>
      </c>
      <c r="N1927" s="107" t="str">
        <f t="shared" si="210"/>
        <v/>
      </c>
    </row>
    <row r="1928" spans="2:14" x14ac:dyDescent="0.25">
      <c r="B1928" s="82">
        <f>SUBTOTAL(103,$D$8:D1928)</f>
        <v>1921</v>
      </c>
      <c r="C1928" s="83" t="s">
        <v>1926</v>
      </c>
      <c r="D1928" s="84">
        <f t="array" ref="D1928:D1987">TRANSPOSE('Зарядная карта'!$C$37:$BJ$37)</f>
        <v>0</v>
      </c>
      <c r="E1928" s="85" t="str">
        <f t="shared" ref="E1928:E1991" si="212">IF($D1928&lt;1,"",$K1928+$L1928)</f>
        <v/>
      </c>
      <c r="F1928" s="106" t="str">
        <f t="shared" si="211"/>
        <v/>
      </c>
      <c r="G1928" s="86"/>
      <c r="H1928" s="107">
        <f t="shared" ref="H1928:H1991" si="213">IF($D1928&gt;0,$D1928*КИС,0)</f>
        <v>0</v>
      </c>
      <c r="I1928" s="107">
        <f t="shared" ref="I1928:I1991" si="214">IF($D1928&gt;0,$D1928-$H1928,0)</f>
        <v>0</v>
      </c>
      <c r="J1928" s="87">
        <f>IF($D1928&gt;0,IFERROR(Параметры!$D$42*$H1928/$H$2408,0),0)</f>
        <v>0</v>
      </c>
      <c r="K1928" s="87">
        <f>IFERROR(ROUND($N1928*Параметры!$D$36,2),0)</f>
        <v>0</v>
      </c>
      <c r="L1928" s="87">
        <f t="shared" ref="L1928:L1991" si="215">IF($K1928&gt;0,$K1928*0.055,0)</f>
        <v>0</v>
      </c>
      <c r="M1928" s="87">
        <f t="shared" ref="M1928:M1991" si="216">IFERROR($L1928/Плотность_ДТ,0)</f>
        <v>0</v>
      </c>
      <c r="N1928" s="107" t="str">
        <f t="shared" ref="N1928:N1991" si="217">IF($D1928&gt;0,MAX(0,$D1928-IF($F1928="",0,$F1928)),"")</f>
        <v/>
      </c>
    </row>
    <row r="1929" spans="2:14" x14ac:dyDescent="0.25">
      <c r="B1929" s="82">
        <f>SUBTOTAL(103,$D$8:D1929)</f>
        <v>1922</v>
      </c>
      <c r="C1929" s="83" t="s">
        <v>1927</v>
      </c>
      <c r="D1929" s="84">
        <v>0</v>
      </c>
      <c r="E1929" s="85" t="str">
        <f t="shared" si="212"/>
        <v/>
      </c>
      <c r="F1929" s="106" t="str">
        <f t="shared" si="211"/>
        <v/>
      </c>
      <c r="G1929" s="86"/>
      <c r="H1929" s="107">
        <f t="shared" si="213"/>
        <v>0</v>
      </c>
      <c r="I1929" s="107">
        <f t="shared" si="214"/>
        <v>0</v>
      </c>
      <c r="J1929" s="87">
        <f>IF($D1929&gt;0,IFERROR(Параметры!$D$42*$H1929/$H$2408,0),0)</f>
        <v>0</v>
      </c>
      <c r="K1929" s="87">
        <f>IFERROR(ROUND($N1929*Параметры!$D$36,2),0)</f>
        <v>0</v>
      </c>
      <c r="L1929" s="87">
        <f t="shared" si="215"/>
        <v>0</v>
      </c>
      <c r="M1929" s="87">
        <f t="shared" si="216"/>
        <v>0</v>
      </c>
      <c r="N1929" s="107" t="str">
        <f t="shared" si="217"/>
        <v/>
      </c>
    </row>
    <row r="1930" spans="2:14" x14ac:dyDescent="0.25">
      <c r="B1930" s="82">
        <f>SUBTOTAL(103,$D$8:D1930)</f>
        <v>1923</v>
      </c>
      <c r="C1930" s="83" t="s">
        <v>1928</v>
      </c>
      <c r="D1930" s="84">
        <v>0</v>
      </c>
      <c r="E1930" s="85" t="str">
        <f t="shared" si="212"/>
        <v/>
      </c>
      <c r="F1930" s="106" t="str">
        <f t="shared" si="211"/>
        <v/>
      </c>
      <c r="G1930" s="86"/>
      <c r="H1930" s="107">
        <f t="shared" si="213"/>
        <v>0</v>
      </c>
      <c r="I1930" s="107">
        <f t="shared" si="214"/>
        <v>0</v>
      </c>
      <c r="J1930" s="87">
        <f>IF($D1930&gt;0,IFERROR(Параметры!$D$42*$H1930/$H$2408,0),0)</f>
        <v>0</v>
      </c>
      <c r="K1930" s="87">
        <f>IFERROR(ROUND($N1930*Параметры!$D$36,2),0)</f>
        <v>0</v>
      </c>
      <c r="L1930" s="87">
        <f t="shared" si="215"/>
        <v>0</v>
      </c>
      <c r="M1930" s="87">
        <f t="shared" si="216"/>
        <v>0</v>
      </c>
      <c r="N1930" s="107" t="str">
        <f t="shared" si="217"/>
        <v/>
      </c>
    </row>
    <row r="1931" spans="2:14" x14ac:dyDescent="0.25">
      <c r="B1931" s="82">
        <f>SUBTOTAL(103,$D$8:D1931)</f>
        <v>1924</v>
      </c>
      <c r="C1931" s="83" t="s">
        <v>1929</v>
      </c>
      <c r="D1931" s="84">
        <v>0</v>
      </c>
      <c r="E1931" s="85" t="str">
        <f t="shared" si="212"/>
        <v/>
      </c>
      <c r="F1931" s="106" t="str">
        <f t="shared" ref="F1931:F1994" si="218">IF(D1931&gt;0,2,"")</f>
        <v/>
      </c>
      <c r="G1931" s="86"/>
      <c r="H1931" s="107">
        <f t="shared" si="213"/>
        <v>0</v>
      </c>
      <c r="I1931" s="107">
        <f t="shared" si="214"/>
        <v>0</v>
      </c>
      <c r="J1931" s="87">
        <f>IF($D1931&gt;0,IFERROR(Параметры!$D$42*$H1931/$H$2408,0),0)</f>
        <v>0</v>
      </c>
      <c r="K1931" s="87">
        <f>IFERROR(ROUND($N1931*Параметры!$D$36,2),0)</f>
        <v>0</v>
      </c>
      <c r="L1931" s="87">
        <f t="shared" si="215"/>
        <v>0</v>
      </c>
      <c r="M1931" s="87">
        <f t="shared" si="216"/>
        <v>0</v>
      </c>
      <c r="N1931" s="107" t="str">
        <f t="shared" si="217"/>
        <v/>
      </c>
    </row>
    <row r="1932" spans="2:14" x14ac:dyDescent="0.25">
      <c r="B1932" s="82">
        <f>SUBTOTAL(103,$D$8:D1932)</f>
        <v>1925</v>
      </c>
      <c r="C1932" s="83" t="s">
        <v>1930</v>
      </c>
      <c r="D1932" s="84">
        <v>0</v>
      </c>
      <c r="E1932" s="85" t="str">
        <f t="shared" si="212"/>
        <v/>
      </c>
      <c r="F1932" s="106" t="str">
        <f t="shared" si="218"/>
        <v/>
      </c>
      <c r="G1932" s="86"/>
      <c r="H1932" s="107">
        <f t="shared" si="213"/>
        <v>0</v>
      </c>
      <c r="I1932" s="107">
        <f t="shared" si="214"/>
        <v>0</v>
      </c>
      <c r="J1932" s="87">
        <f>IF($D1932&gt;0,IFERROR(Параметры!$D$42*$H1932/$H$2408,0),0)</f>
        <v>0</v>
      </c>
      <c r="K1932" s="87">
        <f>IFERROR(ROUND($N1932*Параметры!$D$36,2),0)</f>
        <v>0</v>
      </c>
      <c r="L1932" s="87">
        <f t="shared" si="215"/>
        <v>0</v>
      </c>
      <c r="M1932" s="87">
        <f t="shared" si="216"/>
        <v>0</v>
      </c>
      <c r="N1932" s="107" t="str">
        <f t="shared" si="217"/>
        <v/>
      </c>
    </row>
    <row r="1933" spans="2:14" x14ac:dyDescent="0.25">
      <c r="B1933" s="82">
        <f>SUBTOTAL(103,$D$8:D1933)</f>
        <v>1926</v>
      </c>
      <c r="C1933" s="83" t="s">
        <v>1931</v>
      </c>
      <c r="D1933" s="84">
        <v>0</v>
      </c>
      <c r="E1933" s="85" t="str">
        <f t="shared" si="212"/>
        <v/>
      </c>
      <c r="F1933" s="106" t="str">
        <f t="shared" si="218"/>
        <v/>
      </c>
      <c r="G1933" s="86"/>
      <c r="H1933" s="107">
        <f t="shared" si="213"/>
        <v>0</v>
      </c>
      <c r="I1933" s="107">
        <f t="shared" si="214"/>
        <v>0</v>
      </c>
      <c r="J1933" s="87">
        <f>IF($D1933&gt;0,IFERROR(Параметры!$D$42*$H1933/$H$2408,0),0)</f>
        <v>0</v>
      </c>
      <c r="K1933" s="87">
        <f>IFERROR(ROUND($N1933*Параметры!$D$36,2),0)</f>
        <v>0</v>
      </c>
      <c r="L1933" s="87">
        <f t="shared" si="215"/>
        <v>0</v>
      </c>
      <c r="M1933" s="87">
        <f t="shared" si="216"/>
        <v>0</v>
      </c>
      <c r="N1933" s="107" t="str">
        <f t="shared" si="217"/>
        <v/>
      </c>
    </row>
    <row r="1934" spans="2:14" x14ac:dyDescent="0.25">
      <c r="B1934" s="82">
        <f>SUBTOTAL(103,$D$8:D1934)</f>
        <v>1927</v>
      </c>
      <c r="C1934" s="83" t="s">
        <v>1932</v>
      </c>
      <c r="D1934" s="84">
        <v>0</v>
      </c>
      <c r="E1934" s="85" t="str">
        <f t="shared" si="212"/>
        <v/>
      </c>
      <c r="F1934" s="106" t="str">
        <f t="shared" si="218"/>
        <v/>
      </c>
      <c r="G1934" s="86"/>
      <c r="H1934" s="107">
        <f t="shared" si="213"/>
        <v>0</v>
      </c>
      <c r="I1934" s="107">
        <f t="shared" si="214"/>
        <v>0</v>
      </c>
      <c r="J1934" s="87">
        <f>IF($D1934&gt;0,IFERROR(Параметры!$D$42*$H1934/$H$2408,0),0)</f>
        <v>0</v>
      </c>
      <c r="K1934" s="87">
        <f>IFERROR(ROUND($N1934*Параметры!$D$36,2),0)</f>
        <v>0</v>
      </c>
      <c r="L1934" s="87">
        <f t="shared" si="215"/>
        <v>0</v>
      </c>
      <c r="M1934" s="87">
        <f t="shared" si="216"/>
        <v>0</v>
      </c>
      <c r="N1934" s="107" t="str">
        <f t="shared" si="217"/>
        <v/>
      </c>
    </row>
    <row r="1935" spans="2:14" x14ac:dyDescent="0.25">
      <c r="B1935" s="82">
        <f>SUBTOTAL(103,$D$8:D1935)</f>
        <v>1928</v>
      </c>
      <c r="C1935" s="83" t="s">
        <v>1933</v>
      </c>
      <c r="D1935" s="84">
        <v>0</v>
      </c>
      <c r="E1935" s="85" t="str">
        <f t="shared" si="212"/>
        <v/>
      </c>
      <c r="F1935" s="106" t="str">
        <f t="shared" si="218"/>
        <v/>
      </c>
      <c r="G1935" s="86"/>
      <c r="H1935" s="107">
        <f t="shared" si="213"/>
        <v>0</v>
      </c>
      <c r="I1935" s="107">
        <f t="shared" si="214"/>
        <v>0</v>
      </c>
      <c r="J1935" s="87">
        <f>IF($D1935&gt;0,IFERROR(Параметры!$D$42*$H1935/$H$2408,0),0)</f>
        <v>0</v>
      </c>
      <c r="K1935" s="87">
        <f>IFERROR(ROUND($N1935*Параметры!$D$36,2),0)</f>
        <v>0</v>
      </c>
      <c r="L1935" s="87">
        <f t="shared" si="215"/>
        <v>0</v>
      </c>
      <c r="M1935" s="87">
        <f t="shared" si="216"/>
        <v>0</v>
      </c>
      <c r="N1935" s="107" t="str">
        <f t="shared" si="217"/>
        <v/>
      </c>
    </row>
    <row r="1936" spans="2:14" x14ac:dyDescent="0.25">
      <c r="B1936" s="82">
        <f>SUBTOTAL(103,$D$8:D1936)</f>
        <v>1929</v>
      </c>
      <c r="C1936" s="83" t="s">
        <v>1934</v>
      </c>
      <c r="D1936" s="84">
        <v>0</v>
      </c>
      <c r="E1936" s="85" t="str">
        <f t="shared" si="212"/>
        <v/>
      </c>
      <c r="F1936" s="106" t="str">
        <f t="shared" si="218"/>
        <v/>
      </c>
      <c r="G1936" s="86"/>
      <c r="H1936" s="107">
        <f t="shared" si="213"/>
        <v>0</v>
      </c>
      <c r="I1936" s="107">
        <f t="shared" si="214"/>
        <v>0</v>
      </c>
      <c r="J1936" s="87">
        <f>IF($D1936&gt;0,IFERROR(Параметры!$D$42*$H1936/$H$2408,0),0)</f>
        <v>0</v>
      </c>
      <c r="K1936" s="87">
        <f>IFERROR(ROUND($N1936*Параметры!$D$36,2),0)</f>
        <v>0</v>
      </c>
      <c r="L1936" s="87">
        <f t="shared" si="215"/>
        <v>0</v>
      </c>
      <c r="M1936" s="87">
        <f t="shared" si="216"/>
        <v>0</v>
      </c>
      <c r="N1936" s="107" t="str">
        <f t="shared" si="217"/>
        <v/>
      </c>
    </row>
    <row r="1937" spans="2:14" x14ac:dyDescent="0.25">
      <c r="B1937" s="82">
        <f>SUBTOTAL(103,$D$8:D1937)</f>
        <v>1930</v>
      </c>
      <c r="C1937" s="83" t="s">
        <v>1935</v>
      </c>
      <c r="D1937" s="84">
        <v>0</v>
      </c>
      <c r="E1937" s="85" t="str">
        <f t="shared" si="212"/>
        <v/>
      </c>
      <c r="F1937" s="106" t="str">
        <f t="shared" si="218"/>
        <v/>
      </c>
      <c r="G1937" s="86"/>
      <c r="H1937" s="107">
        <f t="shared" si="213"/>
        <v>0</v>
      </c>
      <c r="I1937" s="107">
        <f t="shared" si="214"/>
        <v>0</v>
      </c>
      <c r="J1937" s="87">
        <f>IF($D1937&gt;0,IFERROR(Параметры!$D$42*$H1937/$H$2408,0),0)</f>
        <v>0</v>
      </c>
      <c r="K1937" s="87">
        <f>IFERROR(ROUND($N1937*Параметры!$D$36,2),0)</f>
        <v>0</v>
      </c>
      <c r="L1937" s="87">
        <f t="shared" si="215"/>
        <v>0</v>
      </c>
      <c r="M1937" s="87">
        <f t="shared" si="216"/>
        <v>0</v>
      </c>
      <c r="N1937" s="107" t="str">
        <f t="shared" si="217"/>
        <v/>
      </c>
    </row>
    <row r="1938" spans="2:14" x14ac:dyDescent="0.25">
      <c r="B1938" s="82">
        <f>SUBTOTAL(103,$D$8:D1938)</f>
        <v>1931</v>
      </c>
      <c r="C1938" s="83" t="s">
        <v>1936</v>
      </c>
      <c r="D1938" s="84">
        <v>0</v>
      </c>
      <c r="E1938" s="85" t="str">
        <f t="shared" si="212"/>
        <v/>
      </c>
      <c r="F1938" s="106" t="str">
        <f t="shared" si="218"/>
        <v/>
      </c>
      <c r="G1938" s="86"/>
      <c r="H1938" s="107">
        <f t="shared" si="213"/>
        <v>0</v>
      </c>
      <c r="I1938" s="107">
        <f t="shared" si="214"/>
        <v>0</v>
      </c>
      <c r="J1938" s="87">
        <f>IF($D1938&gt;0,IFERROR(Параметры!$D$42*$H1938/$H$2408,0),0)</f>
        <v>0</v>
      </c>
      <c r="K1938" s="87">
        <f>IFERROR(ROUND($N1938*Параметры!$D$36,2),0)</f>
        <v>0</v>
      </c>
      <c r="L1938" s="87">
        <f t="shared" si="215"/>
        <v>0</v>
      </c>
      <c r="M1938" s="87">
        <f t="shared" si="216"/>
        <v>0</v>
      </c>
      <c r="N1938" s="107" t="str">
        <f t="shared" si="217"/>
        <v/>
      </c>
    </row>
    <row r="1939" spans="2:14" x14ac:dyDescent="0.25">
      <c r="B1939" s="82">
        <f>SUBTOTAL(103,$D$8:D1939)</f>
        <v>1932</v>
      </c>
      <c r="C1939" s="83" t="s">
        <v>1937</v>
      </c>
      <c r="D1939" s="84">
        <v>0</v>
      </c>
      <c r="E1939" s="85" t="str">
        <f t="shared" si="212"/>
        <v/>
      </c>
      <c r="F1939" s="106" t="str">
        <f t="shared" si="218"/>
        <v/>
      </c>
      <c r="G1939" s="86"/>
      <c r="H1939" s="107">
        <f t="shared" si="213"/>
        <v>0</v>
      </c>
      <c r="I1939" s="107">
        <f t="shared" si="214"/>
        <v>0</v>
      </c>
      <c r="J1939" s="87">
        <f>IF($D1939&gt;0,IFERROR(Параметры!$D$42*$H1939/$H$2408,0),0)</f>
        <v>0</v>
      </c>
      <c r="K1939" s="87">
        <f>IFERROR(ROUND($N1939*Параметры!$D$36,2),0)</f>
        <v>0</v>
      </c>
      <c r="L1939" s="87">
        <f t="shared" si="215"/>
        <v>0</v>
      </c>
      <c r="M1939" s="87">
        <f t="shared" si="216"/>
        <v>0</v>
      </c>
      <c r="N1939" s="107" t="str">
        <f t="shared" si="217"/>
        <v/>
      </c>
    </row>
    <row r="1940" spans="2:14" x14ac:dyDescent="0.25">
      <c r="B1940" s="82">
        <f>SUBTOTAL(103,$D$8:D1940)</f>
        <v>1933</v>
      </c>
      <c r="C1940" s="83" t="s">
        <v>1938</v>
      </c>
      <c r="D1940" s="84">
        <v>0</v>
      </c>
      <c r="E1940" s="85" t="str">
        <f t="shared" si="212"/>
        <v/>
      </c>
      <c r="F1940" s="106" t="str">
        <f t="shared" si="218"/>
        <v/>
      </c>
      <c r="G1940" s="86"/>
      <c r="H1940" s="107">
        <f t="shared" si="213"/>
        <v>0</v>
      </c>
      <c r="I1940" s="107">
        <f t="shared" si="214"/>
        <v>0</v>
      </c>
      <c r="J1940" s="87">
        <f>IF($D1940&gt;0,IFERROR(Параметры!$D$42*$H1940/$H$2408,0),0)</f>
        <v>0</v>
      </c>
      <c r="K1940" s="87">
        <f>IFERROR(ROUND($N1940*Параметры!$D$36,2),0)</f>
        <v>0</v>
      </c>
      <c r="L1940" s="87">
        <f t="shared" si="215"/>
        <v>0</v>
      </c>
      <c r="M1940" s="87">
        <f t="shared" si="216"/>
        <v>0</v>
      </c>
      <c r="N1940" s="107" t="str">
        <f t="shared" si="217"/>
        <v/>
      </c>
    </row>
    <row r="1941" spans="2:14" x14ac:dyDescent="0.25">
      <c r="B1941" s="82">
        <f>SUBTOTAL(103,$D$8:D1941)</f>
        <v>1934</v>
      </c>
      <c r="C1941" s="83" t="s">
        <v>1939</v>
      </c>
      <c r="D1941" s="84">
        <v>0</v>
      </c>
      <c r="E1941" s="85" t="str">
        <f t="shared" si="212"/>
        <v/>
      </c>
      <c r="F1941" s="106" t="str">
        <f t="shared" si="218"/>
        <v/>
      </c>
      <c r="G1941" s="86"/>
      <c r="H1941" s="107">
        <f t="shared" si="213"/>
        <v>0</v>
      </c>
      <c r="I1941" s="107">
        <f t="shared" si="214"/>
        <v>0</v>
      </c>
      <c r="J1941" s="87">
        <f>IF($D1941&gt;0,IFERROR(Параметры!$D$42*$H1941/$H$2408,0),0)</f>
        <v>0</v>
      </c>
      <c r="K1941" s="87">
        <f>IFERROR(ROUND($N1941*Параметры!$D$36,2),0)</f>
        <v>0</v>
      </c>
      <c r="L1941" s="87">
        <f t="shared" si="215"/>
        <v>0</v>
      </c>
      <c r="M1941" s="87">
        <f t="shared" si="216"/>
        <v>0</v>
      </c>
      <c r="N1941" s="107" t="str">
        <f t="shared" si="217"/>
        <v/>
      </c>
    </row>
    <row r="1942" spans="2:14" x14ac:dyDescent="0.25">
      <c r="B1942" s="82">
        <f>SUBTOTAL(103,$D$8:D1942)</f>
        <v>1935</v>
      </c>
      <c r="C1942" s="83" t="s">
        <v>1940</v>
      </c>
      <c r="D1942" s="84">
        <v>0</v>
      </c>
      <c r="E1942" s="85" t="str">
        <f t="shared" si="212"/>
        <v/>
      </c>
      <c r="F1942" s="106" t="str">
        <f t="shared" si="218"/>
        <v/>
      </c>
      <c r="G1942" s="86"/>
      <c r="H1942" s="107">
        <f t="shared" si="213"/>
        <v>0</v>
      </c>
      <c r="I1942" s="107">
        <f t="shared" si="214"/>
        <v>0</v>
      </c>
      <c r="J1942" s="87">
        <f>IF($D1942&gt;0,IFERROR(Параметры!$D$42*$H1942/$H$2408,0),0)</f>
        <v>0</v>
      </c>
      <c r="K1942" s="87">
        <f>IFERROR(ROUND($N1942*Параметры!$D$36,2),0)</f>
        <v>0</v>
      </c>
      <c r="L1942" s="87">
        <f t="shared" si="215"/>
        <v>0</v>
      </c>
      <c r="M1942" s="87">
        <f t="shared" si="216"/>
        <v>0</v>
      </c>
      <c r="N1942" s="107" t="str">
        <f t="shared" si="217"/>
        <v/>
      </c>
    </row>
    <row r="1943" spans="2:14" x14ac:dyDescent="0.25">
      <c r="B1943" s="82">
        <f>SUBTOTAL(103,$D$8:D1943)</f>
        <v>1936</v>
      </c>
      <c r="C1943" s="83" t="s">
        <v>1941</v>
      </c>
      <c r="D1943" s="84">
        <v>0</v>
      </c>
      <c r="E1943" s="85" t="str">
        <f t="shared" si="212"/>
        <v/>
      </c>
      <c r="F1943" s="106" t="str">
        <f t="shared" si="218"/>
        <v/>
      </c>
      <c r="G1943" s="86"/>
      <c r="H1943" s="107">
        <f t="shared" si="213"/>
        <v>0</v>
      </c>
      <c r="I1943" s="107">
        <f t="shared" si="214"/>
        <v>0</v>
      </c>
      <c r="J1943" s="87">
        <f>IF($D1943&gt;0,IFERROR(Параметры!$D$42*$H1943/$H$2408,0),0)</f>
        <v>0</v>
      </c>
      <c r="K1943" s="87">
        <f>IFERROR(ROUND($N1943*Параметры!$D$36,2),0)</f>
        <v>0</v>
      </c>
      <c r="L1943" s="87">
        <f t="shared" si="215"/>
        <v>0</v>
      </c>
      <c r="M1943" s="87">
        <f t="shared" si="216"/>
        <v>0</v>
      </c>
      <c r="N1943" s="107" t="str">
        <f t="shared" si="217"/>
        <v/>
      </c>
    </row>
    <row r="1944" spans="2:14" x14ac:dyDescent="0.25">
      <c r="B1944" s="82">
        <f>SUBTOTAL(103,$D$8:D1944)</f>
        <v>1937</v>
      </c>
      <c r="C1944" s="83" t="s">
        <v>1942</v>
      </c>
      <c r="D1944" s="84">
        <v>0</v>
      </c>
      <c r="E1944" s="85" t="str">
        <f t="shared" si="212"/>
        <v/>
      </c>
      <c r="F1944" s="106" t="str">
        <f t="shared" si="218"/>
        <v/>
      </c>
      <c r="G1944" s="86"/>
      <c r="H1944" s="107">
        <f t="shared" si="213"/>
        <v>0</v>
      </c>
      <c r="I1944" s="107">
        <f t="shared" si="214"/>
        <v>0</v>
      </c>
      <c r="J1944" s="87">
        <f>IF($D1944&gt;0,IFERROR(Параметры!$D$42*$H1944/$H$2408,0),0)</f>
        <v>0</v>
      </c>
      <c r="K1944" s="87">
        <f>IFERROR(ROUND($N1944*Параметры!$D$36,2),0)</f>
        <v>0</v>
      </c>
      <c r="L1944" s="87">
        <f t="shared" si="215"/>
        <v>0</v>
      </c>
      <c r="M1944" s="87">
        <f t="shared" si="216"/>
        <v>0</v>
      </c>
      <c r="N1944" s="107" t="str">
        <f t="shared" si="217"/>
        <v/>
      </c>
    </row>
    <row r="1945" spans="2:14" x14ac:dyDescent="0.25">
      <c r="B1945" s="82">
        <f>SUBTOTAL(103,$D$8:D1945)</f>
        <v>1938</v>
      </c>
      <c r="C1945" s="83" t="s">
        <v>1943</v>
      </c>
      <c r="D1945" s="84">
        <v>0</v>
      </c>
      <c r="E1945" s="85" t="str">
        <f t="shared" si="212"/>
        <v/>
      </c>
      <c r="F1945" s="106" t="str">
        <f t="shared" si="218"/>
        <v/>
      </c>
      <c r="G1945" s="86"/>
      <c r="H1945" s="107">
        <f t="shared" si="213"/>
        <v>0</v>
      </c>
      <c r="I1945" s="107">
        <f t="shared" si="214"/>
        <v>0</v>
      </c>
      <c r="J1945" s="87">
        <f>IF($D1945&gt;0,IFERROR(Параметры!$D$42*$H1945/$H$2408,0),0)</f>
        <v>0</v>
      </c>
      <c r="K1945" s="87">
        <f>IFERROR(ROUND($N1945*Параметры!$D$36,2),0)</f>
        <v>0</v>
      </c>
      <c r="L1945" s="87">
        <f t="shared" si="215"/>
        <v>0</v>
      </c>
      <c r="M1945" s="87">
        <f t="shared" si="216"/>
        <v>0</v>
      </c>
      <c r="N1945" s="107" t="str">
        <f t="shared" si="217"/>
        <v/>
      </c>
    </row>
    <row r="1946" spans="2:14" x14ac:dyDescent="0.25">
      <c r="B1946" s="82">
        <f>SUBTOTAL(103,$D$8:D1946)</f>
        <v>1939</v>
      </c>
      <c r="C1946" s="83" t="s">
        <v>1944</v>
      </c>
      <c r="D1946" s="84">
        <v>0</v>
      </c>
      <c r="E1946" s="85" t="str">
        <f t="shared" si="212"/>
        <v/>
      </c>
      <c r="F1946" s="106" t="str">
        <f t="shared" si="218"/>
        <v/>
      </c>
      <c r="G1946" s="86"/>
      <c r="H1946" s="107">
        <f t="shared" si="213"/>
        <v>0</v>
      </c>
      <c r="I1946" s="107">
        <f t="shared" si="214"/>
        <v>0</v>
      </c>
      <c r="J1946" s="87">
        <f>IF($D1946&gt;0,IFERROR(Параметры!$D$42*$H1946/$H$2408,0),0)</f>
        <v>0</v>
      </c>
      <c r="K1946" s="87">
        <f>IFERROR(ROUND($N1946*Параметры!$D$36,2),0)</f>
        <v>0</v>
      </c>
      <c r="L1946" s="87">
        <f t="shared" si="215"/>
        <v>0</v>
      </c>
      <c r="M1946" s="87">
        <f t="shared" si="216"/>
        <v>0</v>
      </c>
      <c r="N1946" s="107" t="str">
        <f t="shared" si="217"/>
        <v/>
      </c>
    </row>
    <row r="1947" spans="2:14" x14ac:dyDescent="0.25">
      <c r="B1947" s="82">
        <f>SUBTOTAL(103,$D$8:D1947)</f>
        <v>1940</v>
      </c>
      <c r="C1947" s="83" t="s">
        <v>1945</v>
      </c>
      <c r="D1947" s="84">
        <v>0</v>
      </c>
      <c r="E1947" s="85" t="str">
        <f t="shared" si="212"/>
        <v/>
      </c>
      <c r="F1947" s="106" t="str">
        <f t="shared" si="218"/>
        <v/>
      </c>
      <c r="G1947" s="86"/>
      <c r="H1947" s="107">
        <f t="shared" si="213"/>
        <v>0</v>
      </c>
      <c r="I1947" s="107">
        <f t="shared" si="214"/>
        <v>0</v>
      </c>
      <c r="J1947" s="87">
        <f>IF($D1947&gt;0,IFERROR(Параметры!$D$42*$H1947/$H$2408,0),0)</f>
        <v>0</v>
      </c>
      <c r="K1947" s="87">
        <f>IFERROR(ROUND($N1947*Параметры!$D$36,2),0)</f>
        <v>0</v>
      </c>
      <c r="L1947" s="87">
        <f t="shared" si="215"/>
        <v>0</v>
      </c>
      <c r="M1947" s="87">
        <f t="shared" si="216"/>
        <v>0</v>
      </c>
      <c r="N1947" s="107" t="str">
        <f t="shared" si="217"/>
        <v/>
      </c>
    </row>
    <row r="1948" spans="2:14" x14ac:dyDescent="0.25">
      <c r="B1948" s="82">
        <f>SUBTOTAL(103,$D$8:D1948)</f>
        <v>1941</v>
      </c>
      <c r="C1948" s="83" t="s">
        <v>1946</v>
      </c>
      <c r="D1948" s="84">
        <v>0</v>
      </c>
      <c r="E1948" s="85" t="str">
        <f t="shared" si="212"/>
        <v/>
      </c>
      <c r="F1948" s="106" t="str">
        <f t="shared" si="218"/>
        <v/>
      </c>
      <c r="G1948" s="86"/>
      <c r="H1948" s="107">
        <f t="shared" si="213"/>
        <v>0</v>
      </c>
      <c r="I1948" s="107">
        <f t="shared" si="214"/>
        <v>0</v>
      </c>
      <c r="J1948" s="87">
        <f>IF($D1948&gt;0,IFERROR(Параметры!$D$42*$H1948/$H$2408,0),0)</f>
        <v>0</v>
      </c>
      <c r="K1948" s="87">
        <f>IFERROR(ROUND($N1948*Параметры!$D$36,2),0)</f>
        <v>0</v>
      </c>
      <c r="L1948" s="87">
        <f t="shared" si="215"/>
        <v>0</v>
      </c>
      <c r="M1948" s="87">
        <f t="shared" si="216"/>
        <v>0</v>
      </c>
      <c r="N1948" s="107" t="str">
        <f t="shared" si="217"/>
        <v/>
      </c>
    </row>
    <row r="1949" spans="2:14" x14ac:dyDescent="0.25">
      <c r="B1949" s="82">
        <f>SUBTOTAL(103,$D$8:D1949)</f>
        <v>1942</v>
      </c>
      <c r="C1949" s="83" t="s">
        <v>1947</v>
      </c>
      <c r="D1949" s="84">
        <v>0</v>
      </c>
      <c r="E1949" s="85" t="str">
        <f t="shared" si="212"/>
        <v/>
      </c>
      <c r="F1949" s="106" t="str">
        <f t="shared" si="218"/>
        <v/>
      </c>
      <c r="G1949" s="86"/>
      <c r="H1949" s="107">
        <f t="shared" si="213"/>
        <v>0</v>
      </c>
      <c r="I1949" s="107">
        <f t="shared" si="214"/>
        <v>0</v>
      </c>
      <c r="J1949" s="87">
        <f>IF($D1949&gt;0,IFERROR(Параметры!$D$42*$H1949/$H$2408,0),0)</f>
        <v>0</v>
      </c>
      <c r="K1949" s="87">
        <f>IFERROR(ROUND($N1949*Параметры!$D$36,2),0)</f>
        <v>0</v>
      </c>
      <c r="L1949" s="87">
        <f t="shared" si="215"/>
        <v>0</v>
      </c>
      <c r="M1949" s="87">
        <f t="shared" si="216"/>
        <v>0</v>
      </c>
      <c r="N1949" s="107" t="str">
        <f t="shared" si="217"/>
        <v/>
      </c>
    </row>
    <row r="1950" spans="2:14" x14ac:dyDescent="0.25">
      <c r="B1950" s="82">
        <f>SUBTOTAL(103,$D$8:D1950)</f>
        <v>1943</v>
      </c>
      <c r="C1950" s="83" t="s">
        <v>1948</v>
      </c>
      <c r="D1950" s="84">
        <v>0</v>
      </c>
      <c r="E1950" s="85" t="str">
        <f t="shared" si="212"/>
        <v/>
      </c>
      <c r="F1950" s="106" t="str">
        <f t="shared" si="218"/>
        <v/>
      </c>
      <c r="G1950" s="86"/>
      <c r="H1950" s="107">
        <f t="shared" si="213"/>
        <v>0</v>
      </c>
      <c r="I1950" s="107">
        <f t="shared" si="214"/>
        <v>0</v>
      </c>
      <c r="J1950" s="87">
        <f>IF($D1950&gt;0,IFERROR(Параметры!$D$42*$H1950/$H$2408,0),0)</f>
        <v>0</v>
      </c>
      <c r="K1950" s="87">
        <f>IFERROR(ROUND($N1950*Параметры!$D$36,2),0)</f>
        <v>0</v>
      </c>
      <c r="L1950" s="87">
        <f t="shared" si="215"/>
        <v>0</v>
      </c>
      <c r="M1950" s="87">
        <f t="shared" si="216"/>
        <v>0</v>
      </c>
      <c r="N1950" s="107" t="str">
        <f t="shared" si="217"/>
        <v/>
      </c>
    </row>
    <row r="1951" spans="2:14" x14ac:dyDescent="0.25">
      <c r="B1951" s="82">
        <f>SUBTOTAL(103,$D$8:D1951)</f>
        <v>1944</v>
      </c>
      <c r="C1951" s="83" t="s">
        <v>1949</v>
      </c>
      <c r="D1951" s="84">
        <v>0</v>
      </c>
      <c r="E1951" s="85" t="str">
        <f t="shared" si="212"/>
        <v/>
      </c>
      <c r="F1951" s="106" t="str">
        <f t="shared" si="218"/>
        <v/>
      </c>
      <c r="G1951" s="86"/>
      <c r="H1951" s="107">
        <f t="shared" si="213"/>
        <v>0</v>
      </c>
      <c r="I1951" s="107">
        <f t="shared" si="214"/>
        <v>0</v>
      </c>
      <c r="J1951" s="87">
        <f>IF($D1951&gt;0,IFERROR(Параметры!$D$42*$H1951/$H$2408,0),0)</f>
        <v>0</v>
      </c>
      <c r="K1951" s="87">
        <f>IFERROR(ROUND($N1951*Параметры!$D$36,2),0)</f>
        <v>0</v>
      </c>
      <c r="L1951" s="87">
        <f t="shared" si="215"/>
        <v>0</v>
      </c>
      <c r="M1951" s="87">
        <f t="shared" si="216"/>
        <v>0</v>
      </c>
      <c r="N1951" s="107" t="str">
        <f t="shared" si="217"/>
        <v/>
      </c>
    </row>
    <row r="1952" spans="2:14" x14ac:dyDescent="0.25">
      <c r="B1952" s="82">
        <f>SUBTOTAL(103,$D$8:D1952)</f>
        <v>1945</v>
      </c>
      <c r="C1952" s="83" t="s">
        <v>1950</v>
      </c>
      <c r="D1952" s="84">
        <v>0</v>
      </c>
      <c r="E1952" s="85" t="str">
        <f t="shared" si="212"/>
        <v/>
      </c>
      <c r="F1952" s="106" t="str">
        <f t="shared" si="218"/>
        <v/>
      </c>
      <c r="G1952" s="86"/>
      <c r="H1952" s="107">
        <f t="shared" si="213"/>
        <v>0</v>
      </c>
      <c r="I1952" s="107">
        <f t="shared" si="214"/>
        <v>0</v>
      </c>
      <c r="J1952" s="87">
        <f>IF($D1952&gt;0,IFERROR(Параметры!$D$42*$H1952/$H$2408,0),0)</f>
        <v>0</v>
      </c>
      <c r="K1952" s="87">
        <f>IFERROR(ROUND($N1952*Параметры!$D$36,2),0)</f>
        <v>0</v>
      </c>
      <c r="L1952" s="87">
        <f t="shared" si="215"/>
        <v>0</v>
      </c>
      <c r="M1952" s="87">
        <f t="shared" si="216"/>
        <v>0</v>
      </c>
      <c r="N1952" s="107" t="str">
        <f t="shared" si="217"/>
        <v/>
      </c>
    </row>
    <row r="1953" spans="2:14" x14ac:dyDescent="0.25">
      <c r="B1953" s="82">
        <f>SUBTOTAL(103,$D$8:D1953)</f>
        <v>1946</v>
      </c>
      <c r="C1953" s="83" t="s">
        <v>1951</v>
      </c>
      <c r="D1953" s="84">
        <v>0</v>
      </c>
      <c r="E1953" s="85" t="str">
        <f t="shared" si="212"/>
        <v/>
      </c>
      <c r="F1953" s="106" t="str">
        <f t="shared" si="218"/>
        <v/>
      </c>
      <c r="G1953" s="86"/>
      <c r="H1953" s="107">
        <f t="shared" si="213"/>
        <v>0</v>
      </c>
      <c r="I1953" s="107">
        <f t="shared" si="214"/>
        <v>0</v>
      </c>
      <c r="J1953" s="87">
        <f>IF($D1953&gt;0,IFERROR(Параметры!$D$42*$H1953/$H$2408,0),0)</f>
        <v>0</v>
      </c>
      <c r="K1953" s="87">
        <f>IFERROR(ROUND($N1953*Параметры!$D$36,2),0)</f>
        <v>0</v>
      </c>
      <c r="L1953" s="87">
        <f t="shared" si="215"/>
        <v>0</v>
      </c>
      <c r="M1953" s="87">
        <f t="shared" si="216"/>
        <v>0</v>
      </c>
      <c r="N1953" s="107" t="str">
        <f t="shared" si="217"/>
        <v/>
      </c>
    </row>
    <row r="1954" spans="2:14" x14ac:dyDescent="0.25">
      <c r="B1954" s="82">
        <f>SUBTOTAL(103,$D$8:D1954)</f>
        <v>1947</v>
      </c>
      <c r="C1954" s="83" t="s">
        <v>1952</v>
      </c>
      <c r="D1954" s="84">
        <v>0</v>
      </c>
      <c r="E1954" s="85" t="str">
        <f t="shared" si="212"/>
        <v/>
      </c>
      <c r="F1954" s="106" t="str">
        <f t="shared" si="218"/>
        <v/>
      </c>
      <c r="G1954" s="86"/>
      <c r="H1954" s="107">
        <f t="shared" si="213"/>
        <v>0</v>
      </c>
      <c r="I1954" s="107">
        <f t="shared" si="214"/>
        <v>0</v>
      </c>
      <c r="J1954" s="87">
        <f>IF($D1954&gt;0,IFERROR(Параметры!$D$42*$H1954/$H$2408,0),0)</f>
        <v>0</v>
      </c>
      <c r="K1954" s="87">
        <f>IFERROR(ROUND($N1954*Параметры!$D$36,2),0)</f>
        <v>0</v>
      </c>
      <c r="L1954" s="87">
        <f t="shared" si="215"/>
        <v>0</v>
      </c>
      <c r="M1954" s="87">
        <f t="shared" si="216"/>
        <v>0</v>
      </c>
      <c r="N1954" s="107" t="str">
        <f t="shared" si="217"/>
        <v/>
      </c>
    </row>
    <row r="1955" spans="2:14" x14ac:dyDescent="0.25">
      <c r="B1955" s="82">
        <f>SUBTOTAL(103,$D$8:D1955)</f>
        <v>1948</v>
      </c>
      <c r="C1955" s="83" t="s">
        <v>1953</v>
      </c>
      <c r="D1955" s="84">
        <v>0</v>
      </c>
      <c r="E1955" s="85" t="str">
        <f t="shared" si="212"/>
        <v/>
      </c>
      <c r="F1955" s="106" t="str">
        <f t="shared" si="218"/>
        <v/>
      </c>
      <c r="G1955" s="86"/>
      <c r="H1955" s="107">
        <f t="shared" si="213"/>
        <v>0</v>
      </c>
      <c r="I1955" s="107">
        <f t="shared" si="214"/>
        <v>0</v>
      </c>
      <c r="J1955" s="87">
        <f>IF($D1955&gt;0,IFERROR(Параметры!$D$42*$H1955/$H$2408,0),0)</f>
        <v>0</v>
      </c>
      <c r="K1955" s="87">
        <f>IFERROR(ROUND($N1955*Параметры!$D$36,2),0)</f>
        <v>0</v>
      </c>
      <c r="L1955" s="87">
        <f t="shared" si="215"/>
        <v>0</v>
      </c>
      <c r="M1955" s="87">
        <f t="shared" si="216"/>
        <v>0</v>
      </c>
      <c r="N1955" s="107" t="str">
        <f t="shared" si="217"/>
        <v/>
      </c>
    </row>
    <row r="1956" spans="2:14" x14ac:dyDescent="0.25">
      <c r="B1956" s="82">
        <f>SUBTOTAL(103,$D$8:D1956)</f>
        <v>1949</v>
      </c>
      <c r="C1956" s="83" t="s">
        <v>1954</v>
      </c>
      <c r="D1956" s="84">
        <v>0</v>
      </c>
      <c r="E1956" s="85" t="str">
        <f t="shared" si="212"/>
        <v/>
      </c>
      <c r="F1956" s="106" t="str">
        <f t="shared" si="218"/>
        <v/>
      </c>
      <c r="G1956" s="86"/>
      <c r="H1956" s="107">
        <f t="shared" si="213"/>
        <v>0</v>
      </c>
      <c r="I1956" s="107">
        <f t="shared" si="214"/>
        <v>0</v>
      </c>
      <c r="J1956" s="87">
        <f>IF($D1956&gt;0,IFERROR(Параметры!$D$42*$H1956/$H$2408,0),0)</f>
        <v>0</v>
      </c>
      <c r="K1956" s="87">
        <f>IFERROR(ROUND($N1956*Параметры!$D$36,2),0)</f>
        <v>0</v>
      </c>
      <c r="L1956" s="87">
        <f t="shared" si="215"/>
        <v>0</v>
      </c>
      <c r="M1956" s="87">
        <f t="shared" si="216"/>
        <v>0</v>
      </c>
      <c r="N1956" s="107" t="str">
        <f t="shared" si="217"/>
        <v/>
      </c>
    </row>
    <row r="1957" spans="2:14" x14ac:dyDescent="0.25">
      <c r="B1957" s="82">
        <f>SUBTOTAL(103,$D$8:D1957)</f>
        <v>1950</v>
      </c>
      <c r="C1957" s="83" t="s">
        <v>1955</v>
      </c>
      <c r="D1957" s="84">
        <v>0</v>
      </c>
      <c r="E1957" s="85" t="str">
        <f t="shared" si="212"/>
        <v/>
      </c>
      <c r="F1957" s="106" t="str">
        <f t="shared" si="218"/>
        <v/>
      </c>
      <c r="G1957" s="86"/>
      <c r="H1957" s="107">
        <f t="shared" si="213"/>
        <v>0</v>
      </c>
      <c r="I1957" s="107">
        <f t="shared" si="214"/>
        <v>0</v>
      </c>
      <c r="J1957" s="87">
        <f>IF($D1957&gt;0,IFERROR(Параметры!$D$42*$H1957/$H$2408,0),0)</f>
        <v>0</v>
      </c>
      <c r="K1957" s="87">
        <f>IFERROR(ROUND($N1957*Параметры!$D$36,2),0)</f>
        <v>0</v>
      </c>
      <c r="L1957" s="87">
        <f t="shared" si="215"/>
        <v>0</v>
      </c>
      <c r="M1957" s="87">
        <f t="shared" si="216"/>
        <v>0</v>
      </c>
      <c r="N1957" s="107" t="str">
        <f t="shared" si="217"/>
        <v/>
      </c>
    </row>
    <row r="1958" spans="2:14" x14ac:dyDescent="0.25">
      <c r="B1958" s="82">
        <f>SUBTOTAL(103,$D$8:D1958)</f>
        <v>1951</v>
      </c>
      <c r="C1958" s="83" t="s">
        <v>1956</v>
      </c>
      <c r="D1958" s="84">
        <v>0</v>
      </c>
      <c r="E1958" s="85" t="str">
        <f t="shared" si="212"/>
        <v/>
      </c>
      <c r="F1958" s="106" t="str">
        <f t="shared" si="218"/>
        <v/>
      </c>
      <c r="G1958" s="86"/>
      <c r="H1958" s="107">
        <f t="shared" si="213"/>
        <v>0</v>
      </c>
      <c r="I1958" s="107">
        <f t="shared" si="214"/>
        <v>0</v>
      </c>
      <c r="J1958" s="87">
        <f>IF($D1958&gt;0,IFERROR(Параметры!$D$42*$H1958/$H$2408,0),0)</f>
        <v>0</v>
      </c>
      <c r="K1958" s="87">
        <f>IFERROR(ROUND($N1958*Параметры!$D$36,2),0)</f>
        <v>0</v>
      </c>
      <c r="L1958" s="87">
        <f t="shared" si="215"/>
        <v>0</v>
      </c>
      <c r="M1958" s="87">
        <f t="shared" si="216"/>
        <v>0</v>
      </c>
      <c r="N1958" s="107" t="str">
        <f t="shared" si="217"/>
        <v/>
      </c>
    </row>
    <row r="1959" spans="2:14" x14ac:dyDescent="0.25">
      <c r="B1959" s="82">
        <f>SUBTOTAL(103,$D$8:D1959)</f>
        <v>1952</v>
      </c>
      <c r="C1959" s="83" t="s">
        <v>1957</v>
      </c>
      <c r="D1959" s="84">
        <v>0</v>
      </c>
      <c r="E1959" s="85" t="str">
        <f t="shared" si="212"/>
        <v/>
      </c>
      <c r="F1959" s="106" t="str">
        <f t="shared" si="218"/>
        <v/>
      </c>
      <c r="G1959" s="86"/>
      <c r="H1959" s="107">
        <f t="shared" si="213"/>
        <v>0</v>
      </c>
      <c r="I1959" s="107">
        <f t="shared" si="214"/>
        <v>0</v>
      </c>
      <c r="J1959" s="87">
        <f>IF($D1959&gt;0,IFERROR(Параметры!$D$42*$H1959/$H$2408,0),0)</f>
        <v>0</v>
      </c>
      <c r="K1959" s="87">
        <f>IFERROR(ROUND($N1959*Параметры!$D$36,2),0)</f>
        <v>0</v>
      </c>
      <c r="L1959" s="87">
        <f t="shared" si="215"/>
        <v>0</v>
      </c>
      <c r="M1959" s="87">
        <f t="shared" si="216"/>
        <v>0</v>
      </c>
      <c r="N1959" s="107" t="str">
        <f t="shared" si="217"/>
        <v/>
      </c>
    </row>
    <row r="1960" spans="2:14" x14ac:dyDescent="0.25">
      <c r="B1960" s="82">
        <f>SUBTOTAL(103,$D$8:D1960)</f>
        <v>1953</v>
      </c>
      <c r="C1960" s="83" t="s">
        <v>1958</v>
      </c>
      <c r="D1960" s="84">
        <v>0</v>
      </c>
      <c r="E1960" s="85" t="str">
        <f t="shared" si="212"/>
        <v/>
      </c>
      <c r="F1960" s="106" t="str">
        <f t="shared" si="218"/>
        <v/>
      </c>
      <c r="G1960" s="86"/>
      <c r="H1960" s="107">
        <f t="shared" si="213"/>
        <v>0</v>
      </c>
      <c r="I1960" s="107">
        <f t="shared" si="214"/>
        <v>0</v>
      </c>
      <c r="J1960" s="87">
        <f>IF($D1960&gt;0,IFERROR(Параметры!$D$42*$H1960/$H$2408,0),0)</f>
        <v>0</v>
      </c>
      <c r="K1960" s="87">
        <f>IFERROR(ROUND($N1960*Параметры!$D$36,2),0)</f>
        <v>0</v>
      </c>
      <c r="L1960" s="87">
        <f t="shared" si="215"/>
        <v>0</v>
      </c>
      <c r="M1960" s="87">
        <f t="shared" si="216"/>
        <v>0</v>
      </c>
      <c r="N1960" s="107" t="str">
        <f t="shared" si="217"/>
        <v/>
      </c>
    </row>
    <row r="1961" spans="2:14" x14ac:dyDescent="0.25">
      <c r="B1961" s="82">
        <f>SUBTOTAL(103,$D$8:D1961)</f>
        <v>1954</v>
      </c>
      <c r="C1961" s="83" t="s">
        <v>1959</v>
      </c>
      <c r="D1961" s="84">
        <v>0</v>
      </c>
      <c r="E1961" s="85" t="str">
        <f t="shared" si="212"/>
        <v/>
      </c>
      <c r="F1961" s="106" t="str">
        <f t="shared" si="218"/>
        <v/>
      </c>
      <c r="G1961" s="86"/>
      <c r="H1961" s="107">
        <f t="shared" si="213"/>
        <v>0</v>
      </c>
      <c r="I1961" s="107">
        <f t="shared" si="214"/>
        <v>0</v>
      </c>
      <c r="J1961" s="87">
        <f>IF($D1961&gt;0,IFERROR(Параметры!$D$42*$H1961/$H$2408,0),0)</f>
        <v>0</v>
      </c>
      <c r="K1961" s="87">
        <f>IFERROR(ROUND($N1961*Параметры!$D$36,2),0)</f>
        <v>0</v>
      </c>
      <c r="L1961" s="87">
        <f t="shared" si="215"/>
        <v>0</v>
      </c>
      <c r="M1961" s="87">
        <f t="shared" si="216"/>
        <v>0</v>
      </c>
      <c r="N1961" s="107" t="str">
        <f t="shared" si="217"/>
        <v/>
      </c>
    </row>
    <row r="1962" spans="2:14" x14ac:dyDescent="0.25">
      <c r="B1962" s="82">
        <f>SUBTOTAL(103,$D$8:D1962)</f>
        <v>1955</v>
      </c>
      <c r="C1962" s="83" t="s">
        <v>1960</v>
      </c>
      <c r="D1962" s="84">
        <v>0</v>
      </c>
      <c r="E1962" s="85" t="str">
        <f t="shared" si="212"/>
        <v/>
      </c>
      <c r="F1962" s="106" t="str">
        <f t="shared" si="218"/>
        <v/>
      </c>
      <c r="G1962" s="86"/>
      <c r="H1962" s="107">
        <f t="shared" si="213"/>
        <v>0</v>
      </c>
      <c r="I1962" s="107">
        <f t="shared" si="214"/>
        <v>0</v>
      </c>
      <c r="J1962" s="87">
        <f>IF($D1962&gt;0,IFERROR(Параметры!$D$42*$H1962/$H$2408,0),0)</f>
        <v>0</v>
      </c>
      <c r="K1962" s="87">
        <f>IFERROR(ROUND($N1962*Параметры!$D$36,2),0)</f>
        <v>0</v>
      </c>
      <c r="L1962" s="87">
        <f t="shared" si="215"/>
        <v>0</v>
      </c>
      <c r="M1962" s="87">
        <f t="shared" si="216"/>
        <v>0</v>
      </c>
      <c r="N1962" s="107" t="str">
        <f t="shared" si="217"/>
        <v/>
      </c>
    </row>
    <row r="1963" spans="2:14" x14ac:dyDescent="0.25">
      <c r="B1963" s="82">
        <f>SUBTOTAL(103,$D$8:D1963)</f>
        <v>1956</v>
      </c>
      <c r="C1963" s="83" t="s">
        <v>1961</v>
      </c>
      <c r="D1963" s="84">
        <v>0</v>
      </c>
      <c r="E1963" s="85" t="str">
        <f t="shared" si="212"/>
        <v/>
      </c>
      <c r="F1963" s="106" t="str">
        <f t="shared" si="218"/>
        <v/>
      </c>
      <c r="G1963" s="86"/>
      <c r="H1963" s="107">
        <f t="shared" si="213"/>
        <v>0</v>
      </c>
      <c r="I1963" s="107">
        <f t="shared" si="214"/>
        <v>0</v>
      </c>
      <c r="J1963" s="87">
        <f>IF($D1963&gt;0,IFERROR(Параметры!$D$42*$H1963/$H$2408,0),0)</f>
        <v>0</v>
      </c>
      <c r="K1963" s="87">
        <f>IFERROR(ROUND($N1963*Параметры!$D$36,2),0)</f>
        <v>0</v>
      </c>
      <c r="L1963" s="87">
        <f t="shared" si="215"/>
        <v>0</v>
      </c>
      <c r="M1963" s="87">
        <f t="shared" si="216"/>
        <v>0</v>
      </c>
      <c r="N1963" s="107" t="str">
        <f t="shared" si="217"/>
        <v/>
      </c>
    </row>
    <row r="1964" spans="2:14" x14ac:dyDescent="0.25">
      <c r="B1964" s="82">
        <f>SUBTOTAL(103,$D$8:D1964)</f>
        <v>1957</v>
      </c>
      <c r="C1964" s="83" t="s">
        <v>1962</v>
      </c>
      <c r="D1964" s="84">
        <v>0</v>
      </c>
      <c r="E1964" s="85" t="str">
        <f t="shared" si="212"/>
        <v/>
      </c>
      <c r="F1964" s="106" t="str">
        <f t="shared" si="218"/>
        <v/>
      </c>
      <c r="G1964" s="86"/>
      <c r="H1964" s="107">
        <f t="shared" si="213"/>
        <v>0</v>
      </c>
      <c r="I1964" s="107">
        <f t="shared" si="214"/>
        <v>0</v>
      </c>
      <c r="J1964" s="87">
        <f>IF($D1964&gt;0,IFERROR(Параметры!$D$42*$H1964/$H$2408,0),0)</f>
        <v>0</v>
      </c>
      <c r="K1964" s="87">
        <f>IFERROR(ROUND($N1964*Параметры!$D$36,2),0)</f>
        <v>0</v>
      </c>
      <c r="L1964" s="87">
        <f t="shared" si="215"/>
        <v>0</v>
      </c>
      <c r="M1964" s="87">
        <f t="shared" si="216"/>
        <v>0</v>
      </c>
      <c r="N1964" s="107" t="str">
        <f t="shared" si="217"/>
        <v/>
      </c>
    </row>
    <row r="1965" spans="2:14" x14ac:dyDescent="0.25">
      <c r="B1965" s="82">
        <f>SUBTOTAL(103,$D$8:D1965)</f>
        <v>1958</v>
      </c>
      <c r="C1965" s="83" t="s">
        <v>1963</v>
      </c>
      <c r="D1965" s="84">
        <v>0</v>
      </c>
      <c r="E1965" s="85" t="str">
        <f t="shared" si="212"/>
        <v/>
      </c>
      <c r="F1965" s="106" t="str">
        <f t="shared" si="218"/>
        <v/>
      </c>
      <c r="G1965" s="86"/>
      <c r="H1965" s="107">
        <f t="shared" si="213"/>
        <v>0</v>
      </c>
      <c r="I1965" s="107">
        <f t="shared" si="214"/>
        <v>0</v>
      </c>
      <c r="J1965" s="87">
        <f>IF($D1965&gt;0,IFERROR(Параметры!$D$42*$H1965/$H$2408,0),0)</f>
        <v>0</v>
      </c>
      <c r="K1965" s="87">
        <f>IFERROR(ROUND($N1965*Параметры!$D$36,2),0)</f>
        <v>0</v>
      </c>
      <c r="L1965" s="87">
        <f t="shared" si="215"/>
        <v>0</v>
      </c>
      <c r="M1965" s="87">
        <f t="shared" si="216"/>
        <v>0</v>
      </c>
      <c r="N1965" s="107" t="str">
        <f t="shared" si="217"/>
        <v/>
      </c>
    </row>
    <row r="1966" spans="2:14" x14ac:dyDescent="0.25">
      <c r="B1966" s="82">
        <f>SUBTOTAL(103,$D$8:D1966)</f>
        <v>1959</v>
      </c>
      <c r="C1966" s="83" t="s">
        <v>1964</v>
      </c>
      <c r="D1966" s="84">
        <v>0</v>
      </c>
      <c r="E1966" s="85" t="str">
        <f t="shared" si="212"/>
        <v/>
      </c>
      <c r="F1966" s="106" t="str">
        <f t="shared" si="218"/>
        <v/>
      </c>
      <c r="G1966" s="86"/>
      <c r="H1966" s="107">
        <f t="shared" si="213"/>
        <v>0</v>
      </c>
      <c r="I1966" s="107">
        <f t="shared" si="214"/>
        <v>0</v>
      </c>
      <c r="J1966" s="87">
        <f>IF($D1966&gt;0,IFERROR(Параметры!$D$42*$H1966/$H$2408,0),0)</f>
        <v>0</v>
      </c>
      <c r="K1966" s="87">
        <f>IFERROR(ROUND($N1966*Параметры!$D$36,2),0)</f>
        <v>0</v>
      </c>
      <c r="L1966" s="87">
        <f t="shared" si="215"/>
        <v>0</v>
      </c>
      <c r="M1966" s="87">
        <f t="shared" si="216"/>
        <v>0</v>
      </c>
      <c r="N1966" s="107" t="str">
        <f t="shared" si="217"/>
        <v/>
      </c>
    </row>
    <row r="1967" spans="2:14" x14ac:dyDescent="0.25">
      <c r="B1967" s="82">
        <f>SUBTOTAL(103,$D$8:D1967)</f>
        <v>1960</v>
      </c>
      <c r="C1967" s="83" t="s">
        <v>1965</v>
      </c>
      <c r="D1967" s="84">
        <v>0</v>
      </c>
      <c r="E1967" s="85" t="str">
        <f t="shared" si="212"/>
        <v/>
      </c>
      <c r="F1967" s="106" t="str">
        <f t="shared" si="218"/>
        <v/>
      </c>
      <c r="G1967" s="86"/>
      <c r="H1967" s="107">
        <f t="shared" si="213"/>
        <v>0</v>
      </c>
      <c r="I1967" s="107">
        <f t="shared" si="214"/>
        <v>0</v>
      </c>
      <c r="J1967" s="87">
        <f>IF($D1967&gt;0,IFERROR(Параметры!$D$42*$H1967/$H$2408,0),0)</f>
        <v>0</v>
      </c>
      <c r="K1967" s="87">
        <f>IFERROR(ROUND($N1967*Параметры!$D$36,2),0)</f>
        <v>0</v>
      </c>
      <c r="L1967" s="87">
        <f t="shared" si="215"/>
        <v>0</v>
      </c>
      <c r="M1967" s="87">
        <f t="shared" si="216"/>
        <v>0</v>
      </c>
      <c r="N1967" s="107" t="str">
        <f t="shared" si="217"/>
        <v/>
      </c>
    </row>
    <row r="1968" spans="2:14" x14ac:dyDescent="0.25">
      <c r="B1968" s="82">
        <f>SUBTOTAL(103,$D$8:D1968)</f>
        <v>1961</v>
      </c>
      <c r="C1968" s="83" t="s">
        <v>1966</v>
      </c>
      <c r="D1968" s="84">
        <v>0</v>
      </c>
      <c r="E1968" s="85" t="str">
        <f t="shared" si="212"/>
        <v/>
      </c>
      <c r="F1968" s="106" t="str">
        <f t="shared" si="218"/>
        <v/>
      </c>
      <c r="G1968" s="86"/>
      <c r="H1968" s="107">
        <f t="shared" si="213"/>
        <v>0</v>
      </c>
      <c r="I1968" s="107">
        <f t="shared" si="214"/>
        <v>0</v>
      </c>
      <c r="J1968" s="87">
        <f>IF($D1968&gt;0,IFERROR(Параметры!$D$42*$H1968/$H$2408,0),0)</f>
        <v>0</v>
      </c>
      <c r="K1968" s="87">
        <f>IFERROR(ROUND($N1968*Параметры!$D$36,2),0)</f>
        <v>0</v>
      </c>
      <c r="L1968" s="87">
        <f t="shared" si="215"/>
        <v>0</v>
      </c>
      <c r="M1968" s="87">
        <f t="shared" si="216"/>
        <v>0</v>
      </c>
      <c r="N1968" s="107" t="str">
        <f t="shared" si="217"/>
        <v/>
      </c>
    </row>
    <row r="1969" spans="2:14" x14ac:dyDescent="0.25">
      <c r="B1969" s="82">
        <f>SUBTOTAL(103,$D$8:D1969)</f>
        <v>1962</v>
      </c>
      <c r="C1969" s="83" t="s">
        <v>1967</v>
      </c>
      <c r="D1969" s="84">
        <v>0</v>
      </c>
      <c r="E1969" s="85" t="str">
        <f t="shared" si="212"/>
        <v/>
      </c>
      <c r="F1969" s="106" t="str">
        <f t="shared" si="218"/>
        <v/>
      </c>
      <c r="G1969" s="86"/>
      <c r="H1969" s="107">
        <f t="shared" si="213"/>
        <v>0</v>
      </c>
      <c r="I1969" s="107">
        <f t="shared" si="214"/>
        <v>0</v>
      </c>
      <c r="J1969" s="87">
        <f>IF($D1969&gt;0,IFERROR(Параметры!$D$42*$H1969/$H$2408,0),0)</f>
        <v>0</v>
      </c>
      <c r="K1969" s="87">
        <f>IFERROR(ROUND($N1969*Параметры!$D$36,2),0)</f>
        <v>0</v>
      </c>
      <c r="L1969" s="87">
        <f t="shared" si="215"/>
        <v>0</v>
      </c>
      <c r="M1969" s="87">
        <f t="shared" si="216"/>
        <v>0</v>
      </c>
      <c r="N1969" s="107" t="str">
        <f t="shared" si="217"/>
        <v/>
      </c>
    </row>
    <row r="1970" spans="2:14" x14ac:dyDescent="0.25">
      <c r="B1970" s="82">
        <f>SUBTOTAL(103,$D$8:D1970)</f>
        <v>1963</v>
      </c>
      <c r="C1970" s="83" t="s">
        <v>1968</v>
      </c>
      <c r="D1970" s="84">
        <v>0</v>
      </c>
      <c r="E1970" s="85" t="str">
        <f t="shared" si="212"/>
        <v/>
      </c>
      <c r="F1970" s="106" t="str">
        <f t="shared" si="218"/>
        <v/>
      </c>
      <c r="G1970" s="86"/>
      <c r="H1970" s="107">
        <f t="shared" si="213"/>
        <v>0</v>
      </c>
      <c r="I1970" s="107">
        <f t="shared" si="214"/>
        <v>0</v>
      </c>
      <c r="J1970" s="87">
        <f>IF($D1970&gt;0,IFERROR(Параметры!$D$42*$H1970/$H$2408,0),0)</f>
        <v>0</v>
      </c>
      <c r="K1970" s="87">
        <f>IFERROR(ROUND($N1970*Параметры!$D$36,2),0)</f>
        <v>0</v>
      </c>
      <c r="L1970" s="87">
        <f t="shared" si="215"/>
        <v>0</v>
      </c>
      <c r="M1970" s="87">
        <f t="shared" si="216"/>
        <v>0</v>
      </c>
      <c r="N1970" s="107" t="str">
        <f t="shared" si="217"/>
        <v/>
      </c>
    </row>
    <row r="1971" spans="2:14" x14ac:dyDescent="0.25">
      <c r="B1971" s="82">
        <f>SUBTOTAL(103,$D$8:D1971)</f>
        <v>1964</v>
      </c>
      <c r="C1971" s="83" t="s">
        <v>1969</v>
      </c>
      <c r="D1971" s="84">
        <v>0</v>
      </c>
      <c r="E1971" s="85" t="str">
        <f t="shared" si="212"/>
        <v/>
      </c>
      <c r="F1971" s="106" t="str">
        <f t="shared" si="218"/>
        <v/>
      </c>
      <c r="G1971" s="86"/>
      <c r="H1971" s="107">
        <f t="shared" si="213"/>
        <v>0</v>
      </c>
      <c r="I1971" s="107">
        <f t="shared" si="214"/>
        <v>0</v>
      </c>
      <c r="J1971" s="87">
        <f>IF($D1971&gt;0,IFERROR(Параметры!$D$42*$H1971/$H$2408,0),0)</f>
        <v>0</v>
      </c>
      <c r="K1971" s="87">
        <f>IFERROR(ROUND($N1971*Параметры!$D$36,2),0)</f>
        <v>0</v>
      </c>
      <c r="L1971" s="87">
        <f t="shared" si="215"/>
        <v>0</v>
      </c>
      <c r="M1971" s="87">
        <f t="shared" si="216"/>
        <v>0</v>
      </c>
      <c r="N1971" s="107" t="str">
        <f t="shared" si="217"/>
        <v/>
      </c>
    </row>
    <row r="1972" spans="2:14" x14ac:dyDescent="0.25">
      <c r="B1972" s="82">
        <f>SUBTOTAL(103,$D$8:D1972)</f>
        <v>1965</v>
      </c>
      <c r="C1972" s="83" t="s">
        <v>1970</v>
      </c>
      <c r="D1972" s="84">
        <v>0</v>
      </c>
      <c r="E1972" s="85" t="str">
        <f t="shared" si="212"/>
        <v/>
      </c>
      <c r="F1972" s="106" t="str">
        <f t="shared" si="218"/>
        <v/>
      </c>
      <c r="G1972" s="86"/>
      <c r="H1972" s="107">
        <f t="shared" si="213"/>
        <v>0</v>
      </c>
      <c r="I1972" s="107">
        <f t="shared" si="214"/>
        <v>0</v>
      </c>
      <c r="J1972" s="87">
        <f>IF($D1972&gt;0,IFERROR(Параметры!$D$42*$H1972/$H$2408,0),0)</f>
        <v>0</v>
      </c>
      <c r="K1972" s="87">
        <f>IFERROR(ROUND($N1972*Параметры!$D$36,2),0)</f>
        <v>0</v>
      </c>
      <c r="L1972" s="87">
        <f t="shared" si="215"/>
        <v>0</v>
      </c>
      <c r="M1972" s="87">
        <f t="shared" si="216"/>
        <v>0</v>
      </c>
      <c r="N1972" s="107" t="str">
        <f t="shared" si="217"/>
        <v/>
      </c>
    </row>
    <row r="1973" spans="2:14" x14ac:dyDescent="0.25">
      <c r="B1973" s="82">
        <f>SUBTOTAL(103,$D$8:D1973)</f>
        <v>1966</v>
      </c>
      <c r="C1973" s="83" t="s">
        <v>1971</v>
      </c>
      <c r="D1973" s="84">
        <v>0</v>
      </c>
      <c r="E1973" s="85" t="str">
        <f t="shared" si="212"/>
        <v/>
      </c>
      <c r="F1973" s="106" t="str">
        <f t="shared" si="218"/>
        <v/>
      </c>
      <c r="G1973" s="86"/>
      <c r="H1973" s="107">
        <f t="shared" si="213"/>
        <v>0</v>
      </c>
      <c r="I1973" s="107">
        <f t="shared" si="214"/>
        <v>0</v>
      </c>
      <c r="J1973" s="87">
        <f>IF($D1973&gt;0,IFERROR(Параметры!$D$42*$H1973/$H$2408,0),0)</f>
        <v>0</v>
      </c>
      <c r="K1973" s="87">
        <f>IFERROR(ROUND($N1973*Параметры!$D$36,2),0)</f>
        <v>0</v>
      </c>
      <c r="L1973" s="87">
        <f t="shared" si="215"/>
        <v>0</v>
      </c>
      <c r="M1973" s="87">
        <f t="shared" si="216"/>
        <v>0</v>
      </c>
      <c r="N1973" s="107" t="str">
        <f t="shared" si="217"/>
        <v/>
      </c>
    </row>
    <row r="1974" spans="2:14" x14ac:dyDescent="0.25">
      <c r="B1974" s="82">
        <f>SUBTOTAL(103,$D$8:D1974)</f>
        <v>1967</v>
      </c>
      <c r="C1974" s="83" t="s">
        <v>1972</v>
      </c>
      <c r="D1974" s="84">
        <v>0</v>
      </c>
      <c r="E1974" s="85" t="str">
        <f t="shared" si="212"/>
        <v/>
      </c>
      <c r="F1974" s="106" t="str">
        <f t="shared" si="218"/>
        <v/>
      </c>
      <c r="G1974" s="86"/>
      <c r="H1974" s="107">
        <f t="shared" si="213"/>
        <v>0</v>
      </c>
      <c r="I1974" s="107">
        <f t="shared" si="214"/>
        <v>0</v>
      </c>
      <c r="J1974" s="87">
        <f>IF($D1974&gt;0,IFERROR(Параметры!$D$42*$H1974/$H$2408,0),0)</f>
        <v>0</v>
      </c>
      <c r="K1974" s="87">
        <f>IFERROR(ROUND($N1974*Параметры!$D$36,2),0)</f>
        <v>0</v>
      </c>
      <c r="L1974" s="87">
        <f t="shared" si="215"/>
        <v>0</v>
      </c>
      <c r="M1974" s="87">
        <f t="shared" si="216"/>
        <v>0</v>
      </c>
      <c r="N1974" s="107" t="str">
        <f t="shared" si="217"/>
        <v/>
      </c>
    </row>
    <row r="1975" spans="2:14" x14ac:dyDescent="0.25">
      <c r="B1975" s="82">
        <f>SUBTOTAL(103,$D$8:D1975)</f>
        <v>1968</v>
      </c>
      <c r="C1975" s="83" t="s">
        <v>1973</v>
      </c>
      <c r="D1975" s="84">
        <v>0</v>
      </c>
      <c r="E1975" s="85" t="str">
        <f t="shared" si="212"/>
        <v/>
      </c>
      <c r="F1975" s="106" t="str">
        <f t="shared" si="218"/>
        <v/>
      </c>
      <c r="G1975" s="86"/>
      <c r="H1975" s="107">
        <f t="shared" si="213"/>
        <v>0</v>
      </c>
      <c r="I1975" s="107">
        <f t="shared" si="214"/>
        <v>0</v>
      </c>
      <c r="J1975" s="87">
        <f>IF($D1975&gt;0,IFERROR(Параметры!$D$42*$H1975/$H$2408,0),0)</f>
        <v>0</v>
      </c>
      <c r="K1975" s="87">
        <f>IFERROR(ROUND($N1975*Параметры!$D$36,2),0)</f>
        <v>0</v>
      </c>
      <c r="L1975" s="87">
        <f t="shared" si="215"/>
        <v>0</v>
      </c>
      <c r="M1975" s="87">
        <f t="shared" si="216"/>
        <v>0</v>
      </c>
      <c r="N1975" s="107" t="str">
        <f t="shared" si="217"/>
        <v/>
      </c>
    </row>
    <row r="1976" spans="2:14" x14ac:dyDescent="0.25">
      <c r="B1976" s="82">
        <f>SUBTOTAL(103,$D$8:D1976)</f>
        <v>1969</v>
      </c>
      <c r="C1976" s="83" t="s">
        <v>1974</v>
      </c>
      <c r="D1976" s="84">
        <v>0</v>
      </c>
      <c r="E1976" s="85" t="str">
        <f t="shared" si="212"/>
        <v/>
      </c>
      <c r="F1976" s="106" t="str">
        <f t="shared" si="218"/>
        <v/>
      </c>
      <c r="G1976" s="86"/>
      <c r="H1976" s="107">
        <f t="shared" si="213"/>
        <v>0</v>
      </c>
      <c r="I1976" s="107">
        <f t="shared" si="214"/>
        <v>0</v>
      </c>
      <c r="J1976" s="87">
        <f>IF($D1976&gt;0,IFERROR(Параметры!$D$42*$H1976/$H$2408,0),0)</f>
        <v>0</v>
      </c>
      <c r="K1976" s="87">
        <f>IFERROR(ROUND($N1976*Параметры!$D$36,2),0)</f>
        <v>0</v>
      </c>
      <c r="L1976" s="87">
        <f t="shared" si="215"/>
        <v>0</v>
      </c>
      <c r="M1976" s="87">
        <f t="shared" si="216"/>
        <v>0</v>
      </c>
      <c r="N1976" s="107" t="str">
        <f t="shared" si="217"/>
        <v/>
      </c>
    </row>
    <row r="1977" spans="2:14" x14ac:dyDescent="0.25">
      <c r="B1977" s="82">
        <f>SUBTOTAL(103,$D$8:D1977)</f>
        <v>1970</v>
      </c>
      <c r="C1977" s="83" t="s">
        <v>1975</v>
      </c>
      <c r="D1977" s="84">
        <v>0</v>
      </c>
      <c r="E1977" s="85" t="str">
        <f t="shared" si="212"/>
        <v/>
      </c>
      <c r="F1977" s="106" t="str">
        <f t="shared" si="218"/>
        <v/>
      </c>
      <c r="G1977" s="86"/>
      <c r="H1977" s="107">
        <f t="shared" si="213"/>
        <v>0</v>
      </c>
      <c r="I1977" s="107">
        <f t="shared" si="214"/>
        <v>0</v>
      </c>
      <c r="J1977" s="87">
        <f>IF($D1977&gt;0,IFERROR(Параметры!$D$42*$H1977/$H$2408,0),0)</f>
        <v>0</v>
      </c>
      <c r="K1977" s="87">
        <f>IFERROR(ROUND($N1977*Параметры!$D$36,2),0)</f>
        <v>0</v>
      </c>
      <c r="L1977" s="87">
        <f t="shared" si="215"/>
        <v>0</v>
      </c>
      <c r="M1977" s="87">
        <f t="shared" si="216"/>
        <v>0</v>
      </c>
      <c r="N1977" s="107" t="str">
        <f t="shared" si="217"/>
        <v/>
      </c>
    </row>
    <row r="1978" spans="2:14" x14ac:dyDescent="0.25">
      <c r="B1978" s="82">
        <f>SUBTOTAL(103,$D$8:D1978)</f>
        <v>1971</v>
      </c>
      <c r="C1978" s="83" t="s">
        <v>1976</v>
      </c>
      <c r="D1978" s="84">
        <v>0</v>
      </c>
      <c r="E1978" s="85" t="str">
        <f t="shared" si="212"/>
        <v/>
      </c>
      <c r="F1978" s="106" t="str">
        <f t="shared" si="218"/>
        <v/>
      </c>
      <c r="G1978" s="86"/>
      <c r="H1978" s="107">
        <f t="shared" si="213"/>
        <v>0</v>
      </c>
      <c r="I1978" s="107">
        <f t="shared" si="214"/>
        <v>0</v>
      </c>
      <c r="J1978" s="87">
        <f>IF($D1978&gt;0,IFERROR(Параметры!$D$42*$H1978/$H$2408,0),0)</f>
        <v>0</v>
      </c>
      <c r="K1978" s="87">
        <f>IFERROR(ROUND($N1978*Параметры!$D$36,2),0)</f>
        <v>0</v>
      </c>
      <c r="L1978" s="87">
        <f t="shared" si="215"/>
        <v>0</v>
      </c>
      <c r="M1978" s="87">
        <f t="shared" si="216"/>
        <v>0</v>
      </c>
      <c r="N1978" s="107" t="str">
        <f t="shared" si="217"/>
        <v/>
      </c>
    </row>
    <row r="1979" spans="2:14" x14ac:dyDescent="0.25">
      <c r="B1979" s="82">
        <f>SUBTOTAL(103,$D$8:D1979)</f>
        <v>1972</v>
      </c>
      <c r="C1979" s="83" t="s">
        <v>1977</v>
      </c>
      <c r="D1979" s="84">
        <v>0</v>
      </c>
      <c r="E1979" s="85" t="str">
        <f t="shared" si="212"/>
        <v/>
      </c>
      <c r="F1979" s="106" t="str">
        <f t="shared" si="218"/>
        <v/>
      </c>
      <c r="G1979" s="86"/>
      <c r="H1979" s="107">
        <f t="shared" si="213"/>
        <v>0</v>
      </c>
      <c r="I1979" s="107">
        <f t="shared" si="214"/>
        <v>0</v>
      </c>
      <c r="J1979" s="87">
        <f>IF($D1979&gt;0,IFERROR(Параметры!$D$42*$H1979/$H$2408,0),0)</f>
        <v>0</v>
      </c>
      <c r="K1979" s="87">
        <f>IFERROR(ROUND($N1979*Параметры!$D$36,2),0)</f>
        <v>0</v>
      </c>
      <c r="L1979" s="87">
        <f t="shared" si="215"/>
        <v>0</v>
      </c>
      <c r="M1979" s="87">
        <f t="shared" si="216"/>
        <v>0</v>
      </c>
      <c r="N1979" s="107" t="str">
        <f t="shared" si="217"/>
        <v/>
      </c>
    </row>
    <row r="1980" spans="2:14" x14ac:dyDescent="0.25">
      <c r="B1980" s="82">
        <f>SUBTOTAL(103,$D$8:D1980)</f>
        <v>1973</v>
      </c>
      <c r="C1980" s="83" t="s">
        <v>1978</v>
      </c>
      <c r="D1980" s="84">
        <v>0</v>
      </c>
      <c r="E1980" s="85" t="str">
        <f t="shared" si="212"/>
        <v/>
      </c>
      <c r="F1980" s="106" t="str">
        <f t="shared" si="218"/>
        <v/>
      </c>
      <c r="G1980" s="86"/>
      <c r="H1980" s="107">
        <f t="shared" si="213"/>
        <v>0</v>
      </c>
      <c r="I1980" s="107">
        <f t="shared" si="214"/>
        <v>0</v>
      </c>
      <c r="J1980" s="87">
        <f>IF($D1980&gt;0,IFERROR(Параметры!$D$42*$H1980/$H$2408,0),0)</f>
        <v>0</v>
      </c>
      <c r="K1980" s="87">
        <f>IFERROR(ROUND($N1980*Параметры!$D$36,2),0)</f>
        <v>0</v>
      </c>
      <c r="L1980" s="87">
        <f t="shared" si="215"/>
        <v>0</v>
      </c>
      <c r="M1980" s="87">
        <f t="shared" si="216"/>
        <v>0</v>
      </c>
      <c r="N1980" s="107" t="str">
        <f t="shared" si="217"/>
        <v/>
      </c>
    </row>
    <row r="1981" spans="2:14" x14ac:dyDescent="0.25">
      <c r="B1981" s="82">
        <f>SUBTOTAL(103,$D$8:D1981)</f>
        <v>1974</v>
      </c>
      <c r="C1981" s="83" t="s">
        <v>1979</v>
      </c>
      <c r="D1981" s="84">
        <v>0</v>
      </c>
      <c r="E1981" s="85" t="str">
        <f t="shared" si="212"/>
        <v/>
      </c>
      <c r="F1981" s="106" t="str">
        <f t="shared" si="218"/>
        <v/>
      </c>
      <c r="G1981" s="86"/>
      <c r="H1981" s="107">
        <f t="shared" si="213"/>
        <v>0</v>
      </c>
      <c r="I1981" s="107">
        <f t="shared" si="214"/>
        <v>0</v>
      </c>
      <c r="J1981" s="87">
        <f>IF($D1981&gt;0,IFERROR(Параметры!$D$42*$H1981/$H$2408,0),0)</f>
        <v>0</v>
      </c>
      <c r="K1981" s="87">
        <f>IFERROR(ROUND($N1981*Параметры!$D$36,2),0)</f>
        <v>0</v>
      </c>
      <c r="L1981" s="87">
        <f t="shared" si="215"/>
        <v>0</v>
      </c>
      <c r="M1981" s="87">
        <f t="shared" si="216"/>
        <v>0</v>
      </c>
      <c r="N1981" s="107" t="str">
        <f t="shared" si="217"/>
        <v/>
      </c>
    </row>
    <row r="1982" spans="2:14" x14ac:dyDescent="0.25">
      <c r="B1982" s="82">
        <f>SUBTOTAL(103,$D$8:D1982)</f>
        <v>1975</v>
      </c>
      <c r="C1982" s="83" t="s">
        <v>1980</v>
      </c>
      <c r="D1982" s="84">
        <v>0</v>
      </c>
      <c r="E1982" s="85" t="str">
        <f t="shared" si="212"/>
        <v/>
      </c>
      <c r="F1982" s="106" t="str">
        <f t="shared" si="218"/>
        <v/>
      </c>
      <c r="G1982" s="86"/>
      <c r="H1982" s="107">
        <f t="shared" si="213"/>
        <v>0</v>
      </c>
      <c r="I1982" s="107">
        <f t="shared" si="214"/>
        <v>0</v>
      </c>
      <c r="J1982" s="87">
        <f>IF($D1982&gt;0,IFERROR(Параметры!$D$42*$H1982/$H$2408,0),0)</f>
        <v>0</v>
      </c>
      <c r="K1982" s="87">
        <f>IFERROR(ROUND($N1982*Параметры!$D$36,2),0)</f>
        <v>0</v>
      </c>
      <c r="L1982" s="87">
        <f t="shared" si="215"/>
        <v>0</v>
      </c>
      <c r="M1982" s="87">
        <f t="shared" si="216"/>
        <v>0</v>
      </c>
      <c r="N1982" s="107" t="str">
        <f t="shared" si="217"/>
        <v/>
      </c>
    </row>
    <row r="1983" spans="2:14" x14ac:dyDescent="0.25">
      <c r="B1983" s="82">
        <f>SUBTOTAL(103,$D$8:D1983)</f>
        <v>1976</v>
      </c>
      <c r="C1983" s="83" t="s">
        <v>1981</v>
      </c>
      <c r="D1983" s="84">
        <v>0</v>
      </c>
      <c r="E1983" s="85" t="str">
        <f t="shared" si="212"/>
        <v/>
      </c>
      <c r="F1983" s="106" t="str">
        <f t="shared" si="218"/>
        <v/>
      </c>
      <c r="G1983" s="86"/>
      <c r="H1983" s="107">
        <f t="shared" si="213"/>
        <v>0</v>
      </c>
      <c r="I1983" s="107">
        <f t="shared" si="214"/>
        <v>0</v>
      </c>
      <c r="J1983" s="87">
        <f>IF($D1983&gt;0,IFERROR(Параметры!$D$42*$H1983/$H$2408,0),0)</f>
        <v>0</v>
      </c>
      <c r="K1983" s="87">
        <f>IFERROR(ROUND($N1983*Параметры!$D$36,2),0)</f>
        <v>0</v>
      </c>
      <c r="L1983" s="87">
        <f t="shared" si="215"/>
        <v>0</v>
      </c>
      <c r="M1983" s="87">
        <f t="shared" si="216"/>
        <v>0</v>
      </c>
      <c r="N1983" s="107" t="str">
        <f t="shared" si="217"/>
        <v/>
      </c>
    </row>
    <row r="1984" spans="2:14" x14ac:dyDescent="0.25">
      <c r="B1984" s="82">
        <f>SUBTOTAL(103,$D$8:D1984)</f>
        <v>1977</v>
      </c>
      <c r="C1984" s="83" t="s">
        <v>1982</v>
      </c>
      <c r="D1984" s="84">
        <v>0</v>
      </c>
      <c r="E1984" s="85" t="str">
        <f t="shared" si="212"/>
        <v/>
      </c>
      <c r="F1984" s="106" t="str">
        <f t="shared" si="218"/>
        <v/>
      </c>
      <c r="G1984" s="86"/>
      <c r="H1984" s="107">
        <f t="shared" si="213"/>
        <v>0</v>
      </c>
      <c r="I1984" s="107">
        <f t="shared" si="214"/>
        <v>0</v>
      </c>
      <c r="J1984" s="87">
        <f>IF($D1984&gt;0,IFERROR(Параметры!$D$42*$H1984/$H$2408,0),0)</f>
        <v>0</v>
      </c>
      <c r="K1984" s="87">
        <f>IFERROR(ROUND($N1984*Параметры!$D$36,2),0)</f>
        <v>0</v>
      </c>
      <c r="L1984" s="87">
        <f t="shared" si="215"/>
        <v>0</v>
      </c>
      <c r="M1984" s="87">
        <f t="shared" si="216"/>
        <v>0</v>
      </c>
      <c r="N1984" s="107" t="str">
        <f t="shared" si="217"/>
        <v/>
      </c>
    </row>
    <row r="1985" spans="2:14" x14ac:dyDescent="0.25">
      <c r="B1985" s="82">
        <f>SUBTOTAL(103,$D$8:D1985)</f>
        <v>1978</v>
      </c>
      <c r="C1985" s="83" t="s">
        <v>1983</v>
      </c>
      <c r="D1985" s="84">
        <v>0</v>
      </c>
      <c r="E1985" s="85" t="str">
        <f t="shared" si="212"/>
        <v/>
      </c>
      <c r="F1985" s="106" t="str">
        <f t="shared" si="218"/>
        <v/>
      </c>
      <c r="G1985" s="86"/>
      <c r="H1985" s="107">
        <f t="shared" si="213"/>
        <v>0</v>
      </c>
      <c r="I1985" s="107">
        <f t="shared" si="214"/>
        <v>0</v>
      </c>
      <c r="J1985" s="87">
        <f>IF($D1985&gt;0,IFERROR(Параметры!$D$42*$H1985/$H$2408,0),0)</f>
        <v>0</v>
      </c>
      <c r="K1985" s="87">
        <f>IFERROR(ROUND($N1985*Параметры!$D$36,2),0)</f>
        <v>0</v>
      </c>
      <c r="L1985" s="87">
        <f t="shared" si="215"/>
        <v>0</v>
      </c>
      <c r="M1985" s="87">
        <f t="shared" si="216"/>
        <v>0</v>
      </c>
      <c r="N1985" s="107" t="str">
        <f t="shared" si="217"/>
        <v/>
      </c>
    </row>
    <row r="1986" spans="2:14" x14ac:dyDescent="0.25">
      <c r="B1986" s="82">
        <f>SUBTOTAL(103,$D$8:D1986)</f>
        <v>1979</v>
      </c>
      <c r="C1986" s="83" t="s">
        <v>1984</v>
      </c>
      <c r="D1986" s="84">
        <v>0</v>
      </c>
      <c r="E1986" s="85" t="str">
        <f t="shared" si="212"/>
        <v/>
      </c>
      <c r="F1986" s="106" t="str">
        <f t="shared" si="218"/>
        <v/>
      </c>
      <c r="G1986" s="86"/>
      <c r="H1986" s="107">
        <f t="shared" si="213"/>
        <v>0</v>
      </c>
      <c r="I1986" s="107">
        <f t="shared" si="214"/>
        <v>0</v>
      </c>
      <c r="J1986" s="87">
        <f>IF($D1986&gt;0,IFERROR(Параметры!$D$42*$H1986/$H$2408,0),0)</f>
        <v>0</v>
      </c>
      <c r="K1986" s="87">
        <f>IFERROR(ROUND($N1986*Параметры!$D$36,2),0)</f>
        <v>0</v>
      </c>
      <c r="L1986" s="87">
        <f t="shared" si="215"/>
        <v>0</v>
      </c>
      <c r="M1986" s="87">
        <f t="shared" si="216"/>
        <v>0</v>
      </c>
      <c r="N1986" s="107" t="str">
        <f t="shared" si="217"/>
        <v/>
      </c>
    </row>
    <row r="1987" spans="2:14" x14ac:dyDescent="0.25">
      <c r="B1987" s="82">
        <f>SUBTOTAL(103,$D$8:D1987)</f>
        <v>1980</v>
      </c>
      <c r="C1987" s="83" t="s">
        <v>1985</v>
      </c>
      <c r="D1987" s="84">
        <v>0</v>
      </c>
      <c r="E1987" s="85" t="str">
        <f t="shared" si="212"/>
        <v/>
      </c>
      <c r="F1987" s="106" t="str">
        <f t="shared" si="218"/>
        <v/>
      </c>
      <c r="G1987" s="86"/>
      <c r="H1987" s="107">
        <f t="shared" si="213"/>
        <v>0</v>
      </c>
      <c r="I1987" s="107">
        <f t="shared" si="214"/>
        <v>0</v>
      </c>
      <c r="J1987" s="87">
        <f>IF($D1987&gt;0,IFERROR(Параметры!$D$42*$H1987/$H$2408,0),0)</f>
        <v>0</v>
      </c>
      <c r="K1987" s="87">
        <f>IFERROR(ROUND($N1987*Параметры!$D$36,2),0)</f>
        <v>0</v>
      </c>
      <c r="L1987" s="87">
        <f t="shared" si="215"/>
        <v>0</v>
      </c>
      <c r="M1987" s="87">
        <f t="shared" si="216"/>
        <v>0</v>
      </c>
      <c r="N1987" s="107" t="str">
        <f t="shared" si="217"/>
        <v/>
      </c>
    </row>
    <row r="1988" spans="2:14" x14ac:dyDescent="0.25">
      <c r="B1988" s="82">
        <f>SUBTOTAL(103,$D$8:D1988)</f>
        <v>1981</v>
      </c>
      <c r="C1988" s="83" t="s">
        <v>1986</v>
      </c>
      <c r="D1988" s="84">
        <f t="array" ref="D1988:D2047">TRANSPOSE('Зарядная карта'!$C$38:$BJ$38)</f>
        <v>0</v>
      </c>
      <c r="E1988" s="85" t="str">
        <f t="shared" si="212"/>
        <v/>
      </c>
      <c r="F1988" s="106" t="str">
        <f t="shared" si="218"/>
        <v/>
      </c>
      <c r="G1988" s="86"/>
      <c r="H1988" s="107">
        <f t="shared" si="213"/>
        <v>0</v>
      </c>
      <c r="I1988" s="107">
        <f t="shared" si="214"/>
        <v>0</v>
      </c>
      <c r="J1988" s="87">
        <f>IF($D1988&gt;0,IFERROR(Параметры!$D$42*$H1988/$H$2408,0),0)</f>
        <v>0</v>
      </c>
      <c r="K1988" s="87">
        <f>IFERROR(ROUND($N1988*Параметры!$D$36,2),0)</f>
        <v>0</v>
      </c>
      <c r="L1988" s="87">
        <f t="shared" si="215"/>
        <v>0</v>
      </c>
      <c r="M1988" s="87">
        <f t="shared" si="216"/>
        <v>0</v>
      </c>
      <c r="N1988" s="107" t="str">
        <f t="shared" si="217"/>
        <v/>
      </c>
    </row>
    <row r="1989" spans="2:14" x14ac:dyDescent="0.25">
      <c r="B1989" s="82">
        <f>SUBTOTAL(103,$D$8:D1989)</f>
        <v>1982</v>
      </c>
      <c r="C1989" s="83" t="s">
        <v>1987</v>
      </c>
      <c r="D1989" s="84">
        <v>0</v>
      </c>
      <c r="E1989" s="85" t="str">
        <f t="shared" si="212"/>
        <v/>
      </c>
      <c r="F1989" s="106" t="str">
        <f t="shared" si="218"/>
        <v/>
      </c>
      <c r="G1989" s="86"/>
      <c r="H1989" s="107">
        <f t="shared" si="213"/>
        <v>0</v>
      </c>
      <c r="I1989" s="107">
        <f t="shared" si="214"/>
        <v>0</v>
      </c>
      <c r="J1989" s="87">
        <f>IF($D1989&gt;0,IFERROR(Параметры!$D$42*$H1989/$H$2408,0),0)</f>
        <v>0</v>
      </c>
      <c r="K1989" s="87">
        <f>IFERROR(ROUND($N1989*Параметры!$D$36,2),0)</f>
        <v>0</v>
      </c>
      <c r="L1989" s="87">
        <f t="shared" si="215"/>
        <v>0</v>
      </c>
      <c r="M1989" s="87">
        <f t="shared" si="216"/>
        <v>0</v>
      </c>
      <c r="N1989" s="107" t="str">
        <f t="shared" si="217"/>
        <v/>
      </c>
    </row>
    <row r="1990" spans="2:14" x14ac:dyDescent="0.25">
      <c r="B1990" s="82">
        <f>SUBTOTAL(103,$D$8:D1990)</f>
        <v>1983</v>
      </c>
      <c r="C1990" s="83" t="s">
        <v>1988</v>
      </c>
      <c r="D1990" s="84">
        <v>0</v>
      </c>
      <c r="E1990" s="85" t="str">
        <f t="shared" si="212"/>
        <v/>
      </c>
      <c r="F1990" s="106" t="str">
        <f t="shared" si="218"/>
        <v/>
      </c>
      <c r="G1990" s="86"/>
      <c r="H1990" s="107">
        <f t="shared" si="213"/>
        <v>0</v>
      </c>
      <c r="I1990" s="107">
        <f t="shared" si="214"/>
        <v>0</v>
      </c>
      <c r="J1990" s="87">
        <f>IF($D1990&gt;0,IFERROR(Параметры!$D$42*$H1990/$H$2408,0),0)</f>
        <v>0</v>
      </c>
      <c r="K1990" s="87">
        <f>IFERROR(ROUND($N1990*Параметры!$D$36,2),0)</f>
        <v>0</v>
      </c>
      <c r="L1990" s="87">
        <f t="shared" si="215"/>
        <v>0</v>
      </c>
      <c r="M1990" s="87">
        <f t="shared" si="216"/>
        <v>0</v>
      </c>
      <c r="N1990" s="107" t="str">
        <f t="shared" si="217"/>
        <v/>
      </c>
    </row>
    <row r="1991" spans="2:14" x14ac:dyDescent="0.25">
      <c r="B1991" s="82">
        <f>SUBTOTAL(103,$D$8:D1991)</f>
        <v>1984</v>
      </c>
      <c r="C1991" s="83" t="s">
        <v>1989</v>
      </c>
      <c r="D1991" s="84">
        <v>0</v>
      </c>
      <c r="E1991" s="85" t="str">
        <f t="shared" si="212"/>
        <v/>
      </c>
      <c r="F1991" s="106" t="str">
        <f t="shared" si="218"/>
        <v/>
      </c>
      <c r="G1991" s="86"/>
      <c r="H1991" s="107">
        <f t="shared" si="213"/>
        <v>0</v>
      </c>
      <c r="I1991" s="107">
        <f t="shared" si="214"/>
        <v>0</v>
      </c>
      <c r="J1991" s="87">
        <f>IF($D1991&gt;0,IFERROR(Параметры!$D$42*$H1991/$H$2408,0),0)</f>
        <v>0</v>
      </c>
      <c r="K1991" s="87">
        <f>IFERROR(ROUND($N1991*Параметры!$D$36,2),0)</f>
        <v>0</v>
      </c>
      <c r="L1991" s="87">
        <f t="shared" si="215"/>
        <v>0</v>
      </c>
      <c r="M1991" s="87">
        <f t="shared" si="216"/>
        <v>0</v>
      </c>
      <c r="N1991" s="107" t="str">
        <f t="shared" si="217"/>
        <v/>
      </c>
    </row>
    <row r="1992" spans="2:14" x14ac:dyDescent="0.25">
      <c r="B1992" s="82">
        <f>SUBTOTAL(103,$D$8:D1992)</f>
        <v>1985</v>
      </c>
      <c r="C1992" s="83" t="s">
        <v>1990</v>
      </c>
      <c r="D1992" s="84">
        <v>0</v>
      </c>
      <c r="E1992" s="85" t="str">
        <f t="shared" ref="E1992:E2055" si="219">IF($D1992&lt;1,"",$K1992+$L1992)</f>
        <v/>
      </c>
      <c r="F1992" s="106" t="str">
        <f t="shared" si="218"/>
        <v/>
      </c>
      <c r="G1992" s="86"/>
      <c r="H1992" s="107">
        <f t="shared" ref="H1992:H2055" si="220">IF($D1992&gt;0,$D1992*КИС,0)</f>
        <v>0</v>
      </c>
      <c r="I1992" s="107">
        <f t="shared" ref="I1992:I2055" si="221">IF($D1992&gt;0,$D1992-$H1992,0)</f>
        <v>0</v>
      </c>
      <c r="J1992" s="87">
        <f>IF($D1992&gt;0,IFERROR(Параметры!$D$42*$H1992/$H$2408,0),0)</f>
        <v>0</v>
      </c>
      <c r="K1992" s="87">
        <f>IFERROR(ROUND($N1992*Параметры!$D$36,2),0)</f>
        <v>0</v>
      </c>
      <c r="L1992" s="87">
        <f t="shared" ref="L1992:L2055" si="222">IF($K1992&gt;0,$K1992*0.055,0)</f>
        <v>0</v>
      </c>
      <c r="M1992" s="87">
        <f t="shared" ref="M1992:M2055" si="223">IFERROR($L1992/Плотность_ДТ,0)</f>
        <v>0</v>
      </c>
      <c r="N1992" s="107" t="str">
        <f t="shared" ref="N1992:N2055" si="224">IF($D1992&gt;0,MAX(0,$D1992-IF($F1992="",0,$F1992)),"")</f>
        <v/>
      </c>
    </row>
    <row r="1993" spans="2:14" x14ac:dyDescent="0.25">
      <c r="B1993" s="82">
        <f>SUBTOTAL(103,$D$8:D1993)</f>
        <v>1986</v>
      </c>
      <c r="C1993" s="83" t="s">
        <v>1991</v>
      </c>
      <c r="D1993" s="84">
        <v>0</v>
      </c>
      <c r="E1993" s="85" t="str">
        <f t="shared" si="219"/>
        <v/>
      </c>
      <c r="F1993" s="106" t="str">
        <f t="shared" si="218"/>
        <v/>
      </c>
      <c r="G1993" s="86"/>
      <c r="H1993" s="107">
        <f t="shared" si="220"/>
        <v>0</v>
      </c>
      <c r="I1993" s="107">
        <f t="shared" si="221"/>
        <v>0</v>
      </c>
      <c r="J1993" s="87">
        <f>IF($D1993&gt;0,IFERROR(Параметры!$D$42*$H1993/$H$2408,0),0)</f>
        <v>0</v>
      </c>
      <c r="K1993" s="87">
        <f>IFERROR(ROUND($N1993*Параметры!$D$36,2),0)</f>
        <v>0</v>
      </c>
      <c r="L1993" s="87">
        <f t="shared" si="222"/>
        <v>0</v>
      </c>
      <c r="M1993" s="87">
        <f t="shared" si="223"/>
        <v>0</v>
      </c>
      <c r="N1993" s="107" t="str">
        <f t="shared" si="224"/>
        <v/>
      </c>
    </row>
    <row r="1994" spans="2:14" x14ac:dyDescent="0.25">
      <c r="B1994" s="82">
        <f>SUBTOTAL(103,$D$8:D1994)</f>
        <v>1987</v>
      </c>
      <c r="C1994" s="83" t="s">
        <v>1992</v>
      </c>
      <c r="D1994" s="84">
        <v>0</v>
      </c>
      <c r="E1994" s="85" t="str">
        <f t="shared" si="219"/>
        <v/>
      </c>
      <c r="F1994" s="106" t="str">
        <f t="shared" si="218"/>
        <v/>
      </c>
      <c r="G1994" s="86"/>
      <c r="H1994" s="107">
        <f t="shared" si="220"/>
        <v>0</v>
      </c>
      <c r="I1994" s="107">
        <f t="shared" si="221"/>
        <v>0</v>
      </c>
      <c r="J1994" s="87">
        <f>IF($D1994&gt;0,IFERROR(Параметры!$D$42*$H1994/$H$2408,0),0)</f>
        <v>0</v>
      </c>
      <c r="K1994" s="87">
        <f>IFERROR(ROUND($N1994*Параметры!$D$36,2),0)</f>
        <v>0</v>
      </c>
      <c r="L1994" s="87">
        <f t="shared" si="222"/>
        <v>0</v>
      </c>
      <c r="M1994" s="87">
        <f t="shared" si="223"/>
        <v>0</v>
      </c>
      <c r="N1994" s="107" t="str">
        <f t="shared" si="224"/>
        <v/>
      </c>
    </row>
    <row r="1995" spans="2:14" x14ac:dyDescent="0.25">
      <c r="B1995" s="82">
        <f>SUBTOTAL(103,$D$8:D1995)</f>
        <v>1988</v>
      </c>
      <c r="C1995" s="83" t="s">
        <v>1993</v>
      </c>
      <c r="D1995" s="84">
        <v>0</v>
      </c>
      <c r="E1995" s="85" t="str">
        <f t="shared" si="219"/>
        <v/>
      </c>
      <c r="F1995" s="106" t="str">
        <f t="shared" ref="F1995:F2058" si="225">IF(D1995&gt;0,2,"")</f>
        <v/>
      </c>
      <c r="G1995" s="86"/>
      <c r="H1995" s="107">
        <f t="shared" si="220"/>
        <v>0</v>
      </c>
      <c r="I1995" s="107">
        <f t="shared" si="221"/>
        <v>0</v>
      </c>
      <c r="J1995" s="87">
        <f>IF($D1995&gt;0,IFERROR(Параметры!$D$42*$H1995/$H$2408,0),0)</f>
        <v>0</v>
      </c>
      <c r="K1995" s="87">
        <f>IFERROR(ROUND($N1995*Параметры!$D$36,2),0)</f>
        <v>0</v>
      </c>
      <c r="L1995" s="87">
        <f t="shared" si="222"/>
        <v>0</v>
      </c>
      <c r="M1995" s="87">
        <f t="shared" si="223"/>
        <v>0</v>
      </c>
      <c r="N1995" s="107" t="str">
        <f t="shared" si="224"/>
        <v/>
      </c>
    </row>
    <row r="1996" spans="2:14" x14ac:dyDescent="0.25">
      <c r="B1996" s="82">
        <f>SUBTOTAL(103,$D$8:D1996)</f>
        <v>1989</v>
      </c>
      <c r="C1996" s="83" t="s">
        <v>1994</v>
      </c>
      <c r="D1996" s="84">
        <v>0</v>
      </c>
      <c r="E1996" s="85" t="str">
        <f t="shared" si="219"/>
        <v/>
      </c>
      <c r="F1996" s="106" t="str">
        <f t="shared" si="225"/>
        <v/>
      </c>
      <c r="G1996" s="86"/>
      <c r="H1996" s="107">
        <f t="shared" si="220"/>
        <v>0</v>
      </c>
      <c r="I1996" s="107">
        <f t="shared" si="221"/>
        <v>0</v>
      </c>
      <c r="J1996" s="87">
        <f>IF($D1996&gt;0,IFERROR(Параметры!$D$42*$H1996/$H$2408,0),0)</f>
        <v>0</v>
      </c>
      <c r="K1996" s="87">
        <f>IFERROR(ROUND($N1996*Параметры!$D$36,2),0)</f>
        <v>0</v>
      </c>
      <c r="L1996" s="87">
        <f t="shared" si="222"/>
        <v>0</v>
      </c>
      <c r="M1996" s="87">
        <f t="shared" si="223"/>
        <v>0</v>
      </c>
      <c r="N1996" s="107" t="str">
        <f t="shared" si="224"/>
        <v/>
      </c>
    </row>
    <row r="1997" spans="2:14" x14ac:dyDescent="0.25">
      <c r="B1997" s="82">
        <f>SUBTOTAL(103,$D$8:D1997)</f>
        <v>1990</v>
      </c>
      <c r="C1997" s="83" t="s">
        <v>1995</v>
      </c>
      <c r="D1997" s="84">
        <v>0</v>
      </c>
      <c r="E1997" s="85" t="str">
        <f t="shared" si="219"/>
        <v/>
      </c>
      <c r="F1997" s="106" t="str">
        <f t="shared" si="225"/>
        <v/>
      </c>
      <c r="G1997" s="86"/>
      <c r="H1997" s="107">
        <f t="shared" si="220"/>
        <v>0</v>
      </c>
      <c r="I1997" s="107">
        <f t="shared" si="221"/>
        <v>0</v>
      </c>
      <c r="J1997" s="87">
        <f>IF($D1997&gt;0,IFERROR(Параметры!$D$42*$H1997/$H$2408,0),0)</f>
        <v>0</v>
      </c>
      <c r="K1997" s="87">
        <f>IFERROR(ROUND($N1997*Параметры!$D$36,2),0)</f>
        <v>0</v>
      </c>
      <c r="L1997" s="87">
        <f t="shared" si="222"/>
        <v>0</v>
      </c>
      <c r="M1997" s="87">
        <f t="shared" si="223"/>
        <v>0</v>
      </c>
      <c r="N1997" s="107" t="str">
        <f t="shared" si="224"/>
        <v/>
      </c>
    </row>
    <row r="1998" spans="2:14" x14ac:dyDescent="0.25">
      <c r="B1998" s="82">
        <f>SUBTOTAL(103,$D$8:D1998)</f>
        <v>1991</v>
      </c>
      <c r="C1998" s="83" t="s">
        <v>1996</v>
      </c>
      <c r="D1998" s="84">
        <v>0</v>
      </c>
      <c r="E1998" s="85" t="str">
        <f t="shared" si="219"/>
        <v/>
      </c>
      <c r="F1998" s="106" t="str">
        <f t="shared" si="225"/>
        <v/>
      </c>
      <c r="G1998" s="86"/>
      <c r="H1998" s="107">
        <f t="shared" si="220"/>
        <v>0</v>
      </c>
      <c r="I1998" s="107">
        <f t="shared" si="221"/>
        <v>0</v>
      </c>
      <c r="J1998" s="87">
        <f>IF($D1998&gt;0,IFERROR(Параметры!$D$42*$H1998/$H$2408,0),0)</f>
        <v>0</v>
      </c>
      <c r="K1998" s="87">
        <f>IFERROR(ROUND($N1998*Параметры!$D$36,2),0)</f>
        <v>0</v>
      </c>
      <c r="L1998" s="87">
        <f t="shared" si="222"/>
        <v>0</v>
      </c>
      <c r="M1998" s="87">
        <f t="shared" si="223"/>
        <v>0</v>
      </c>
      <c r="N1998" s="107" t="str">
        <f t="shared" si="224"/>
        <v/>
      </c>
    </row>
    <row r="1999" spans="2:14" x14ac:dyDescent="0.25">
      <c r="B1999" s="82">
        <f>SUBTOTAL(103,$D$8:D1999)</f>
        <v>1992</v>
      </c>
      <c r="C1999" s="83" t="s">
        <v>1997</v>
      </c>
      <c r="D1999" s="84">
        <v>0</v>
      </c>
      <c r="E1999" s="85" t="str">
        <f t="shared" si="219"/>
        <v/>
      </c>
      <c r="F1999" s="106" t="str">
        <f t="shared" si="225"/>
        <v/>
      </c>
      <c r="G1999" s="86"/>
      <c r="H1999" s="107">
        <f t="shared" si="220"/>
        <v>0</v>
      </c>
      <c r="I1999" s="107">
        <f t="shared" si="221"/>
        <v>0</v>
      </c>
      <c r="J1999" s="87">
        <f>IF($D1999&gt;0,IFERROR(Параметры!$D$42*$H1999/$H$2408,0),0)</f>
        <v>0</v>
      </c>
      <c r="K1999" s="87">
        <f>IFERROR(ROUND($N1999*Параметры!$D$36,2),0)</f>
        <v>0</v>
      </c>
      <c r="L1999" s="87">
        <f t="shared" si="222"/>
        <v>0</v>
      </c>
      <c r="M1999" s="87">
        <f t="shared" si="223"/>
        <v>0</v>
      </c>
      <c r="N1999" s="107" t="str">
        <f t="shared" si="224"/>
        <v/>
      </c>
    </row>
    <row r="2000" spans="2:14" x14ac:dyDescent="0.25">
      <c r="B2000" s="82">
        <f>SUBTOTAL(103,$D$8:D2000)</f>
        <v>1993</v>
      </c>
      <c r="C2000" s="83" t="s">
        <v>1998</v>
      </c>
      <c r="D2000" s="84">
        <v>0</v>
      </c>
      <c r="E2000" s="85" t="str">
        <f t="shared" si="219"/>
        <v/>
      </c>
      <c r="F2000" s="106" t="str">
        <f t="shared" si="225"/>
        <v/>
      </c>
      <c r="G2000" s="86"/>
      <c r="H2000" s="107">
        <f t="shared" si="220"/>
        <v>0</v>
      </c>
      <c r="I2000" s="107">
        <f t="shared" si="221"/>
        <v>0</v>
      </c>
      <c r="J2000" s="87">
        <f>IF($D2000&gt;0,IFERROR(Параметры!$D$42*$H2000/$H$2408,0),0)</f>
        <v>0</v>
      </c>
      <c r="K2000" s="87">
        <f>IFERROR(ROUND($N2000*Параметры!$D$36,2),0)</f>
        <v>0</v>
      </c>
      <c r="L2000" s="87">
        <f t="shared" si="222"/>
        <v>0</v>
      </c>
      <c r="M2000" s="87">
        <f t="shared" si="223"/>
        <v>0</v>
      </c>
      <c r="N2000" s="107" t="str">
        <f t="shared" si="224"/>
        <v/>
      </c>
    </row>
    <row r="2001" spans="2:14" x14ac:dyDescent="0.25">
      <c r="B2001" s="82">
        <f>SUBTOTAL(103,$D$8:D2001)</f>
        <v>1994</v>
      </c>
      <c r="C2001" s="83" t="s">
        <v>1999</v>
      </c>
      <c r="D2001" s="84">
        <v>0</v>
      </c>
      <c r="E2001" s="85" t="str">
        <f t="shared" si="219"/>
        <v/>
      </c>
      <c r="F2001" s="106" t="str">
        <f t="shared" si="225"/>
        <v/>
      </c>
      <c r="G2001" s="86"/>
      <c r="H2001" s="107">
        <f t="shared" si="220"/>
        <v>0</v>
      </c>
      <c r="I2001" s="107">
        <f t="shared" si="221"/>
        <v>0</v>
      </c>
      <c r="J2001" s="87">
        <f>IF($D2001&gt;0,IFERROR(Параметры!$D$42*$H2001/$H$2408,0),0)</f>
        <v>0</v>
      </c>
      <c r="K2001" s="87">
        <f>IFERROR(ROUND($N2001*Параметры!$D$36,2),0)</f>
        <v>0</v>
      </c>
      <c r="L2001" s="87">
        <f t="shared" si="222"/>
        <v>0</v>
      </c>
      <c r="M2001" s="87">
        <f t="shared" si="223"/>
        <v>0</v>
      </c>
      <c r="N2001" s="107" t="str">
        <f t="shared" si="224"/>
        <v/>
      </c>
    </row>
    <row r="2002" spans="2:14" x14ac:dyDescent="0.25">
      <c r="B2002" s="82">
        <f>SUBTOTAL(103,$D$8:D2002)</f>
        <v>1995</v>
      </c>
      <c r="C2002" s="83" t="s">
        <v>2000</v>
      </c>
      <c r="D2002" s="84">
        <v>0</v>
      </c>
      <c r="E2002" s="85" t="str">
        <f t="shared" si="219"/>
        <v/>
      </c>
      <c r="F2002" s="106" t="str">
        <f t="shared" si="225"/>
        <v/>
      </c>
      <c r="G2002" s="86"/>
      <c r="H2002" s="107">
        <f t="shared" si="220"/>
        <v>0</v>
      </c>
      <c r="I2002" s="107">
        <f t="shared" si="221"/>
        <v>0</v>
      </c>
      <c r="J2002" s="87">
        <f>IF($D2002&gt;0,IFERROR(Параметры!$D$42*$H2002/$H$2408,0),0)</f>
        <v>0</v>
      </c>
      <c r="K2002" s="87">
        <f>IFERROR(ROUND($N2002*Параметры!$D$36,2),0)</f>
        <v>0</v>
      </c>
      <c r="L2002" s="87">
        <f t="shared" si="222"/>
        <v>0</v>
      </c>
      <c r="M2002" s="87">
        <f t="shared" si="223"/>
        <v>0</v>
      </c>
      <c r="N2002" s="107" t="str">
        <f t="shared" si="224"/>
        <v/>
      </c>
    </row>
    <row r="2003" spans="2:14" x14ac:dyDescent="0.25">
      <c r="B2003" s="82">
        <f>SUBTOTAL(103,$D$8:D2003)</f>
        <v>1996</v>
      </c>
      <c r="C2003" s="83" t="s">
        <v>2001</v>
      </c>
      <c r="D2003" s="84">
        <v>0</v>
      </c>
      <c r="E2003" s="85" t="str">
        <f t="shared" si="219"/>
        <v/>
      </c>
      <c r="F2003" s="106" t="str">
        <f t="shared" si="225"/>
        <v/>
      </c>
      <c r="G2003" s="86"/>
      <c r="H2003" s="107">
        <f t="shared" si="220"/>
        <v>0</v>
      </c>
      <c r="I2003" s="107">
        <f t="shared" si="221"/>
        <v>0</v>
      </c>
      <c r="J2003" s="87">
        <f>IF($D2003&gt;0,IFERROR(Параметры!$D$42*$H2003/$H$2408,0),0)</f>
        <v>0</v>
      </c>
      <c r="K2003" s="87">
        <f>IFERROR(ROUND($N2003*Параметры!$D$36,2),0)</f>
        <v>0</v>
      </c>
      <c r="L2003" s="87">
        <f t="shared" si="222"/>
        <v>0</v>
      </c>
      <c r="M2003" s="87">
        <f t="shared" si="223"/>
        <v>0</v>
      </c>
      <c r="N2003" s="107" t="str">
        <f t="shared" si="224"/>
        <v/>
      </c>
    </row>
    <row r="2004" spans="2:14" x14ac:dyDescent="0.25">
      <c r="B2004" s="82">
        <f>SUBTOTAL(103,$D$8:D2004)</f>
        <v>1997</v>
      </c>
      <c r="C2004" s="83" t="s">
        <v>2002</v>
      </c>
      <c r="D2004" s="84">
        <v>0</v>
      </c>
      <c r="E2004" s="85" t="str">
        <f t="shared" si="219"/>
        <v/>
      </c>
      <c r="F2004" s="106" t="str">
        <f t="shared" si="225"/>
        <v/>
      </c>
      <c r="G2004" s="86"/>
      <c r="H2004" s="107">
        <f t="shared" si="220"/>
        <v>0</v>
      </c>
      <c r="I2004" s="107">
        <f t="shared" si="221"/>
        <v>0</v>
      </c>
      <c r="J2004" s="87">
        <f>IF($D2004&gt;0,IFERROR(Параметры!$D$42*$H2004/$H$2408,0),0)</f>
        <v>0</v>
      </c>
      <c r="K2004" s="87">
        <f>IFERROR(ROUND($N2004*Параметры!$D$36,2),0)</f>
        <v>0</v>
      </c>
      <c r="L2004" s="87">
        <f t="shared" si="222"/>
        <v>0</v>
      </c>
      <c r="M2004" s="87">
        <f t="shared" si="223"/>
        <v>0</v>
      </c>
      <c r="N2004" s="107" t="str">
        <f t="shared" si="224"/>
        <v/>
      </c>
    </row>
    <row r="2005" spans="2:14" x14ac:dyDescent="0.25">
      <c r="B2005" s="82">
        <f>SUBTOTAL(103,$D$8:D2005)</f>
        <v>1998</v>
      </c>
      <c r="C2005" s="83" t="s">
        <v>2003</v>
      </c>
      <c r="D2005" s="84">
        <v>0</v>
      </c>
      <c r="E2005" s="85" t="str">
        <f t="shared" si="219"/>
        <v/>
      </c>
      <c r="F2005" s="106" t="str">
        <f t="shared" si="225"/>
        <v/>
      </c>
      <c r="G2005" s="86"/>
      <c r="H2005" s="107">
        <f t="shared" si="220"/>
        <v>0</v>
      </c>
      <c r="I2005" s="107">
        <f t="shared" si="221"/>
        <v>0</v>
      </c>
      <c r="J2005" s="87">
        <f>IF($D2005&gt;0,IFERROR(Параметры!$D$42*$H2005/$H$2408,0),0)</f>
        <v>0</v>
      </c>
      <c r="K2005" s="87">
        <f>IFERROR(ROUND($N2005*Параметры!$D$36,2),0)</f>
        <v>0</v>
      </c>
      <c r="L2005" s="87">
        <f t="shared" si="222"/>
        <v>0</v>
      </c>
      <c r="M2005" s="87">
        <f t="shared" si="223"/>
        <v>0</v>
      </c>
      <c r="N2005" s="107" t="str">
        <f t="shared" si="224"/>
        <v/>
      </c>
    </row>
    <row r="2006" spans="2:14" x14ac:dyDescent="0.25">
      <c r="B2006" s="82">
        <f>SUBTOTAL(103,$D$8:D2006)</f>
        <v>1999</v>
      </c>
      <c r="C2006" s="83" t="s">
        <v>2004</v>
      </c>
      <c r="D2006" s="84">
        <v>0</v>
      </c>
      <c r="E2006" s="85" t="str">
        <f t="shared" si="219"/>
        <v/>
      </c>
      <c r="F2006" s="106" t="str">
        <f t="shared" si="225"/>
        <v/>
      </c>
      <c r="G2006" s="86"/>
      <c r="H2006" s="107">
        <f t="shared" si="220"/>
        <v>0</v>
      </c>
      <c r="I2006" s="107">
        <f t="shared" si="221"/>
        <v>0</v>
      </c>
      <c r="J2006" s="87">
        <f>IF($D2006&gt;0,IFERROR(Параметры!$D$42*$H2006/$H$2408,0),0)</f>
        <v>0</v>
      </c>
      <c r="K2006" s="87">
        <f>IFERROR(ROUND($N2006*Параметры!$D$36,2),0)</f>
        <v>0</v>
      </c>
      <c r="L2006" s="87">
        <f t="shared" si="222"/>
        <v>0</v>
      </c>
      <c r="M2006" s="87">
        <f t="shared" si="223"/>
        <v>0</v>
      </c>
      <c r="N2006" s="107" t="str">
        <f t="shared" si="224"/>
        <v/>
      </c>
    </row>
    <row r="2007" spans="2:14" x14ac:dyDescent="0.25">
      <c r="B2007" s="82">
        <f>SUBTOTAL(103,$D$8:D2007)</f>
        <v>2000</v>
      </c>
      <c r="C2007" s="83" t="s">
        <v>2005</v>
      </c>
      <c r="D2007" s="84">
        <v>0</v>
      </c>
      <c r="E2007" s="85" t="str">
        <f t="shared" si="219"/>
        <v/>
      </c>
      <c r="F2007" s="106" t="str">
        <f t="shared" si="225"/>
        <v/>
      </c>
      <c r="G2007" s="86"/>
      <c r="H2007" s="107">
        <f t="shared" si="220"/>
        <v>0</v>
      </c>
      <c r="I2007" s="107">
        <f t="shared" si="221"/>
        <v>0</v>
      </c>
      <c r="J2007" s="87">
        <f>IF($D2007&gt;0,IFERROR(Параметры!$D$42*$H2007/$H$2408,0),0)</f>
        <v>0</v>
      </c>
      <c r="K2007" s="87">
        <f>IFERROR(ROUND($N2007*Параметры!$D$36,2),0)</f>
        <v>0</v>
      </c>
      <c r="L2007" s="87">
        <f t="shared" si="222"/>
        <v>0</v>
      </c>
      <c r="M2007" s="87">
        <f t="shared" si="223"/>
        <v>0</v>
      </c>
      <c r="N2007" s="107" t="str">
        <f t="shared" si="224"/>
        <v/>
      </c>
    </row>
    <row r="2008" spans="2:14" x14ac:dyDescent="0.25">
      <c r="B2008" s="82">
        <f>SUBTOTAL(103,$D$8:D2008)</f>
        <v>2001</v>
      </c>
      <c r="C2008" s="83" t="s">
        <v>2006</v>
      </c>
      <c r="D2008" s="84">
        <v>0</v>
      </c>
      <c r="E2008" s="85" t="str">
        <f t="shared" si="219"/>
        <v/>
      </c>
      <c r="F2008" s="106" t="str">
        <f t="shared" si="225"/>
        <v/>
      </c>
      <c r="G2008" s="86"/>
      <c r="H2008" s="107">
        <f t="shared" si="220"/>
        <v>0</v>
      </c>
      <c r="I2008" s="107">
        <f t="shared" si="221"/>
        <v>0</v>
      </c>
      <c r="J2008" s="87">
        <f>IF($D2008&gt;0,IFERROR(Параметры!$D$42*$H2008/$H$2408,0),0)</f>
        <v>0</v>
      </c>
      <c r="K2008" s="87">
        <f>IFERROR(ROUND($N2008*Параметры!$D$36,2),0)</f>
        <v>0</v>
      </c>
      <c r="L2008" s="87">
        <f t="shared" si="222"/>
        <v>0</v>
      </c>
      <c r="M2008" s="87">
        <f t="shared" si="223"/>
        <v>0</v>
      </c>
      <c r="N2008" s="107" t="str">
        <f t="shared" si="224"/>
        <v/>
      </c>
    </row>
    <row r="2009" spans="2:14" x14ac:dyDescent="0.25">
      <c r="B2009" s="82">
        <f>SUBTOTAL(103,$D$8:D2009)</f>
        <v>2002</v>
      </c>
      <c r="C2009" s="83" t="s">
        <v>2007</v>
      </c>
      <c r="D2009" s="84">
        <v>0</v>
      </c>
      <c r="E2009" s="85" t="str">
        <f t="shared" si="219"/>
        <v/>
      </c>
      <c r="F2009" s="106" t="str">
        <f t="shared" si="225"/>
        <v/>
      </c>
      <c r="G2009" s="86"/>
      <c r="H2009" s="107">
        <f t="shared" si="220"/>
        <v>0</v>
      </c>
      <c r="I2009" s="107">
        <f t="shared" si="221"/>
        <v>0</v>
      </c>
      <c r="J2009" s="87">
        <f>IF($D2009&gt;0,IFERROR(Параметры!$D$42*$H2009/$H$2408,0),0)</f>
        <v>0</v>
      </c>
      <c r="K2009" s="87">
        <f>IFERROR(ROUND($N2009*Параметры!$D$36,2),0)</f>
        <v>0</v>
      </c>
      <c r="L2009" s="87">
        <f t="shared" si="222"/>
        <v>0</v>
      </c>
      <c r="M2009" s="87">
        <f t="shared" si="223"/>
        <v>0</v>
      </c>
      <c r="N2009" s="107" t="str">
        <f t="shared" si="224"/>
        <v/>
      </c>
    </row>
    <row r="2010" spans="2:14" x14ac:dyDescent="0.25">
      <c r="B2010" s="82">
        <f>SUBTOTAL(103,$D$8:D2010)</f>
        <v>2003</v>
      </c>
      <c r="C2010" s="83" t="s">
        <v>2008</v>
      </c>
      <c r="D2010" s="84">
        <v>0</v>
      </c>
      <c r="E2010" s="85" t="str">
        <f t="shared" si="219"/>
        <v/>
      </c>
      <c r="F2010" s="106" t="str">
        <f t="shared" si="225"/>
        <v/>
      </c>
      <c r="G2010" s="86"/>
      <c r="H2010" s="107">
        <f t="shared" si="220"/>
        <v>0</v>
      </c>
      <c r="I2010" s="107">
        <f t="shared" si="221"/>
        <v>0</v>
      </c>
      <c r="J2010" s="87">
        <f>IF($D2010&gt;0,IFERROR(Параметры!$D$42*$H2010/$H$2408,0),0)</f>
        <v>0</v>
      </c>
      <c r="K2010" s="87">
        <f>IFERROR(ROUND($N2010*Параметры!$D$36,2),0)</f>
        <v>0</v>
      </c>
      <c r="L2010" s="87">
        <f t="shared" si="222"/>
        <v>0</v>
      </c>
      <c r="M2010" s="87">
        <f t="shared" si="223"/>
        <v>0</v>
      </c>
      <c r="N2010" s="107" t="str">
        <f t="shared" si="224"/>
        <v/>
      </c>
    </row>
    <row r="2011" spans="2:14" x14ac:dyDescent="0.25">
      <c r="B2011" s="82">
        <f>SUBTOTAL(103,$D$8:D2011)</f>
        <v>2004</v>
      </c>
      <c r="C2011" s="83" t="s">
        <v>2009</v>
      </c>
      <c r="D2011" s="84">
        <v>0</v>
      </c>
      <c r="E2011" s="85" t="str">
        <f t="shared" si="219"/>
        <v/>
      </c>
      <c r="F2011" s="106" t="str">
        <f t="shared" si="225"/>
        <v/>
      </c>
      <c r="G2011" s="86"/>
      <c r="H2011" s="107">
        <f t="shared" si="220"/>
        <v>0</v>
      </c>
      <c r="I2011" s="107">
        <f t="shared" si="221"/>
        <v>0</v>
      </c>
      <c r="J2011" s="87">
        <f>IF($D2011&gt;0,IFERROR(Параметры!$D$42*$H2011/$H$2408,0),0)</f>
        <v>0</v>
      </c>
      <c r="K2011" s="87">
        <f>IFERROR(ROUND($N2011*Параметры!$D$36,2),0)</f>
        <v>0</v>
      </c>
      <c r="L2011" s="87">
        <f t="shared" si="222"/>
        <v>0</v>
      </c>
      <c r="M2011" s="87">
        <f t="shared" si="223"/>
        <v>0</v>
      </c>
      <c r="N2011" s="107" t="str">
        <f t="shared" si="224"/>
        <v/>
      </c>
    </row>
    <row r="2012" spans="2:14" x14ac:dyDescent="0.25">
      <c r="B2012" s="82">
        <f>SUBTOTAL(103,$D$8:D2012)</f>
        <v>2005</v>
      </c>
      <c r="C2012" s="83" t="s">
        <v>2010</v>
      </c>
      <c r="D2012" s="84">
        <v>0</v>
      </c>
      <c r="E2012" s="85" t="str">
        <f t="shared" si="219"/>
        <v/>
      </c>
      <c r="F2012" s="106" t="str">
        <f t="shared" si="225"/>
        <v/>
      </c>
      <c r="G2012" s="86"/>
      <c r="H2012" s="107">
        <f t="shared" si="220"/>
        <v>0</v>
      </c>
      <c r="I2012" s="107">
        <f t="shared" si="221"/>
        <v>0</v>
      </c>
      <c r="J2012" s="87">
        <f>IF($D2012&gt;0,IFERROR(Параметры!$D$42*$H2012/$H$2408,0),0)</f>
        <v>0</v>
      </c>
      <c r="K2012" s="87">
        <f>IFERROR(ROUND($N2012*Параметры!$D$36,2),0)</f>
        <v>0</v>
      </c>
      <c r="L2012" s="87">
        <f t="shared" si="222"/>
        <v>0</v>
      </c>
      <c r="M2012" s="87">
        <f t="shared" si="223"/>
        <v>0</v>
      </c>
      <c r="N2012" s="107" t="str">
        <f t="shared" si="224"/>
        <v/>
      </c>
    </row>
    <row r="2013" spans="2:14" x14ac:dyDescent="0.25">
      <c r="B2013" s="82">
        <f>SUBTOTAL(103,$D$8:D2013)</f>
        <v>2006</v>
      </c>
      <c r="C2013" s="83" t="s">
        <v>2011</v>
      </c>
      <c r="D2013" s="84">
        <v>0</v>
      </c>
      <c r="E2013" s="85" t="str">
        <f t="shared" si="219"/>
        <v/>
      </c>
      <c r="F2013" s="106" t="str">
        <f t="shared" si="225"/>
        <v/>
      </c>
      <c r="G2013" s="86"/>
      <c r="H2013" s="107">
        <f t="shared" si="220"/>
        <v>0</v>
      </c>
      <c r="I2013" s="107">
        <f t="shared" si="221"/>
        <v>0</v>
      </c>
      <c r="J2013" s="87">
        <f>IF($D2013&gt;0,IFERROR(Параметры!$D$42*$H2013/$H$2408,0),0)</f>
        <v>0</v>
      </c>
      <c r="K2013" s="87">
        <f>IFERROR(ROUND($N2013*Параметры!$D$36,2),0)</f>
        <v>0</v>
      </c>
      <c r="L2013" s="87">
        <f t="shared" si="222"/>
        <v>0</v>
      </c>
      <c r="M2013" s="87">
        <f t="shared" si="223"/>
        <v>0</v>
      </c>
      <c r="N2013" s="107" t="str">
        <f t="shared" si="224"/>
        <v/>
      </c>
    </row>
    <row r="2014" spans="2:14" x14ac:dyDescent="0.25">
      <c r="B2014" s="82">
        <f>SUBTOTAL(103,$D$8:D2014)</f>
        <v>2007</v>
      </c>
      <c r="C2014" s="83" t="s">
        <v>2012</v>
      </c>
      <c r="D2014" s="84">
        <v>0</v>
      </c>
      <c r="E2014" s="85" t="str">
        <f t="shared" si="219"/>
        <v/>
      </c>
      <c r="F2014" s="106" t="str">
        <f t="shared" si="225"/>
        <v/>
      </c>
      <c r="G2014" s="86"/>
      <c r="H2014" s="107">
        <f t="shared" si="220"/>
        <v>0</v>
      </c>
      <c r="I2014" s="107">
        <f t="shared" si="221"/>
        <v>0</v>
      </c>
      <c r="J2014" s="87">
        <f>IF($D2014&gt;0,IFERROR(Параметры!$D$42*$H2014/$H$2408,0),0)</f>
        <v>0</v>
      </c>
      <c r="K2014" s="87">
        <f>IFERROR(ROUND($N2014*Параметры!$D$36,2),0)</f>
        <v>0</v>
      </c>
      <c r="L2014" s="87">
        <f t="shared" si="222"/>
        <v>0</v>
      </c>
      <c r="M2014" s="87">
        <f t="shared" si="223"/>
        <v>0</v>
      </c>
      <c r="N2014" s="107" t="str">
        <f t="shared" si="224"/>
        <v/>
      </c>
    </row>
    <row r="2015" spans="2:14" x14ac:dyDescent="0.25">
      <c r="B2015" s="82">
        <f>SUBTOTAL(103,$D$8:D2015)</f>
        <v>2008</v>
      </c>
      <c r="C2015" s="83" t="s">
        <v>2013</v>
      </c>
      <c r="D2015" s="84">
        <v>0</v>
      </c>
      <c r="E2015" s="85" t="str">
        <f t="shared" si="219"/>
        <v/>
      </c>
      <c r="F2015" s="106" t="str">
        <f t="shared" si="225"/>
        <v/>
      </c>
      <c r="G2015" s="86"/>
      <c r="H2015" s="107">
        <f t="shared" si="220"/>
        <v>0</v>
      </c>
      <c r="I2015" s="107">
        <f t="shared" si="221"/>
        <v>0</v>
      </c>
      <c r="J2015" s="87">
        <f>IF($D2015&gt;0,IFERROR(Параметры!$D$42*$H2015/$H$2408,0),0)</f>
        <v>0</v>
      </c>
      <c r="K2015" s="87">
        <f>IFERROR(ROUND($N2015*Параметры!$D$36,2),0)</f>
        <v>0</v>
      </c>
      <c r="L2015" s="87">
        <f t="shared" si="222"/>
        <v>0</v>
      </c>
      <c r="M2015" s="87">
        <f t="shared" si="223"/>
        <v>0</v>
      </c>
      <c r="N2015" s="107" t="str">
        <f t="shared" si="224"/>
        <v/>
      </c>
    </row>
    <row r="2016" spans="2:14" x14ac:dyDescent="0.25">
      <c r="B2016" s="82">
        <f>SUBTOTAL(103,$D$8:D2016)</f>
        <v>2009</v>
      </c>
      <c r="C2016" s="83" t="s">
        <v>2014</v>
      </c>
      <c r="D2016" s="84">
        <v>0</v>
      </c>
      <c r="E2016" s="85" t="str">
        <f t="shared" si="219"/>
        <v/>
      </c>
      <c r="F2016" s="106" t="str">
        <f t="shared" si="225"/>
        <v/>
      </c>
      <c r="G2016" s="86"/>
      <c r="H2016" s="107">
        <f t="shared" si="220"/>
        <v>0</v>
      </c>
      <c r="I2016" s="107">
        <f t="shared" si="221"/>
        <v>0</v>
      </c>
      <c r="J2016" s="87">
        <f>IF($D2016&gt;0,IFERROR(Параметры!$D$42*$H2016/$H$2408,0),0)</f>
        <v>0</v>
      </c>
      <c r="K2016" s="87">
        <f>IFERROR(ROUND($N2016*Параметры!$D$36,2),0)</f>
        <v>0</v>
      </c>
      <c r="L2016" s="87">
        <f t="shared" si="222"/>
        <v>0</v>
      </c>
      <c r="M2016" s="87">
        <f t="shared" si="223"/>
        <v>0</v>
      </c>
      <c r="N2016" s="107" t="str">
        <f t="shared" si="224"/>
        <v/>
      </c>
    </row>
    <row r="2017" spans="2:14" x14ac:dyDescent="0.25">
      <c r="B2017" s="82">
        <f>SUBTOTAL(103,$D$8:D2017)</f>
        <v>2010</v>
      </c>
      <c r="C2017" s="83" t="s">
        <v>2015</v>
      </c>
      <c r="D2017" s="84">
        <v>0</v>
      </c>
      <c r="E2017" s="85" t="str">
        <f t="shared" si="219"/>
        <v/>
      </c>
      <c r="F2017" s="106" t="str">
        <f t="shared" si="225"/>
        <v/>
      </c>
      <c r="G2017" s="86"/>
      <c r="H2017" s="107">
        <f t="shared" si="220"/>
        <v>0</v>
      </c>
      <c r="I2017" s="107">
        <f t="shared" si="221"/>
        <v>0</v>
      </c>
      <c r="J2017" s="87">
        <f>IF($D2017&gt;0,IFERROR(Параметры!$D$42*$H2017/$H$2408,0),0)</f>
        <v>0</v>
      </c>
      <c r="K2017" s="87">
        <f>IFERROR(ROUND($N2017*Параметры!$D$36,2),0)</f>
        <v>0</v>
      </c>
      <c r="L2017" s="87">
        <f t="shared" si="222"/>
        <v>0</v>
      </c>
      <c r="M2017" s="87">
        <f t="shared" si="223"/>
        <v>0</v>
      </c>
      <c r="N2017" s="107" t="str">
        <f t="shared" si="224"/>
        <v/>
      </c>
    </row>
    <row r="2018" spans="2:14" x14ac:dyDescent="0.25">
      <c r="B2018" s="82">
        <f>SUBTOTAL(103,$D$8:D2018)</f>
        <v>2011</v>
      </c>
      <c r="C2018" s="83" t="s">
        <v>2016</v>
      </c>
      <c r="D2018" s="84">
        <v>0</v>
      </c>
      <c r="E2018" s="85" t="str">
        <f t="shared" si="219"/>
        <v/>
      </c>
      <c r="F2018" s="106" t="str">
        <f t="shared" si="225"/>
        <v/>
      </c>
      <c r="G2018" s="86"/>
      <c r="H2018" s="107">
        <f t="shared" si="220"/>
        <v>0</v>
      </c>
      <c r="I2018" s="107">
        <f t="shared" si="221"/>
        <v>0</v>
      </c>
      <c r="J2018" s="87">
        <f>IF($D2018&gt;0,IFERROR(Параметры!$D$42*$H2018/$H$2408,0),0)</f>
        <v>0</v>
      </c>
      <c r="K2018" s="87">
        <f>IFERROR(ROUND($N2018*Параметры!$D$36,2),0)</f>
        <v>0</v>
      </c>
      <c r="L2018" s="87">
        <f t="shared" si="222"/>
        <v>0</v>
      </c>
      <c r="M2018" s="87">
        <f t="shared" si="223"/>
        <v>0</v>
      </c>
      <c r="N2018" s="107" t="str">
        <f t="shared" si="224"/>
        <v/>
      </c>
    </row>
    <row r="2019" spans="2:14" x14ac:dyDescent="0.25">
      <c r="B2019" s="82">
        <f>SUBTOTAL(103,$D$8:D2019)</f>
        <v>2012</v>
      </c>
      <c r="C2019" s="83" t="s">
        <v>2017</v>
      </c>
      <c r="D2019" s="84">
        <v>0</v>
      </c>
      <c r="E2019" s="85" t="str">
        <f t="shared" si="219"/>
        <v/>
      </c>
      <c r="F2019" s="106" t="str">
        <f t="shared" si="225"/>
        <v/>
      </c>
      <c r="G2019" s="86"/>
      <c r="H2019" s="107">
        <f t="shared" si="220"/>
        <v>0</v>
      </c>
      <c r="I2019" s="107">
        <f t="shared" si="221"/>
        <v>0</v>
      </c>
      <c r="J2019" s="87">
        <f>IF($D2019&gt;0,IFERROR(Параметры!$D$42*$H2019/$H$2408,0),0)</f>
        <v>0</v>
      </c>
      <c r="K2019" s="87">
        <f>IFERROR(ROUND($N2019*Параметры!$D$36,2),0)</f>
        <v>0</v>
      </c>
      <c r="L2019" s="87">
        <f t="shared" si="222"/>
        <v>0</v>
      </c>
      <c r="M2019" s="87">
        <f t="shared" si="223"/>
        <v>0</v>
      </c>
      <c r="N2019" s="107" t="str">
        <f t="shared" si="224"/>
        <v/>
      </c>
    </row>
    <row r="2020" spans="2:14" x14ac:dyDescent="0.25">
      <c r="B2020" s="82">
        <f>SUBTOTAL(103,$D$8:D2020)</f>
        <v>2013</v>
      </c>
      <c r="C2020" s="83" t="s">
        <v>2018</v>
      </c>
      <c r="D2020" s="84">
        <v>0</v>
      </c>
      <c r="E2020" s="85" t="str">
        <f t="shared" si="219"/>
        <v/>
      </c>
      <c r="F2020" s="106" t="str">
        <f t="shared" si="225"/>
        <v/>
      </c>
      <c r="G2020" s="86"/>
      <c r="H2020" s="107">
        <f t="shared" si="220"/>
        <v>0</v>
      </c>
      <c r="I2020" s="107">
        <f t="shared" si="221"/>
        <v>0</v>
      </c>
      <c r="J2020" s="87">
        <f>IF($D2020&gt;0,IFERROR(Параметры!$D$42*$H2020/$H$2408,0),0)</f>
        <v>0</v>
      </c>
      <c r="K2020" s="87">
        <f>IFERROR(ROUND($N2020*Параметры!$D$36,2),0)</f>
        <v>0</v>
      </c>
      <c r="L2020" s="87">
        <f t="shared" si="222"/>
        <v>0</v>
      </c>
      <c r="M2020" s="87">
        <f t="shared" si="223"/>
        <v>0</v>
      </c>
      <c r="N2020" s="107" t="str">
        <f t="shared" si="224"/>
        <v/>
      </c>
    </row>
    <row r="2021" spans="2:14" x14ac:dyDescent="0.25">
      <c r="B2021" s="82">
        <f>SUBTOTAL(103,$D$8:D2021)</f>
        <v>2014</v>
      </c>
      <c r="C2021" s="83" t="s">
        <v>2019</v>
      </c>
      <c r="D2021" s="84">
        <v>0</v>
      </c>
      <c r="E2021" s="85" t="str">
        <f t="shared" si="219"/>
        <v/>
      </c>
      <c r="F2021" s="106" t="str">
        <f t="shared" si="225"/>
        <v/>
      </c>
      <c r="G2021" s="86"/>
      <c r="H2021" s="107">
        <f t="shared" si="220"/>
        <v>0</v>
      </c>
      <c r="I2021" s="107">
        <f t="shared" si="221"/>
        <v>0</v>
      </c>
      <c r="J2021" s="87">
        <f>IF($D2021&gt;0,IFERROR(Параметры!$D$42*$H2021/$H$2408,0),0)</f>
        <v>0</v>
      </c>
      <c r="K2021" s="87">
        <f>IFERROR(ROUND($N2021*Параметры!$D$36,2),0)</f>
        <v>0</v>
      </c>
      <c r="L2021" s="87">
        <f t="shared" si="222"/>
        <v>0</v>
      </c>
      <c r="M2021" s="87">
        <f t="shared" si="223"/>
        <v>0</v>
      </c>
      <c r="N2021" s="107" t="str">
        <f t="shared" si="224"/>
        <v/>
      </c>
    </row>
    <row r="2022" spans="2:14" x14ac:dyDescent="0.25">
      <c r="B2022" s="82">
        <f>SUBTOTAL(103,$D$8:D2022)</f>
        <v>2015</v>
      </c>
      <c r="C2022" s="83" t="s">
        <v>2020</v>
      </c>
      <c r="D2022" s="84">
        <v>0</v>
      </c>
      <c r="E2022" s="85" t="str">
        <f t="shared" si="219"/>
        <v/>
      </c>
      <c r="F2022" s="106" t="str">
        <f t="shared" si="225"/>
        <v/>
      </c>
      <c r="G2022" s="86"/>
      <c r="H2022" s="107">
        <f t="shared" si="220"/>
        <v>0</v>
      </c>
      <c r="I2022" s="107">
        <f t="shared" si="221"/>
        <v>0</v>
      </c>
      <c r="J2022" s="87">
        <f>IF($D2022&gt;0,IFERROR(Параметры!$D$42*$H2022/$H$2408,0),0)</f>
        <v>0</v>
      </c>
      <c r="K2022" s="87">
        <f>IFERROR(ROUND($N2022*Параметры!$D$36,2),0)</f>
        <v>0</v>
      </c>
      <c r="L2022" s="87">
        <f t="shared" si="222"/>
        <v>0</v>
      </c>
      <c r="M2022" s="87">
        <f t="shared" si="223"/>
        <v>0</v>
      </c>
      <c r="N2022" s="107" t="str">
        <f t="shared" si="224"/>
        <v/>
      </c>
    </row>
    <row r="2023" spans="2:14" x14ac:dyDescent="0.25">
      <c r="B2023" s="82">
        <f>SUBTOTAL(103,$D$8:D2023)</f>
        <v>2016</v>
      </c>
      <c r="C2023" s="83" t="s">
        <v>2021</v>
      </c>
      <c r="D2023" s="84">
        <v>0</v>
      </c>
      <c r="E2023" s="85" t="str">
        <f t="shared" si="219"/>
        <v/>
      </c>
      <c r="F2023" s="106" t="str">
        <f t="shared" si="225"/>
        <v/>
      </c>
      <c r="G2023" s="86"/>
      <c r="H2023" s="107">
        <f t="shared" si="220"/>
        <v>0</v>
      </c>
      <c r="I2023" s="107">
        <f t="shared" si="221"/>
        <v>0</v>
      </c>
      <c r="J2023" s="87">
        <f>IF($D2023&gt;0,IFERROR(Параметры!$D$42*$H2023/$H$2408,0),0)</f>
        <v>0</v>
      </c>
      <c r="K2023" s="87">
        <f>IFERROR(ROUND($N2023*Параметры!$D$36,2),0)</f>
        <v>0</v>
      </c>
      <c r="L2023" s="87">
        <f t="shared" si="222"/>
        <v>0</v>
      </c>
      <c r="M2023" s="87">
        <f t="shared" si="223"/>
        <v>0</v>
      </c>
      <c r="N2023" s="107" t="str">
        <f t="shared" si="224"/>
        <v/>
      </c>
    </row>
    <row r="2024" spans="2:14" x14ac:dyDescent="0.25">
      <c r="B2024" s="82">
        <f>SUBTOTAL(103,$D$8:D2024)</f>
        <v>2017</v>
      </c>
      <c r="C2024" s="83" t="s">
        <v>2022</v>
      </c>
      <c r="D2024" s="84">
        <v>0</v>
      </c>
      <c r="E2024" s="85" t="str">
        <f t="shared" si="219"/>
        <v/>
      </c>
      <c r="F2024" s="106" t="str">
        <f t="shared" si="225"/>
        <v/>
      </c>
      <c r="G2024" s="86"/>
      <c r="H2024" s="107">
        <f t="shared" si="220"/>
        <v>0</v>
      </c>
      <c r="I2024" s="107">
        <f t="shared" si="221"/>
        <v>0</v>
      </c>
      <c r="J2024" s="87">
        <f>IF($D2024&gt;0,IFERROR(Параметры!$D$42*$H2024/$H$2408,0),0)</f>
        <v>0</v>
      </c>
      <c r="K2024" s="87">
        <f>IFERROR(ROUND($N2024*Параметры!$D$36,2),0)</f>
        <v>0</v>
      </c>
      <c r="L2024" s="87">
        <f t="shared" si="222"/>
        <v>0</v>
      </c>
      <c r="M2024" s="87">
        <f t="shared" si="223"/>
        <v>0</v>
      </c>
      <c r="N2024" s="107" t="str">
        <f t="shared" si="224"/>
        <v/>
      </c>
    </row>
    <row r="2025" spans="2:14" x14ac:dyDescent="0.25">
      <c r="B2025" s="82">
        <f>SUBTOTAL(103,$D$8:D2025)</f>
        <v>2018</v>
      </c>
      <c r="C2025" s="83" t="s">
        <v>2023</v>
      </c>
      <c r="D2025" s="84">
        <v>0</v>
      </c>
      <c r="E2025" s="85" t="str">
        <f t="shared" si="219"/>
        <v/>
      </c>
      <c r="F2025" s="106" t="str">
        <f t="shared" si="225"/>
        <v/>
      </c>
      <c r="G2025" s="86"/>
      <c r="H2025" s="107">
        <f t="shared" si="220"/>
        <v>0</v>
      </c>
      <c r="I2025" s="107">
        <f t="shared" si="221"/>
        <v>0</v>
      </c>
      <c r="J2025" s="87">
        <f>IF($D2025&gt;0,IFERROR(Параметры!$D$42*$H2025/$H$2408,0),0)</f>
        <v>0</v>
      </c>
      <c r="K2025" s="87">
        <f>IFERROR(ROUND($N2025*Параметры!$D$36,2),0)</f>
        <v>0</v>
      </c>
      <c r="L2025" s="87">
        <f t="shared" si="222"/>
        <v>0</v>
      </c>
      <c r="M2025" s="87">
        <f t="shared" si="223"/>
        <v>0</v>
      </c>
      <c r="N2025" s="107" t="str">
        <f t="shared" si="224"/>
        <v/>
      </c>
    </row>
    <row r="2026" spans="2:14" x14ac:dyDescent="0.25">
      <c r="B2026" s="82">
        <f>SUBTOTAL(103,$D$8:D2026)</f>
        <v>2019</v>
      </c>
      <c r="C2026" s="83" t="s">
        <v>2024</v>
      </c>
      <c r="D2026" s="84">
        <v>0</v>
      </c>
      <c r="E2026" s="85" t="str">
        <f t="shared" si="219"/>
        <v/>
      </c>
      <c r="F2026" s="106" t="str">
        <f t="shared" si="225"/>
        <v/>
      </c>
      <c r="G2026" s="86"/>
      <c r="H2026" s="107">
        <f t="shared" si="220"/>
        <v>0</v>
      </c>
      <c r="I2026" s="107">
        <f t="shared" si="221"/>
        <v>0</v>
      </c>
      <c r="J2026" s="87">
        <f>IF($D2026&gt;0,IFERROR(Параметры!$D$42*$H2026/$H$2408,0),0)</f>
        <v>0</v>
      </c>
      <c r="K2026" s="87">
        <f>IFERROR(ROUND($N2026*Параметры!$D$36,2),0)</f>
        <v>0</v>
      </c>
      <c r="L2026" s="87">
        <f t="shared" si="222"/>
        <v>0</v>
      </c>
      <c r="M2026" s="87">
        <f t="shared" si="223"/>
        <v>0</v>
      </c>
      <c r="N2026" s="107" t="str">
        <f t="shared" si="224"/>
        <v/>
      </c>
    </row>
    <row r="2027" spans="2:14" x14ac:dyDescent="0.25">
      <c r="B2027" s="82">
        <f>SUBTOTAL(103,$D$8:D2027)</f>
        <v>2020</v>
      </c>
      <c r="C2027" s="83" t="s">
        <v>2025</v>
      </c>
      <c r="D2027" s="84">
        <v>0</v>
      </c>
      <c r="E2027" s="85" t="str">
        <f t="shared" si="219"/>
        <v/>
      </c>
      <c r="F2027" s="106" t="str">
        <f t="shared" si="225"/>
        <v/>
      </c>
      <c r="G2027" s="86"/>
      <c r="H2027" s="107">
        <f t="shared" si="220"/>
        <v>0</v>
      </c>
      <c r="I2027" s="107">
        <f t="shared" si="221"/>
        <v>0</v>
      </c>
      <c r="J2027" s="87">
        <f>IF($D2027&gt;0,IFERROR(Параметры!$D$42*$H2027/$H$2408,0),0)</f>
        <v>0</v>
      </c>
      <c r="K2027" s="87">
        <f>IFERROR(ROUND($N2027*Параметры!$D$36,2),0)</f>
        <v>0</v>
      </c>
      <c r="L2027" s="87">
        <f t="shared" si="222"/>
        <v>0</v>
      </c>
      <c r="M2027" s="87">
        <f t="shared" si="223"/>
        <v>0</v>
      </c>
      <c r="N2027" s="107" t="str">
        <f t="shared" si="224"/>
        <v/>
      </c>
    </row>
    <row r="2028" spans="2:14" x14ac:dyDescent="0.25">
      <c r="B2028" s="82">
        <f>SUBTOTAL(103,$D$8:D2028)</f>
        <v>2021</v>
      </c>
      <c r="C2028" s="83" t="s">
        <v>2026</v>
      </c>
      <c r="D2028" s="84">
        <v>0</v>
      </c>
      <c r="E2028" s="85" t="str">
        <f t="shared" si="219"/>
        <v/>
      </c>
      <c r="F2028" s="106" t="str">
        <f t="shared" si="225"/>
        <v/>
      </c>
      <c r="G2028" s="86"/>
      <c r="H2028" s="107">
        <f t="shared" si="220"/>
        <v>0</v>
      </c>
      <c r="I2028" s="107">
        <f t="shared" si="221"/>
        <v>0</v>
      </c>
      <c r="J2028" s="87">
        <f>IF($D2028&gt;0,IFERROR(Параметры!$D$42*$H2028/$H$2408,0),0)</f>
        <v>0</v>
      </c>
      <c r="K2028" s="87">
        <f>IFERROR(ROUND($N2028*Параметры!$D$36,2),0)</f>
        <v>0</v>
      </c>
      <c r="L2028" s="87">
        <f t="shared" si="222"/>
        <v>0</v>
      </c>
      <c r="M2028" s="87">
        <f t="shared" si="223"/>
        <v>0</v>
      </c>
      <c r="N2028" s="107" t="str">
        <f t="shared" si="224"/>
        <v/>
      </c>
    </row>
    <row r="2029" spans="2:14" x14ac:dyDescent="0.25">
      <c r="B2029" s="82">
        <f>SUBTOTAL(103,$D$8:D2029)</f>
        <v>2022</v>
      </c>
      <c r="C2029" s="83" t="s">
        <v>2027</v>
      </c>
      <c r="D2029" s="84">
        <v>0</v>
      </c>
      <c r="E2029" s="85" t="str">
        <f t="shared" si="219"/>
        <v/>
      </c>
      <c r="F2029" s="106" t="str">
        <f t="shared" si="225"/>
        <v/>
      </c>
      <c r="G2029" s="86"/>
      <c r="H2029" s="107">
        <f t="shared" si="220"/>
        <v>0</v>
      </c>
      <c r="I2029" s="107">
        <f t="shared" si="221"/>
        <v>0</v>
      </c>
      <c r="J2029" s="87">
        <f>IF($D2029&gt;0,IFERROR(Параметры!$D$42*$H2029/$H$2408,0),0)</f>
        <v>0</v>
      </c>
      <c r="K2029" s="87">
        <f>IFERROR(ROUND($N2029*Параметры!$D$36,2),0)</f>
        <v>0</v>
      </c>
      <c r="L2029" s="87">
        <f t="shared" si="222"/>
        <v>0</v>
      </c>
      <c r="M2029" s="87">
        <f t="shared" si="223"/>
        <v>0</v>
      </c>
      <c r="N2029" s="107" t="str">
        <f t="shared" si="224"/>
        <v/>
      </c>
    </row>
    <row r="2030" spans="2:14" x14ac:dyDescent="0.25">
      <c r="B2030" s="82">
        <f>SUBTOTAL(103,$D$8:D2030)</f>
        <v>2023</v>
      </c>
      <c r="C2030" s="83" t="s">
        <v>2028</v>
      </c>
      <c r="D2030" s="84">
        <v>0</v>
      </c>
      <c r="E2030" s="85" t="str">
        <f t="shared" si="219"/>
        <v/>
      </c>
      <c r="F2030" s="106" t="str">
        <f t="shared" si="225"/>
        <v/>
      </c>
      <c r="G2030" s="86"/>
      <c r="H2030" s="107">
        <f t="shared" si="220"/>
        <v>0</v>
      </c>
      <c r="I2030" s="107">
        <f t="shared" si="221"/>
        <v>0</v>
      </c>
      <c r="J2030" s="87">
        <f>IF($D2030&gt;0,IFERROR(Параметры!$D$42*$H2030/$H$2408,0),0)</f>
        <v>0</v>
      </c>
      <c r="K2030" s="87">
        <f>IFERROR(ROUND($N2030*Параметры!$D$36,2),0)</f>
        <v>0</v>
      </c>
      <c r="L2030" s="87">
        <f t="shared" si="222"/>
        <v>0</v>
      </c>
      <c r="M2030" s="87">
        <f t="shared" si="223"/>
        <v>0</v>
      </c>
      <c r="N2030" s="107" t="str">
        <f t="shared" si="224"/>
        <v/>
      </c>
    </row>
    <row r="2031" spans="2:14" x14ac:dyDescent="0.25">
      <c r="B2031" s="82">
        <f>SUBTOTAL(103,$D$8:D2031)</f>
        <v>2024</v>
      </c>
      <c r="C2031" s="83" t="s">
        <v>2029</v>
      </c>
      <c r="D2031" s="84">
        <v>0</v>
      </c>
      <c r="E2031" s="85" t="str">
        <f t="shared" si="219"/>
        <v/>
      </c>
      <c r="F2031" s="106" t="str">
        <f t="shared" si="225"/>
        <v/>
      </c>
      <c r="G2031" s="86"/>
      <c r="H2031" s="107">
        <f t="shared" si="220"/>
        <v>0</v>
      </c>
      <c r="I2031" s="107">
        <f t="shared" si="221"/>
        <v>0</v>
      </c>
      <c r="J2031" s="87">
        <f>IF($D2031&gt;0,IFERROR(Параметры!$D$42*$H2031/$H$2408,0),0)</f>
        <v>0</v>
      </c>
      <c r="K2031" s="87">
        <f>IFERROR(ROUND($N2031*Параметры!$D$36,2),0)</f>
        <v>0</v>
      </c>
      <c r="L2031" s="87">
        <f t="shared" si="222"/>
        <v>0</v>
      </c>
      <c r="M2031" s="87">
        <f t="shared" si="223"/>
        <v>0</v>
      </c>
      <c r="N2031" s="107" t="str">
        <f t="shared" si="224"/>
        <v/>
      </c>
    </row>
    <row r="2032" spans="2:14" x14ac:dyDescent="0.25">
      <c r="B2032" s="82">
        <f>SUBTOTAL(103,$D$8:D2032)</f>
        <v>2025</v>
      </c>
      <c r="C2032" s="83" t="s">
        <v>2030</v>
      </c>
      <c r="D2032" s="84">
        <v>0</v>
      </c>
      <c r="E2032" s="85" t="str">
        <f t="shared" si="219"/>
        <v/>
      </c>
      <c r="F2032" s="106" t="str">
        <f t="shared" si="225"/>
        <v/>
      </c>
      <c r="G2032" s="86"/>
      <c r="H2032" s="107">
        <f t="shared" si="220"/>
        <v>0</v>
      </c>
      <c r="I2032" s="107">
        <f t="shared" si="221"/>
        <v>0</v>
      </c>
      <c r="J2032" s="87">
        <f>IF($D2032&gt;0,IFERROR(Параметры!$D$42*$H2032/$H$2408,0),0)</f>
        <v>0</v>
      </c>
      <c r="K2032" s="87">
        <f>IFERROR(ROUND($N2032*Параметры!$D$36,2),0)</f>
        <v>0</v>
      </c>
      <c r="L2032" s="87">
        <f t="shared" si="222"/>
        <v>0</v>
      </c>
      <c r="M2032" s="87">
        <f t="shared" si="223"/>
        <v>0</v>
      </c>
      <c r="N2032" s="107" t="str">
        <f t="shared" si="224"/>
        <v/>
      </c>
    </row>
    <row r="2033" spans="2:14" x14ac:dyDescent="0.25">
      <c r="B2033" s="82">
        <f>SUBTOTAL(103,$D$8:D2033)</f>
        <v>2026</v>
      </c>
      <c r="C2033" s="83" t="s">
        <v>2031</v>
      </c>
      <c r="D2033" s="84">
        <v>0</v>
      </c>
      <c r="E2033" s="85" t="str">
        <f t="shared" si="219"/>
        <v/>
      </c>
      <c r="F2033" s="106" t="str">
        <f t="shared" si="225"/>
        <v/>
      </c>
      <c r="G2033" s="86"/>
      <c r="H2033" s="107">
        <f t="shared" si="220"/>
        <v>0</v>
      </c>
      <c r="I2033" s="107">
        <f t="shared" si="221"/>
        <v>0</v>
      </c>
      <c r="J2033" s="87">
        <f>IF($D2033&gt;0,IFERROR(Параметры!$D$42*$H2033/$H$2408,0),0)</f>
        <v>0</v>
      </c>
      <c r="K2033" s="87">
        <f>IFERROR(ROUND($N2033*Параметры!$D$36,2),0)</f>
        <v>0</v>
      </c>
      <c r="L2033" s="87">
        <f t="shared" si="222"/>
        <v>0</v>
      </c>
      <c r="M2033" s="87">
        <f t="shared" si="223"/>
        <v>0</v>
      </c>
      <c r="N2033" s="107" t="str">
        <f t="shared" si="224"/>
        <v/>
      </c>
    </row>
    <row r="2034" spans="2:14" x14ac:dyDescent="0.25">
      <c r="B2034" s="82">
        <f>SUBTOTAL(103,$D$8:D2034)</f>
        <v>2027</v>
      </c>
      <c r="C2034" s="83" t="s">
        <v>2032</v>
      </c>
      <c r="D2034" s="84">
        <v>0</v>
      </c>
      <c r="E2034" s="85" t="str">
        <f t="shared" si="219"/>
        <v/>
      </c>
      <c r="F2034" s="106" t="str">
        <f t="shared" si="225"/>
        <v/>
      </c>
      <c r="G2034" s="86"/>
      <c r="H2034" s="107">
        <f t="shared" si="220"/>
        <v>0</v>
      </c>
      <c r="I2034" s="107">
        <f t="shared" si="221"/>
        <v>0</v>
      </c>
      <c r="J2034" s="87">
        <f>IF($D2034&gt;0,IFERROR(Параметры!$D$42*$H2034/$H$2408,0),0)</f>
        <v>0</v>
      </c>
      <c r="K2034" s="87">
        <f>IFERROR(ROUND($N2034*Параметры!$D$36,2),0)</f>
        <v>0</v>
      </c>
      <c r="L2034" s="87">
        <f t="shared" si="222"/>
        <v>0</v>
      </c>
      <c r="M2034" s="87">
        <f t="shared" si="223"/>
        <v>0</v>
      </c>
      <c r="N2034" s="107" t="str">
        <f t="shared" si="224"/>
        <v/>
      </c>
    </row>
    <row r="2035" spans="2:14" x14ac:dyDescent="0.25">
      <c r="B2035" s="82">
        <f>SUBTOTAL(103,$D$8:D2035)</f>
        <v>2028</v>
      </c>
      <c r="C2035" s="83" t="s">
        <v>2033</v>
      </c>
      <c r="D2035" s="84">
        <v>0</v>
      </c>
      <c r="E2035" s="85" t="str">
        <f t="shared" si="219"/>
        <v/>
      </c>
      <c r="F2035" s="106" t="str">
        <f t="shared" si="225"/>
        <v/>
      </c>
      <c r="G2035" s="86"/>
      <c r="H2035" s="107">
        <f t="shared" si="220"/>
        <v>0</v>
      </c>
      <c r="I2035" s="107">
        <f t="shared" si="221"/>
        <v>0</v>
      </c>
      <c r="J2035" s="87">
        <f>IF($D2035&gt;0,IFERROR(Параметры!$D$42*$H2035/$H$2408,0),0)</f>
        <v>0</v>
      </c>
      <c r="K2035" s="87">
        <f>IFERROR(ROUND($N2035*Параметры!$D$36,2),0)</f>
        <v>0</v>
      </c>
      <c r="L2035" s="87">
        <f t="shared" si="222"/>
        <v>0</v>
      </c>
      <c r="M2035" s="87">
        <f t="shared" si="223"/>
        <v>0</v>
      </c>
      <c r="N2035" s="107" t="str">
        <f t="shared" si="224"/>
        <v/>
      </c>
    </row>
    <row r="2036" spans="2:14" x14ac:dyDescent="0.25">
      <c r="B2036" s="82">
        <f>SUBTOTAL(103,$D$8:D2036)</f>
        <v>2029</v>
      </c>
      <c r="C2036" s="83" t="s">
        <v>2034</v>
      </c>
      <c r="D2036" s="84">
        <v>0</v>
      </c>
      <c r="E2036" s="85" t="str">
        <f t="shared" si="219"/>
        <v/>
      </c>
      <c r="F2036" s="106" t="str">
        <f t="shared" si="225"/>
        <v/>
      </c>
      <c r="G2036" s="86"/>
      <c r="H2036" s="107">
        <f t="shared" si="220"/>
        <v>0</v>
      </c>
      <c r="I2036" s="107">
        <f t="shared" si="221"/>
        <v>0</v>
      </c>
      <c r="J2036" s="87">
        <f>IF($D2036&gt;0,IFERROR(Параметры!$D$42*$H2036/$H$2408,0),0)</f>
        <v>0</v>
      </c>
      <c r="K2036" s="87">
        <f>IFERROR(ROUND($N2036*Параметры!$D$36,2),0)</f>
        <v>0</v>
      </c>
      <c r="L2036" s="87">
        <f t="shared" si="222"/>
        <v>0</v>
      </c>
      <c r="M2036" s="87">
        <f t="shared" si="223"/>
        <v>0</v>
      </c>
      <c r="N2036" s="107" t="str">
        <f t="shared" si="224"/>
        <v/>
      </c>
    </row>
    <row r="2037" spans="2:14" x14ac:dyDescent="0.25">
      <c r="B2037" s="82">
        <f>SUBTOTAL(103,$D$8:D2037)</f>
        <v>2030</v>
      </c>
      <c r="C2037" s="83" t="s">
        <v>2035</v>
      </c>
      <c r="D2037" s="84">
        <v>0</v>
      </c>
      <c r="E2037" s="85" t="str">
        <f t="shared" si="219"/>
        <v/>
      </c>
      <c r="F2037" s="106" t="str">
        <f t="shared" si="225"/>
        <v/>
      </c>
      <c r="G2037" s="86"/>
      <c r="H2037" s="107">
        <f t="shared" si="220"/>
        <v>0</v>
      </c>
      <c r="I2037" s="107">
        <f t="shared" si="221"/>
        <v>0</v>
      </c>
      <c r="J2037" s="87">
        <f>IF($D2037&gt;0,IFERROR(Параметры!$D$42*$H2037/$H$2408,0),0)</f>
        <v>0</v>
      </c>
      <c r="K2037" s="87">
        <f>IFERROR(ROUND($N2037*Параметры!$D$36,2),0)</f>
        <v>0</v>
      </c>
      <c r="L2037" s="87">
        <f t="shared" si="222"/>
        <v>0</v>
      </c>
      <c r="M2037" s="87">
        <f t="shared" si="223"/>
        <v>0</v>
      </c>
      <c r="N2037" s="107" t="str">
        <f t="shared" si="224"/>
        <v/>
      </c>
    </row>
    <row r="2038" spans="2:14" x14ac:dyDescent="0.25">
      <c r="B2038" s="82">
        <f>SUBTOTAL(103,$D$8:D2038)</f>
        <v>2031</v>
      </c>
      <c r="C2038" s="83" t="s">
        <v>2036</v>
      </c>
      <c r="D2038" s="84">
        <v>0</v>
      </c>
      <c r="E2038" s="85" t="str">
        <f t="shared" si="219"/>
        <v/>
      </c>
      <c r="F2038" s="106" t="str">
        <f t="shared" si="225"/>
        <v/>
      </c>
      <c r="G2038" s="86"/>
      <c r="H2038" s="107">
        <f t="shared" si="220"/>
        <v>0</v>
      </c>
      <c r="I2038" s="107">
        <f t="shared" si="221"/>
        <v>0</v>
      </c>
      <c r="J2038" s="87">
        <f>IF($D2038&gt;0,IFERROR(Параметры!$D$42*$H2038/$H$2408,0),0)</f>
        <v>0</v>
      </c>
      <c r="K2038" s="87">
        <f>IFERROR(ROUND($N2038*Параметры!$D$36,2),0)</f>
        <v>0</v>
      </c>
      <c r="L2038" s="87">
        <f t="shared" si="222"/>
        <v>0</v>
      </c>
      <c r="M2038" s="87">
        <f t="shared" si="223"/>
        <v>0</v>
      </c>
      <c r="N2038" s="107" t="str">
        <f t="shared" si="224"/>
        <v/>
      </c>
    </row>
    <row r="2039" spans="2:14" x14ac:dyDescent="0.25">
      <c r="B2039" s="82">
        <f>SUBTOTAL(103,$D$8:D2039)</f>
        <v>2032</v>
      </c>
      <c r="C2039" s="83" t="s">
        <v>2037</v>
      </c>
      <c r="D2039" s="84">
        <v>0</v>
      </c>
      <c r="E2039" s="85" t="str">
        <f t="shared" si="219"/>
        <v/>
      </c>
      <c r="F2039" s="106" t="str">
        <f t="shared" si="225"/>
        <v/>
      </c>
      <c r="G2039" s="86"/>
      <c r="H2039" s="107">
        <f t="shared" si="220"/>
        <v>0</v>
      </c>
      <c r="I2039" s="107">
        <f t="shared" si="221"/>
        <v>0</v>
      </c>
      <c r="J2039" s="87">
        <f>IF($D2039&gt;0,IFERROR(Параметры!$D$42*$H2039/$H$2408,0),0)</f>
        <v>0</v>
      </c>
      <c r="K2039" s="87">
        <f>IFERROR(ROUND($N2039*Параметры!$D$36,2),0)</f>
        <v>0</v>
      </c>
      <c r="L2039" s="87">
        <f t="shared" si="222"/>
        <v>0</v>
      </c>
      <c r="M2039" s="87">
        <f t="shared" si="223"/>
        <v>0</v>
      </c>
      <c r="N2039" s="107" t="str">
        <f t="shared" si="224"/>
        <v/>
      </c>
    </row>
    <row r="2040" spans="2:14" x14ac:dyDescent="0.25">
      <c r="B2040" s="82">
        <f>SUBTOTAL(103,$D$8:D2040)</f>
        <v>2033</v>
      </c>
      <c r="C2040" s="83" t="s">
        <v>2038</v>
      </c>
      <c r="D2040" s="84">
        <v>0</v>
      </c>
      <c r="E2040" s="85" t="str">
        <f t="shared" si="219"/>
        <v/>
      </c>
      <c r="F2040" s="106" t="str">
        <f t="shared" si="225"/>
        <v/>
      </c>
      <c r="G2040" s="86"/>
      <c r="H2040" s="107">
        <f t="shared" si="220"/>
        <v>0</v>
      </c>
      <c r="I2040" s="107">
        <f t="shared" si="221"/>
        <v>0</v>
      </c>
      <c r="J2040" s="87">
        <f>IF($D2040&gt;0,IFERROR(Параметры!$D$42*$H2040/$H$2408,0),0)</f>
        <v>0</v>
      </c>
      <c r="K2040" s="87">
        <f>IFERROR(ROUND($N2040*Параметры!$D$36,2),0)</f>
        <v>0</v>
      </c>
      <c r="L2040" s="87">
        <f t="shared" si="222"/>
        <v>0</v>
      </c>
      <c r="M2040" s="87">
        <f t="shared" si="223"/>
        <v>0</v>
      </c>
      <c r="N2040" s="107" t="str">
        <f t="shared" si="224"/>
        <v/>
      </c>
    </row>
    <row r="2041" spans="2:14" x14ac:dyDescent="0.25">
      <c r="B2041" s="82">
        <f>SUBTOTAL(103,$D$8:D2041)</f>
        <v>2034</v>
      </c>
      <c r="C2041" s="83" t="s">
        <v>2039</v>
      </c>
      <c r="D2041" s="84">
        <v>0</v>
      </c>
      <c r="E2041" s="85" t="str">
        <f t="shared" si="219"/>
        <v/>
      </c>
      <c r="F2041" s="106" t="str">
        <f t="shared" si="225"/>
        <v/>
      </c>
      <c r="G2041" s="86"/>
      <c r="H2041" s="107">
        <f t="shared" si="220"/>
        <v>0</v>
      </c>
      <c r="I2041" s="107">
        <f t="shared" si="221"/>
        <v>0</v>
      </c>
      <c r="J2041" s="87">
        <f>IF($D2041&gt;0,IFERROR(Параметры!$D$42*$H2041/$H$2408,0),0)</f>
        <v>0</v>
      </c>
      <c r="K2041" s="87">
        <f>IFERROR(ROUND($N2041*Параметры!$D$36,2),0)</f>
        <v>0</v>
      </c>
      <c r="L2041" s="87">
        <f t="shared" si="222"/>
        <v>0</v>
      </c>
      <c r="M2041" s="87">
        <f t="shared" si="223"/>
        <v>0</v>
      </c>
      <c r="N2041" s="107" t="str">
        <f t="shared" si="224"/>
        <v/>
      </c>
    </row>
    <row r="2042" spans="2:14" x14ac:dyDescent="0.25">
      <c r="B2042" s="82">
        <f>SUBTOTAL(103,$D$8:D2042)</f>
        <v>2035</v>
      </c>
      <c r="C2042" s="83" t="s">
        <v>2040</v>
      </c>
      <c r="D2042" s="84">
        <v>0</v>
      </c>
      <c r="E2042" s="85" t="str">
        <f t="shared" si="219"/>
        <v/>
      </c>
      <c r="F2042" s="106" t="str">
        <f t="shared" si="225"/>
        <v/>
      </c>
      <c r="G2042" s="86"/>
      <c r="H2042" s="107">
        <f t="shared" si="220"/>
        <v>0</v>
      </c>
      <c r="I2042" s="107">
        <f t="shared" si="221"/>
        <v>0</v>
      </c>
      <c r="J2042" s="87">
        <f>IF($D2042&gt;0,IFERROR(Параметры!$D$42*$H2042/$H$2408,0),0)</f>
        <v>0</v>
      </c>
      <c r="K2042" s="87">
        <f>IFERROR(ROUND($N2042*Параметры!$D$36,2),0)</f>
        <v>0</v>
      </c>
      <c r="L2042" s="87">
        <f t="shared" si="222"/>
        <v>0</v>
      </c>
      <c r="M2042" s="87">
        <f t="shared" si="223"/>
        <v>0</v>
      </c>
      <c r="N2042" s="107" t="str">
        <f t="shared" si="224"/>
        <v/>
      </c>
    </row>
    <row r="2043" spans="2:14" x14ac:dyDescent="0.25">
      <c r="B2043" s="82">
        <f>SUBTOTAL(103,$D$8:D2043)</f>
        <v>2036</v>
      </c>
      <c r="C2043" s="83" t="s">
        <v>2041</v>
      </c>
      <c r="D2043" s="84">
        <v>0</v>
      </c>
      <c r="E2043" s="85" t="str">
        <f t="shared" si="219"/>
        <v/>
      </c>
      <c r="F2043" s="106" t="str">
        <f t="shared" si="225"/>
        <v/>
      </c>
      <c r="G2043" s="86"/>
      <c r="H2043" s="107">
        <f t="shared" si="220"/>
        <v>0</v>
      </c>
      <c r="I2043" s="107">
        <f t="shared" si="221"/>
        <v>0</v>
      </c>
      <c r="J2043" s="87">
        <f>IF($D2043&gt;0,IFERROR(Параметры!$D$42*$H2043/$H$2408,0),0)</f>
        <v>0</v>
      </c>
      <c r="K2043" s="87">
        <f>IFERROR(ROUND($N2043*Параметры!$D$36,2),0)</f>
        <v>0</v>
      </c>
      <c r="L2043" s="87">
        <f t="shared" si="222"/>
        <v>0</v>
      </c>
      <c r="M2043" s="87">
        <f t="shared" si="223"/>
        <v>0</v>
      </c>
      <c r="N2043" s="107" t="str">
        <f t="shared" si="224"/>
        <v/>
      </c>
    </row>
    <row r="2044" spans="2:14" x14ac:dyDescent="0.25">
      <c r="B2044" s="82">
        <f>SUBTOTAL(103,$D$8:D2044)</f>
        <v>2037</v>
      </c>
      <c r="C2044" s="83" t="s">
        <v>2042</v>
      </c>
      <c r="D2044" s="84">
        <v>0</v>
      </c>
      <c r="E2044" s="85" t="str">
        <f t="shared" si="219"/>
        <v/>
      </c>
      <c r="F2044" s="106" t="str">
        <f t="shared" si="225"/>
        <v/>
      </c>
      <c r="G2044" s="86"/>
      <c r="H2044" s="107">
        <f t="shared" si="220"/>
        <v>0</v>
      </c>
      <c r="I2044" s="107">
        <f t="shared" si="221"/>
        <v>0</v>
      </c>
      <c r="J2044" s="87">
        <f>IF($D2044&gt;0,IFERROR(Параметры!$D$42*$H2044/$H$2408,0),0)</f>
        <v>0</v>
      </c>
      <c r="K2044" s="87">
        <f>IFERROR(ROUND($N2044*Параметры!$D$36,2),0)</f>
        <v>0</v>
      </c>
      <c r="L2044" s="87">
        <f t="shared" si="222"/>
        <v>0</v>
      </c>
      <c r="M2044" s="87">
        <f t="shared" si="223"/>
        <v>0</v>
      </c>
      <c r="N2044" s="107" t="str">
        <f t="shared" si="224"/>
        <v/>
      </c>
    </row>
    <row r="2045" spans="2:14" x14ac:dyDescent="0.25">
      <c r="B2045" s="82">
        <f>SUBTOTAL(103,$D$8:D2045)</f>
        <v>2038</v>
      </c>
      <c r="C2045" s="83" t="s">
        <v>2043</v>
      </c>
      <c r="D2045" s="84">
        <v>0</v>
      </c>
      <c r="E2045" s="85" t="str">
        <f t="shared" si="219"/>
        <v/>
      </c>
      <c r="F2045" s="106" t="str">
        <f t="shared" si="225"/>
        <v/>
      </c>
      <c r="G2045" s="86"/>
      <c r="H2045" s="107">
        <f t="shared" si="220"/>
        <v>0</v>
      </c>
      <c r="I2045" s="107">
        <f t="shared" si="221"/>
        <v>0</v>
      </c>
      <c r="J2045" s="87">
        <f>IF($D2045&gt;0,IFERROR(Параметры!$D$42*$H2045/$H$2408,0),0)</f>
        <v>0</v>
      </c>
      <c r="K2045" s="87">
        <f>IFERROR(ROUND($N2045*Параметры!$D$36,2),0)</f>
        <v>0</v>
      </c>
      <c r="L2045" s="87">
        <f t="shared" si="222"/>
        <v>0</v>
      </c>
      <c r="M2045" s="87">
        <f t="shared" si="223"/>
        <v>0</v>
      </c>
      <c r="N2045" s="107" t="str">
        <f t="shared" si="224"/>
        <v/>
      </c>
    </row>
    <row r="2046" spans="2:14" x14ac:dyDescent="0.25">
      <c r="B2046" s="82">
        <f>SUBTOTAL(103,$D$8:D2046)</f>
        <v>2039</v>
      </c>
      <c r="C2046" s="83" t="s">
        <v>2044</v>
      </c>
      <c r="D2046" s="84">
        <v>0</v>
      </c>
      <c r="E2046" s="85" t="str">
        <f t="shared" si="219"/>
        <v/>
      </c>
      <c r="F2046" s="106" t="str">
        <f t="shared" si="225"/>
        <v/>
      </c>
      <c r="G2046" s="86"/>
      <c r="H2046" s="107">
        <f t="shared" si="220"/>
        <v>0</v>
      </c>
      <c r="I2046" s="107">
        <f t="shared" si="221"/>
        <v>0</v>
      </c>
      <c r="J2046" s="87">
        <f>IF($D2046&gt;0,IFERROR(Параметры!$D$42*$H2046/$H$2408,0),0)</f>
        <v>0</v>
      </c>
      <c r="K2046" s="87">
        <f>IFERROR(ROUND($N2046*Параметры!$D$36,2),0)</f>
        <v>0</v>
      </c>
      <c r="L2046" s="87">
        <f t="shared" si="222"/>
        <v>0</v>
      </c>
      <c r="M2046" s="87">
        <f t="shared" si="223"/>
        <v>0</v>
      </c>
      <c r="N2046" s="107" t="str">
        <f t="shared" si="224"/>
        <v/>
      </c>
    </row>
    <row r="2047" spans="2:14" x14ac:dyDescent="0.25">
      <c r="B2047" s="82">
        <f>SUBTOTAL(103,$D$8:D2047)</f>
        <v>2040</v>
      </c>
      <c r="C2047" s="83" t="s">
        <v>2045</v>
      </c>
      <c r="D2047" s="84">
        <v>0</v>
      </c>
      <c r="E2047" s="85" t="str">
        <f t="shared" si="219"/>
        <v/>
      </c>
      <c r="F2047" s="106" t="str">
        <f t="shared" si="225"/>
        <v/>
      </c>
      <c r="G2047" s="86"/>
      <c r="H2047" s="107">
        <f t="shared" si="220"/>
        <v>0</v>
      </c>
      <c r="I2047" s="107">
        <f t="shared" si="221"/>
        <v>0</v>
      </c>
      <c r="J2047" s="87">
        <f>IF($D2047&gt;0,IFERROR(Параметры!$D$42*$H2047/$H$2408,0),0)</f>
        <v>0</v>
      </c>
      <c r="K2047" s="87">
        <f>IFERROR(ROUND($N2047*Параметры!$D$36,2),0)</f>
        <v>0</v>
      </c>
      <c r="L2047" s="87">
        <f t="shared" si="222"/>
        <v>0</v>
      </c>
      <c r="M2047" s="87">
        <f t="shared" si="223"/>
        <v>0</v>
      </c>
      <c r="N2047" s="107" t="str">
        <f t="shared" si="224"/>
        <v/>
      </c>
    </row>
    <row r="2048" spans="2:14" x14ac:dyDescent="0.25">
      <c r="B2048" s="82">
        <f>SUBTOTAL(103,$D$8:D2048)</f>
        <v>2041</v>
      </c>
      <c r="C2048" s="83" t="s">
        <v>2046</v>
      </c>
      <c r="D2048" s="84">
        <f t="array" ref="D2048:D2107">TRANSPOSE('Зарядная карта'!$C$39:$BJ$39)</f>
        <v>0</v>
      </c>
      <c r="E2048" s="85" t="str">
        <f t="shared" si="219"/>
        <v/>
      </c>
      <c r="F2048" s="106" t="str">
        <f t="shared" si="225"/>
        <v/>
      </c>
      <c r="G2048" s="86"/>
      <c r="H2048" s="107">
        <f t="shared" si="220"/>
        <v>0</v>
      </c>
      <c r="I2048" s="107">
        <f t="shared" si="221"/>
        <v>0</v>
      </c>
      <c r="J2048" s="87">
        <f>IF($D2048&gt;0,IFERROR(Параметры!$D$42*$H2048/$H$2408,0),0)</f>
        <v>0</v>
      </c>
      <c r="K2048" s="87">
        <f>IFERROR(ROUND($N2048*Параметры!$D$36,2),0)</f>
        <v>0</v>
      </c>
      <c r="L2048" s="87">
        <f t="shared" si="222"/>
        <v>0</v>
      </c>
      <c r="M2048" s="87">
        <f t="shared" si="223"/>
        <v>0</v>
      </c>
      <c r="N2048" s="107" t="str">
        <f t="shared" si="224"/>
        <v/>
      </c>
    </row>
    <row r="2049" spans="2:14" x14ac:dyDescent="0.25">
      <c r="B2049" s="82">
        <f>SUBTOTAL(103,$D$8:D2049)</f>
        <v>2042</v>
      </c>
      <c r="C2049" s="83" t="s">
        <v>2047</v>
      </c>
      <c r="D2049" s="84">
        <v>0</v>
      </c>
      <c r="E2049" s="85" t="str">
        <f t="shared" si="219"/>
        <v/>
      </c>
      <c r="F2049" s="106" t="str">
        <f t="shared" si="225"/>
        <v/>
      </c>
      <c r="G2049" s="86"/>
      <c r="H2049" s="107">
        <f t="shared" si="220"/>
        <v>0</v>
      </c>
      <c r="I2049" s="107">
        <f t="shared" si="221"/>
        <v>0</v>
      </c>
      <c r="J2049" s="87">
        <f>IF($D2049&gt;0,IFERROR(Параметры!$D$42*$H2049/$H$2408,0),0)</f>
        <v>0</v>
      </c>
      <c r="K2049" s="87">
        <f>IFERROR(ROUND($N2049*Параметры!$D$36,2),0)</f>
        <v>0</v>
      </c>
      <c r="L2049" s="87">
        <f t="shared" si="222"/>
        <v>0</v>
      </c>
      <c r="M2049" s="87">
        <f t="shared" si="223"/>
        <v>0</v>
      </c>
      <c r="N2049" s="107" t="str">
        <f t="shared" si="224"/>
        <v/>
      </c>
    </row>
    <row r="2050" spans="2:14" x14ac:dyDescent="0.25">
      <c r="B2050" s="82">
        <f>SUBTOTAL(103,$D$8:D2050)</f>
        <v>2043</v>
      </c>
      <c r="C2050" s="83" t="s">
        <v>2048</v>
      </c>
      <c r="D2050" s="84">
        <v>0</v>
      </c>
      <c r="E2050" s="85" t="str">
        <f t="shared" si="219"/>
        <v/>
      </c>
      <c r="F2050" s="106" t="str">
        <f t="shared" si="225"/>
        <v/>
      </c>
      <c r="G2050" s="86"/>
      <c r="H2050" s="107">
        <f t="shared" si="220"/>
        <v>0</v>
      </c>
      <c r="I2050" s="107">
        <f t="shared" si="221"/>
        <v>0</v>
      </c>
      <c r="J2050" s="87">
        <f>IF($D2050&gt;0,IFERROR(Параметры!$D$42*$H2050/$H$2408,0),0)</f>
        <v>0</v>
      </c>
      <c r="K2050" s="87">
        <f>IFERROR(ROUND($N2050*Параметры!$D$36,2),0)</f>
        <v>0</v>
      </c>
      <c r="L2050" s="87">
        <f t="shared" si="222"/>
        <v>0</v>
      </c>
      <c r="M2050" s="87">
        <f t="shared" si="223"/>
        <v>0</v>
      </c>
      <c r="N2050" s="107" t="str">
        <f t="shared" si="224"/>
        <v/>
      </c>
    </row>
    <row r="2051" spans="2:14" x14ac:dyDescent="0.25">
      <c r="B2051" s="82">
        <f>SUBTOTAL(103,$D$8:D2051)</f>
        <v>2044</v>
      </c>
      <c r="C2051" s="83" t="s">
        <v>2049</v>
      </c>
      <c r="D2051" s="84">
        <v>0</v>
      </c>
      <c r="E2051" s="85" t="str">
        <f t="shared" si="219"/>
        <v/>
      </c>
      <c r="F2051" s="106" t="str">
        <f t="shared" si="225"/>
        <v/>
      </c>
      <c r="G2051" s="86"/>
      <c r="H2051" s="107">
        <f t="shared" si="220"/>
        <v>0</v>
      </c>
      <c r="I2051" s="107">
        <f t="shared" si="221"/>
        <v>0</v>
      </c>
      <c r="J2051" s="87">
        <f>IF($D2051&gt;0,IFERROR(Параметры!$D$42*$H2051/$H$2408,0),0)</f>
        <v>0</v>
      </c>
      <c r="K2051" s="87">
        <f>IFERROR(ROUND($N2051*Параметры!$D$36,2),0)</f>
        <v>0</v>
      </c>
      <c r="L2051" s="87">
        <f t="shared" si="222"/>
        <v>0</v>
      </c>
      <c r="M2051" s="87">
        <f t="shared" si="223"/>
        <v>0</v>
      </c>
      <c r="N2051" s="107" t="str">
        <f t="shared" si="224"/>
        <v/>
      </c>
    </row>
    <row r="2052" spans="2:14" x14ac:dyDescent="0.25">
      <c r="B2052" s="82">
        <f>SUBTOTAL(103,$D$8:D2052)</f>
        <v>2045</v>
      </c>
      <c r="C2052" s="83" t="s">
        <v>2050</v>
      </c>
      <c r="D2052" s="84">
        <v>0</v>
      </c>
      <c r="E2052" s="85" t="str">
        <f t="shared" si="219"/>
        <v/>
      </c>
      <c r="F2052" s="106" t="str">
        <f t="shared" si="225"/>
        <v/>
      </c>
      <c r="G2052" s="86"/>
      <c r="H2052" s="107">
        <f t="shared" si="220"/>
        <v>0</v>
      </c>
      <c r="I2052" s="107">
        <f t="shared" si="221"/>
        <v>0</v>
      </c>
      <c r="J2052" s="87">
        <f>IF($D2052&gt;0,IFERROR(Параметры!$D$42*$H2052/$H$2408,0),0)</f>
        <v>0</v>
      </c>
      <c r="K2052" s="87">
        <f>IFERROR(ROUND($N2052*Параметры!$D$36,2),0)</f>
        <v>0</v>
      </c>
      <c r="L2052" s="87">
        <f t="shared" si="222"/>
        <v>0</v>
      </c>
      <c r="M2052" s="87">
        <f t="shared" si="223"/>
        <v>0</v>
      </c>
      <c r="N2052" s="107" t="str">
        <f t="shared" si="224"/>
        <v/>
      </c>
    </row>
    <row r="2053" spans="2:14" x14ac:dyDescent="0.25">
      <c r="B2053" s="82">
        <f>SUBTOTAL(103,$D$8:D2053)</f>
        <v>2046</v>
      </c>
      <c r="C2053" s="83" t="s">
        <v>2051</v>
      </c>
      <c r="D2053" s="84">
        <v>0</v>
      </c>
      <c r="E2053" s="85" t="str">
        <f t="shared" si="219"/>
        <v/>
      </c>
      <c r="F2053" s="106" t="str">
        <f t="shared" si="225"/>
        <v/>
      </c>
      <c r="G2053" s="86"/>
      <c r="H2053" s="107">
        <f t="shared" si="220"/>
        <v>0</v>
      </c>
      <c r="I2053" s="107">
        <f t="shared" si="221"/>
        <v>0</v>
      </c>
      <c r="J2053" s="87">
        <f>IF($D2053&gt;0,IFERROR(Параметры!$D$42*$H2053/$H$2408,0),0)</f>
        <v>0</v>
      </c>
      <c r="K2053" s="87">
        <f>IFERROR(ROUND($N2053*Параметры!$D$36,2),0)</f>
        <v>0</v>
      </c>
      <c r="L2053" s="87">
        <f t="shared" si="222"/>
        <v>0</v>
      </c>
      <c r="M2053" s="87">
        <f t="shared" si="223"/>
        <v>0</v>
      </c>
      <c r="N2053" s="107" t="str">
        <f t="shared" si="224"/>
        <v/>
      </c>
    </row>
    <row r="2054" spans="2:14" x14ac:dyDescent="0.25">
      <c r="B2054" s="82">
        <f>SUBTOTAL(103,$D$8:D2054)</f>
        <v>2047</v>
      </c>
      <c r="C2054" s="83" t="s">
        <v>2052</v>
      </c>
      <c r="D2054" s="84">
        <v>0</v>
      </c>
      <c r="E2054" s="85" t="str">
        <f t="shared" si="219"/>
        <v/>
      </c>
      <c r="F2054" s="106" t="str">
        <f t="shared" si="225"/>
        <v/>
      </c>
      <c r="G2054" s="86"/>
      <c r="H2054" s="107">
        <f t="shared" si="220"/>
        <v>0</v>
      </c>
      <c r="I2054" s="107">
        <f t="shared" si="221"/>
        <v>0</v>
      </c>
      <c r="J2054" s="87">
        <f>IF($D2054&gt;0,IFERROR(Параметры!$D$42*$H2054/$H$2408,0),0)</f>
        <v>0</v>
      </c>
      <c r="K2054" s="87">
        <f>IFERROR(ROUND($N2054*Параметры!$D$36,2),0)</f>
        <v>0</v>
      </c>
      <c r="L2054" s="87">
        <f t="shared" si="222"/>
        <v>0</v>
      </c>
      <c r="M2054" s="87">
        <f t="shared" si="223"/>
        <v>0</v>
      </c>
      <c r="N2054" s="107" t="str">
        <f t="shared" si="224"/>
        <v/>
      </c>
    </row>
    <row r="2055" spans="2:14" x14ac:dyDescent="0.25">
      <c r="B2055" s="82">
        <f>SUBTOTAL(103,$D$8:D2055)</f>
        <v>2048</v>
      </c>
      <c r="C2055" s="83" t="s">
        <v>2053</v>
      </c>
      <c r="D2055" s="84">
        <v>0</v>
      </c>
      <c r="E2055" s="85" t="str">
        <f t="shared" si="219"/>
        <v/>
      </c>
      <c r="F2055" s="106" t="str">
        <f t="shared" si="225"/>
        <v/>
      </c>
      <c r="G2055" s="86"/>
      <c r="H2055" s="107">
        <f t="shared" si="220"/>
        <v>0</v>
      </c>
      <c r="I2055" s="107">
        <f t="shared" si="221"/>
        <v>0</v>
      </c>
      <c r="J2055" s="87">
        <f>IF($D2055&gt;0,IFERROR(Параметры!$D$42*$H2055/$H$2408,0),0)</f>
        <v>0</v>
      </c>
      <c r="K2055" s="87">
        <f>IFERROR(ROUND($N2055*Параметры!$D$36,2),0)</f>
        <v>0</v>
      </c>
      <c r="L2055" s="87">
        <f t="shared" si="222"/>
        <v>0</v>
      </c>
      <c r="M2055" s="87">
        <f t="shared" si="223"/>
        <v>0</v>
      </c>
      <c r="N2055" s="107" t="str">
        <f t="shared" si="224"/>
        <v/>
      </c>
    </row>
    <row r="2056" spans="2:14" x14ac:dyDescent="0.25">
      <c r="B2056" s="82">
        <f>SUBTOTAL(103,$D$8:D2056)</f>
        <v>2049</v>
      </c>
      <c r="C2056" s="83" t="s">
        <v>2054</v>
      </c>
      <c r="D2056" s="84">
        <v>0</v>
      </c>
      <c r="E2056" s="85" t="str">
        <f t="shared" ref="E2056:E2119" si="226">IF($D2056&lt;1,"",$K2056+$L2056)</f>
        <v/>
      </c>
      <c r="F2056" s="106" t="str">
        <f t="shared" si="225"/>
        <v/>
      </c>
      <c r="G2056" s="86"/>
      <c r="H2056" s="107">
        <f t="shared" ref="H2056:H2119" si="227">IF($D2056&gt;0,$D2056*КИС,0)</f>
        <v>0</v>
      </c>
      <c r="I2056" s="107">
        <f t="shared" ref="I2056:I2119" si="228">IF($D2056&gt;0,$D2056-$H2056,0)</f>
        <v>0</v>
      </c>
      <c r="J2056" s="87">
        <f>IF($D2056&gt;0,IFERROR(Параметры!$D$42*$H2056/$H$2408,0),0)</f>
        <v>0</v>
      </c>
      <c r="K2056" s="87">
        <f>IFERROR(ROUND($N2056*Параметры!$D$36,2),0)</f>
        <v>0</v>
      </c>
      <c r="L2056" s="87">
        <f t="shared" ref="L2056:L2119" si="229">IF($K2056&gt;0,$K2056*0.055,0)</f>
        <v>0</v>
      </c>
      <c r="M2056" s="87">
        <f t="shared" ref="M2056:M2119" si="230">IFERROR($L2056/Плотность_ДТ,0)</f>
        <v>0</v>
      </c>
      <c r="N2056" s="107" t="str">
        <f t="shared" ref="N2056:N2119" si="231">IF($D2056&gt;0,MAX(0,$D2056-IF($F2056="",0,$F2056)),"")</f>
        <v/>
      </c>
    </row>
    <row r="2057" spans="2:14" x14ac:dyDescent="0.25">
      <c r="B2057" s="82">
        <f>SUBTOTAL(103,$D$8:D2057)</f>
        <v>2050</v>
      </c>
      <c r="C2057" s="83" t="s">
        <v>2055</v>
      </c>
      <c r="D2057" s="84">
        <v>0</v>
      </c>
      <c r="E2057" s="85" t="str">
        <f t="shared" si="226"/>
        <v/>
      </c>
      <c r="F2057" s="106" t="str">
        <f t="shared" si="225"/>
        <v/>
      </c>
      <c r="G2057" s="86"/>
      <c r="H2057" s="107">
        <f t="shared" si="227"/>
        <v>0</v>
      </c>
      <c r="I2057" s="107">
        <f t="shared" si="228"/>
        <v>0</v>
      </c>
      <c r="J2057" s="87">
        <f>IF($D2057&gt;0,IFERROR(Параметры!$D$42*$H2057/$H$2408,0),0)</f>
        <v>0</v>
      </c>
      <c r="K2057" s="87">
        <f>IFERROR(ROUND($N2057*Параметры!$D$36,2),0)</f>
        <v>0</v>
      </c>
      <c r="L2057" s="87">
        <f t="shared" si="229"/>
        <v>0</v>
      </c>
      <c r="M2057" s="87">
        <f t="shared" si="230"/>
        <v>0</v>
      </c>
      <c r="N2057" s="107" t="str">
        <f t="shared" si="231"/>
        <v/>
      </c>
    </row>
    <row r="2058" spans="2:14" x14ac:dyDescent="0.25">
      <c r="B2058" s="82">
        <f>SUBTOTAL(103,$D$8:D2058)</f>
        <v>2051</v>
      </c>
      <c r="C2058" s="83" t="s">
        <v>2056</v>
      </c>
      <c r="D2058" s="84">
        <v>0</v>
      </c>
      <c r="E2058" s="85" t="str">
        <f t="shared" si="226"/>
        <v/>
      </c>
      <c r="F2058" s="106" t="str">
        <f t="shared" si="225"/>
        <v/>
      </c>
      <c r="G2058" s="86"/>
      <c r="H2058" s="107">
        <f t="shared" si="227"/>
        <v>0</v>
      </c>
      <c r="I2058" s="107">
        <f t="shared" si="228"/>
        <v>0</v>
      </c>
      <c r="J2058" s="87">
        <f>IF($D2058&gt;0,IFERROR(Параметры!$D$42*$H2058/$H$2408,0),0)</f>
        <v>0</v>
      </c>
      <c r="K2058" s="87">
        <f>IFERROR(ROUND($N2058*Параметры!$D$36,2),0)</f>
        <v>0</v>
      </c>
      <c r="L2058" s="87">
        <f t="shared" si="229"/>
        <v>0</v>
      </c>
      <c r="M2058" s="87">
        <f t="shared" si="230"/>
        <v>0</v>
      </c>
      <c r="N2058" s="107" t="str">
        <f t="shared" si="231"/>
        <v/>
      </c>
    </row>
    <row r="2059" spans="2:14" x14ac:dyDescent="0.25">
      <c r="B2059" s="82">
        <f>SUBTOTAL(103,$D$8:D2059)</f>
        <v>2052</v>
      </c>
      <c r="C2059" s="83" t="s">
        <v>2057</v>
      </c>
      <c r="D2059" s="84">
        <v>0</v>
      </c>
      <c r="E2059" s="85" t="str">
        <f t="shared" si="226"/>
        <v/>
      </c>
      <c r="F2059" s="106" t="str">
        <f t="shared" ref="F2059:F2122" si="232">IF(D2059&gt;0,2,"")</f>
        <v/>
      </c>
      <c r="G2059" s="86"/>
      <c r="H2059" s="107">
        <f t="shared" si="227"/>
        <v>0</v>
      </c>
      <c r="I2059" s="107">
        <f t="shared" si="228"/>
        <v>0</v>
      </c>
      <c r="J2059" s="87">
        <f>IF($D2059&gt;0,IFERROR(Параметры!$D$42*$H2059/$H$2408,0),0)</f>
        <v>0</v>
      </c>
      <c r="K2059" s="87">
        <f>IFERROR(ROUND($N2059*Параметры!$D$36,2),0)</f>
        <v>0</v>
      </c>
      <c r="L2059" s="87">
        <f t="shared" si="229"/>
        <v>0</v>
      </c>
      <c r="M2059" s="87">
        <f t="shared" si="230"/>
        <v>0</v>
      </c>
      <c r="N2059" s="107" t="str">
        <f t="shared" si="231"/>
        <v/>
      </c>
    </row>
    <row r="2060" spans="2:14" x14ac:dyDescent="0.25">
      <c r="B2060" s="82">
        <f>SUBTOTAL(103,$D$8:D2060)</f>
        <v>2053</v>
      </c>
      <c r="C2060" s="83" t="s">
        <v>2058</v>
      </c>
      <c r="D2060" s="84">
        <v>0</v>
      </c>
      <c r="E2060" s="85" t="str">
        <f t="shared" si="226"/>
        <v/>
      </c>
      <c r="F2060" s="106" t="str">
        <f t="shared" si="232"/>
        <v/>
      </c>
      <c r="G2060" s="86"/>
      <c r="H2060" s="107">
        <f t="shared" si="227"/>
        <v>0</v>
      </c>
      <c r="I2060" s="107">
        <f t="shared" si="228"/>
        <v>0</v>
      </c>
      <c r="J2060" s="87">
        <f>IF($D2060&gt;0,IFERROR(Параметры!$D$42*$H2060/$H$2408,0),0)</f>
        <v>0</v>
      </c>
      <c r="K2060" s="87">
        <f>IFERROR(ROUND($N2060*Параметры!$D$36,2),0)</f>
        <v>0</v>
      </c>
      <c r="L2060" s="87">
        <f t="shared" si="229"/>
        <v>0</v>
      </c>
      <c r="M2060" s="87">
        <f t="shared" si="230"/>
        <v>0</v>
      </c>
      <c r="N2060" s="107" t="str">
        <f t="shared" si="231"/>
        <v/>
      </c>
    </row>
    <row r="2061" spans="2:14" x14ac:dyDescent="0.25">
      <c r="B2061" s="82">
        <f>SUBTOTAL(103,$D$8:D2061)</f>
        <v>2054</v>
      </c>
      <c r="C2061" s="83" t="s">
        <v>2059</v>
      </c>
      <c r="D2061" s="84">
        <v>0</v>
      </c>
      <c r="E2061" s="85" t="str">
        <f t="shared" si="226"/>
        <v/>
      </c>
      <c r="F2061" s="106" t="str">
        <f t="shared" si="232"/>
        <v/>
      </c>
      <c r="G2061" s="86"/>
      <c r="H2061" s="107">
        <f t="shared" si="227"/>
        <v>0</v>
      </c>
      <c r="I2061" s="107">
        <f t="shared" si="228"/>
        <v>0</v>
      </c>
      <c r="J2061" s="87">
        <f>IF($D2061&gt;0,IFERROR(Параметры!$D$42*$H2061/$H$2408,0),0)</f>
        <v>0</v>
      </c>
      <c r="K2061" s="87">
        <f>IFERROR(ROUND($N2061*Параметры!$D$36,2),0)</f>
        <v>0</v>
      </c>
      <c r="L2061" s="87">
        <f t="shared" si="229"/>
        <v>0</v>
      </c>
      <c r="M2061" s="87">
        <f t="shared" si="230"/>
        <v>0</v>
      </c>
      <c r="N2061" s="107" t="str">
        <f t="shared" si="231"/>
        <v/>
      </c>
    </row>
    <row r="2062" spans="2:14" x14ac:dyDescent="0.25">
      <c r="B2062" s="82">
        <f>SUBTOTAL(103,$D$8:D2062)</f>
        <v>2055</v>
      </c>
      <c r="C2062" s="83" t="s">
        <v>2060</v>
      </c>
      <c r="D2062" s="84">
        <v>0</v>
      </c>
      <c r="E2062" s="85" t="str">
        <f t="shared" si="226"/>
        <v/>
      </c>
      <c r="F2062" s="106" t="str">
        <f t="shared" si="232"/>
        <v/>
      </c>
      <c r="G2062" s="86"/>
      <c r="H2062" s="107">
        <f t="shared" si="227"/>
        <v>0</v>
      </c>
      <c r="I2062" s="107">
        <f t="shared" si="228"/>
        <v>0</v>
      </c>
      <c r="J2062" s="87">
        <f>IF($D2062&gt;0,IFERROR(Параметры!$D$42*$H2062/$H$2408,0),0)</f>
        <v>0</v>
      </c>
      <c r="K2062" s="87">
        <f>IFERROR(ROUND($N2062*Параметры!$D$36,2),0)</f>
        <v>0</v>
      </c>
      <c r="L2062" s="87">
        <f t="shared" si="229"/>
        <v>0</v>
      </c>
      <c r="M2062" s="87">
        <f t="shared" si="230"/>
        <v>0</v>
      </c>
      <c r="N2062" s="107" t="str">
        <f t="shared" si="231"/>
        <v/>
      </c>
    </row>
    <row r="2063" spans="2:14" x14ac:dyDescent="0.25">
      <c r="B2063" s="82">
        <f>SUBTOTAL(103,$D$8:D2063)</f>
        <v>2056</v>
      </c>
      <c r="C2063" s="83" t="s">
        <v>2061</v>
      </c>
      <c r="D2063" s="84">
        <v>0</v>
      </c>
      <c r="E2063" s="85" t="str">
        <f t="shared" si="226"/>
        <v/>
      </c>
      <c r="F2063" s="106" t="str">
        <f t="shared" si="232"/>
        <v/>
      </c>
      <c r="G2063" s="86"/>
      <c r="H2063" s="107">
        <f t="shared" si="227"/>
        <v>0</v>
      </c>
      <c r="I2063" s="107">
        <f t="shared" si="228"/>
        <v>0</v>
      </c>
      <c r="J2063" s="87">
        <f>IF($D2063&gt;0,IFERROR(Параметры!$D$42*$H2063/$H$2408,0),0)</f>
        <v>0</v>
      </c>
      <c r="K2063" s="87">
        <f>IFERROR(ROUND($N2063*Параметры!$D$36,2),0)</f>
        <v>0</v>
      </c>
      <c r="L2063" s="87">
        <f t="shared" si="229"/>
        <v>0</v>
      </c>
      <c r="M2063" s="87">
        <f t="shared" si="230"/>
        <v>0</v>
      </c>
      <c r="N2063" s="107" t="str">
        <f t="shared" si="231"/>
        <v/>
      </c>
    </row>
    <row r="2064" spans="2:14" x14ac:dyDescent="0.25">
      <c r="B2064" s="82">
        <f>SUBTOTAL(103,$D$8:D2064)</f>
        <v>2057</v>
      </c>
      <c r="C2064" s="83" t="s">
        <v>2062</v>
      </c>
      <c r="D2064" s="84">
        <v>0</v>
      </c>
      <c r="E2064" s="85" t="str">
        <f t="shared" si="226"/>
        <v/>
      </c>
      <c r="F2064" s="106" t="str">
        <f t="shared" si="232"/>
        <v/>
      </c>
      <c r="G2064" s="86"/>
      <c r="H2064" s="107">
        <f t="shared" si="227"/>
        <v>0</v>
      </c>
      <c r="I2064" s="107">
        <f t="shared" si="228"/>
        <v>0</v>
      </c>
      <c r="J2064" s="87">
        <f>IF($D2064&gt;0,IFERROR(Параметры!$D$42*$H2064/$H$2408,0),0)</f>
        <v>0</v>
      </c>
      <c r="K2064" s="87">
        <f>IFERROR(ROUND($N2064*Параметры!$D$36,2),0)</f>
        <v>0</v>
      </c>
      <c r="L2064" s="87">
        <f t="shared" si="229"/>
        <v>0</v>
      </c>
      <c r="M2064" s="87">
        <f t="shared" si="230"/>
        <v>0</v>
      </c>
      <c r="N2064" s="107" t="str">
        <f t="shared" si="231"/>
        <v/>
      </c>
    </row>
    <row r="2065" spans="2:14" x14ac:dyDescent="0.25">
      <c r="B2065" s="82">
        <f>SUBTOTAL(103,$D$8:D2065)</f>
        <v>2058</v>
      </c>
      <c r="C2065" s="83" t="s">
        <v>2063</v>
      </c>
      <c r="D2065" s="84">
        <v>0</v>
      </c>
      <c r="E2065" s="85" t="str">
        <f t="shared" si="226"/>
        <v/>
      </c>
      <c r="F2065" s="106" t="str">
        <f t="shared" si="232"/>
        <v/>
      </c>
      <c r="G2065" s="86"/>
      <c r="H2065" s="107">
        <f t="shared" si="227"/>
        <v>0</v>
      </c>
      <c r="I2065" s="107">
        <f t="shared" si="228"/>
        <v>0</v>
      </c>
      <c r="J2065" s="87">
        <f>IF($D2065&gt;0,IFERROR(Параметры!$D$42*$H2065/$H$2408,0),0)</f>
        <v>0</v>
      </c>
      <c r="K2065" s="87">
        <f>IFERROR(ROUND($N2065*Параметры!$D$36,2),0)</f>
        <v>0</v>
      </c>
      <c r="L2065" s="87">
        <f t="shared" si="229"/>
        <v>0</v>
      </c>
      <c r="M2065" s="87">
        <f t="shared" si="230"/>
        <v>0</v>
      </c>
      <c r="N2065" s="107" t="str">
        <f t="shared" si="231"/>
        <v/>
      </c>
    </row>
    <row r="2066" spans="2:14" x14ac:dyDescent="0.25">
      <c r="B2066" s="82">
        <f>SUBTOTAL(103,$D$8:D2066)</f>
        <v>2059</v>
      </c>
      <c r="C2066" s="83" t="s">
        <v>2064</v>
      </c>
      <c r="D2066" s="84">
        <v>0</v>
      </c>
      <c r="E2066" s="85" t="str">
        <f t="shared" si="226"/>
        <v/>
      </c>
      <c r="F2066" s="106" t="str">
        <f t="shared" si="232"/>
        <v/>
      </c>
      <c r="G2066" s="86"/>
      <c r="H2066" s="107">
        <f t="shared" si="227"/>
        <v>0</v>
      </c>
      <c r="I2066" s="107">
        <f t="shared" si="228"/>
        <v>0</v>
      </c>
      <c r="J2066" s="87">
        <f>IF($D2066&gt;0,IFERROR(Параметры!$D$42*$H2066/$H$2408,0),0)</f>
        <v>0</v>
      </c>
      <c r="K2066" s="87">
        <f>IFERROR(ROUND($N2066*Параметры!$D$36,2),0)</f>
        <v>0</v>
      </c>
      <c r="L2066" s="87">
        <f t="shared" si="229"/>
        <v>0</v>
      </c>
      <c r="M2066" s="87">
        <f t="shared" si="230"/>
        <v>0</v>
      </c>
      <c r="N2066" s="107" t="str">
        <f t="shared" si="231"/>
        <v/>
      </c>
    </row>
    <row r="2067" spans="2:14" x14ac:dyDescent="0.25">
      <c r="B2067" s="82">
        <f>SUBTOTAL(103,$D$8:D2067)</f>
        <v>2060</v>
      </c>
      <c r="C2067" s="83" t="s">
        <v>2065</v>
      </c>
      <c r="D2067" s="84">
        <v>0</v>
      </c>
      <c r="E2067" s="85" t="str">
        <f t="shared" si="226"/>
        <v/>
      </c>
      <c r="F2067" s="106" t="str">
        <f t="shared" si="232"/>
        <v/>
      </c>
      <c r="G2067" s="86"/>
      <c r="H2067" s="107">
        <f t="shared" si="227"/>
        <v>0</v>
      </c>
      <c r="I2067" s="107">
        <f t="shared" si="228"/>
        <v>0</v>
      </c>
      <c r="J2067" s="87">
        <f>IF($D2067&gt;0,IFERROR(Параметры!$D$42*$H2067/$H$2408,0),0)</f>
        <v>0</v>
      </c>
      <c r="K2067" s="87">
        <f>IFERROR(ROUND($N2067*Параметры!$D$36,2),0)</f>
        <v>0</v>
      </c>
      <c r="L2067" s="87">
        <f t="shared" si="229"/>
        <v>0</v>
      </c>
      <c r="M2067" s="87">
        <f t="shared" si="230"/>
        <v>0</v>
      </c>
      <c r="N2067" s="107" t="str">
        <f t="shared" si="231"/>
        <v/>
      </c>
    </row>
    <row r="2068" spans="2:14" x14ac:dyDescent="0.25">
      <c r="B2068" s="82">
        <f>SUBTOTAL(103,$D$8:D2068)</f>
        <v>2061</v>
      </c>
      <c r="C2068" s="83" t="s">
        <v>2066</v>
      </c>
      <c r="D2068" s="84">
        <v>0</v>
      </c>
      <c r="E2068" s="85" t="str">
        <f t="shared" si="226"/>
        <v/>
      </c>
      <c r="F2068" s="106" t="str">
        <f t="shared" si="232"/>
        <v/>
      </c>
      <c r="G2068" s="86"/>
      <c r="H2068" s="107">
        <f t="shared" si="227"/>
        <v>0</v>
      </c>
      <c r="I2068" s="107">
        <f t="shared" si="228"/>
        <v>0</v>
      </c>
      <c r="J2068" s="87">
        <f>IF($D2068&gt;0,IFERROR(Параметры!$D$42*$H2068/$H$2408,0),0)</f>
        <v>0</v>
      </c>
      <c r="K2068" s="87">
        <f>IFERROR(ROUND($N2068*Параметры!$D$36,2),0)</f>
        <v>0</v>
      </c>
      <c r="L2068" s="87">
        <f t="shared" si="229"/>
        <v>0</v>
      </c>
      <c r="M2068" s="87">
        <f t="shared" si="230"/>
        <v>0</v>
      </c>
      <c r="N2068" s="107" t="str">
        <f t="shared" si="231"/>
        <v/>
      </c>
    </row>
    <row r="2069" spans="2:14" x14ac:dyDescent="0.25">
      <c r="B2069" s="82">
        <f>SUBTOTAL(103,$D$8:D2069)</f>
        <v>2062</v>
      </c>
      <c r="C2069" s="83" t="s">
        <v>2067</v>
      </c>
      <c r="D2069" s="84">
        <v>0</v>
      </c>
      <c r="E2069" s="85" t="str">
        <f t="shared" si="226"/>
        <v/>
      </c>
      <c r="F2069" s="106" t="str">
        <f t="shared" si="232"/>
        <v/>
      </c>
      <c r="G2069" s="86"/>
      <c r="H2069" s="107">
        <f t="shared" si="227"/>
        <v>0</v>
      </c>
      <c r="I2069" s="107">
        <f t="shared" si="228"/>
        <v>0</v>
      </c>
      <c r="J2069" s="87">
        <f>IF($D2069&gt;0,IFERROR(Параметры!$D$42*$H2069/$H$2408,0),0)</f>
        <v>0</v>
      </c>
      <c r="K2069" s="87">
        <f>IFERROR(ROUND($N2069*Параметры!$D$36,2),0)</f>
        <v>0</v>
      </c>
      <c r="L2069" s="87">
        <f t="shared" si="229"/>
        <v>0</v>
      </c>
      <c r="M2069" s="87">
        <f t="shared" si="230"/>
        <v>0</v>
      </c>
      <c r="N2069" s="107" t="str">
        <f t="shared" si="231"/>
        <v/>
      </c>
    </row>
    <row r="2070" spans="2:14" x14ac:dyDescent="0.25">
      <c r="B2070" s="82">
        <f>SUBTOTAL(103,$D$8:D2070)</f>
        <v>2063</v>
      </c>
      <c r="C2070" s="83" t="s">
        <v>2068</v>
      </c>
      <c r="D2070" s="84">
        <v>0</v>
      </c>
      <c r="E2070" s="85" t="str">
        <f t="shared" si="226"/>
        <v/>
      </c>
      <c r="F2070" s="106" t="str">
        <f t="shared" si="232"/>
        <v/>
      </c>
      <c r="G2070" s="86"/>
      <c r="H2070" s="107">
        <f t="shared" si="227"/>
        <v>0</v>
      </c>
      <c r="I2070" s="107">
        <f t="shared" si="228"/>
        <v>0</v>
      </c>
      <c r="J2070" s="87">
        <f>IF($D2070&gt;0,IFERROR(Параметры!$D$42*$H2070/$H$2408,0),0)</f>
        <v>0</v>
      </c>
      <c r="K2070" s="87">
        <f>IFERROR(ROUND($N2070*Параметры!$D$36,2),0)</f>
        <v>0</v>
      </c>
      <c r="L2070" s="87">
        <f t="shared" si="229"/>
        <v>0</v>
      </c>
      <c r="M2070" s="87">
        <f t="shared" si="230"/>
        <v>0</v>
      </c>
      <c r="N2070" s="107" t="str">
        <f t="shared" si="231"/>
        <v/>
      </c>
    </row>
    <row r="2071" spans="2:14" x14ac:dyDescent="0.25">
      <c r="B2071" s="82">
        <f>SUBTOTAL(103,$D$8:D2071)</f>
        <v>2064</v>
      </c>
      <c r="C2071" s="83" t="s">
        <v>2069</v>
      </c>
      <c r="D2071" s="84">
        <v>0</v>
      </c>
      <c r="E2071" s="85" t="str">
        <f t="shared" si="226"/>
        <v/>
      </c>
      <c r="F2071" s="106" t="str">
        <f t="shared" si="232"/>
        <v/>
      </c>
      <c r="G2071" s="86"/>
      <c r="H2071" s="107">
        <f t="shared" si="227"/>
        <v>0</v>
      </c>
      <c r="I2071" s="107">
        <f t="shared" si="228"/>
        <v>0</v>
      </c>
      <c r="J2071" s="87">
        <f>IF($D2071&gt;0,IFERROR(Параметры!$D$42*$H2071/$H$2408,0),0)</f>
        <v>0</v>
      </c>
      <c r="K2071" s="87">
        <f>IFERROR(ROUND($N2071*Параметры!$D$36,2),0)</f>
        <v>0</v>
      </c>
      <c r="L2071" s="87">
        <f t="shared" si="229"/>
        <v>0</v>
      </c>
      <c r="M2071" s="87">
        <f t="shared" si="230"/>
        <v>0</v>
      </c>
      <c r="N2071" s="107" t="str">
        <f t="shared" si="231"/>
        <v/>
      </c>
    </row>
    <row r="2072" spans="2:14" x14ac:dyDescent="0.25">
      <c r="B2072" s="82">
        <f>SUBTOTAL(103,$D$8:D2072)</f>
        <v>2065</v>
      </c>
      <c r="C2072" s="83" t="s">
        <v>2070</v>
      </c>
      <c r="D2072" s="84">
        <v>0</v>
      </c>
      <c r="E2072" s="85" t="str">
        <f t="shared" si="226"/>
        <v/>
      </c>
      <c r="F2072" s="106" t="str">
        <f t="shared" si="232"/>
        <v/>
      </c>
      <c r="G2072" s="86"/>
      <c r="H2072" s="107">
        <f t="shared" si="227"/>
        <v>0</v>
      </c>
      <c r="I2072" s="107">
        <f t="shared" si="228"/>
        <v>0</v>
      </c>
      <c r="J2072" s="87">
        <f>IF($D2072&gt;0,IFERROR(Параметры!$D$42*$H2072/$H$2408,0),0)</f>
        <v>0</v>
      </c>
      <c r="K2072" s="87">
        <f>IFERROR(ROUND($N2072*Параметры!$D$36,2),0)</f>
        <v>0</v>
      </c>
      <c r="L2072" s="87">
        <f t="shared" si="229"/>
        <v>0</v>
      </c>
      <c r="M2072" s="87">
        <f t="shared" si="230"/>
        <v>0</v>
      </c>
      <c r="N2072" s="107" t="str">
        <f t="shared" si="231"/>
        <v/>
      </c>
    </row>
    <row r="2073" spans="2:14" x14ac:dyDescent="0.25">
      <c r="B2073" s="82">
        <f>SUBTOTAL(103,$D$8:D2073)</f>
        <v>2066</v>
      </c>
      <c r="C2073" s="83" t="s">
        <v>2071</v>
      </c>
      <c r="D2073" s="84">
        <v>0</v>
      </c>
      <c r="E2073" s="85" t="str">
        <f t="shared" si="226"/>
        <v/>
      </c>
      <c r="F2073" s="106" t="str">
        <f t="shared" si="232"/>
        <v/>
      </c>
      <c r="G2073" s="86"/>
      <c r="H2073" s="107">
        <f t="shared" si="227"/>
        <v>0</v>
      </c>
      <c r="I2073" s="107">
        <f t="shared" si="228"/>
        <v>0</v>
      </c>
      <c r="J2073" s="87">
        <f>IF($D2073&gt;0,IFERROR(Параметры!$D$42*$H2073/$H$2408,0),0)</f>
        <v>0</v>
      </c>
      <c r="K2073" s="87">
        <f>IFERROR(ROUND($N2073*Параметры!$D$36,2),0)</f>
        <v>0</v>
      </c>
      <c r="L2073" s="87">
        <f t="shared" si="229"/>
        <v>0</v>
      </c>
      <c r="M2073" s="87">
        <f t="shared" si="230"/>
        <v>0</v>
      </c>
      <c r="N2073" s="107" t="str">
        <f t="shared" si="231"/>
        <v/>
      </c>
    </row>
    <row r="2074" spans="2:14" x14ac:dyDescent="0.25">
      <c r="B2074" s="82">
        <f>SUBTOTAL(103,$D$8:D2074)</f>
        <v>2067</v>
      </c>
      <c r="C2074" s="83" t="s">
        <v>2072</v>
      </c>
      <c r="D2074" s="84">
        <v>0</v>
      </c>
      <c r="E2074" s="85" t="str">
        <f t="shared" si="226"/>
        <v/>
      </c>
      <c r="F2074" s="106" t="str">
        <f t="shared" si="232"/>
        <v/>
      </c>
      <c r="G2074" s="86"/>
      <c r="H2074" s="107">
        <f t="shared" si="227"/>
        <v>0</v>
      </c>
      <c r="I2074" s="107">
        <f t="shared" si="228"/>
        <v>0</v>
      </c>
      <c r="J2074" s="87">
        <f>IF($D2074&gt;0,IFERROR(Параметры!$D$42*$H2074/$H$2408,0),0)</f>
        <v>0</v>
      </c>
      <c r="K2074" s="87">
        <f>IFERROR(ROUND($N2074*Параметры!$D$36,2),0)</f>
        <v>0</v>
      </c>
      <c r="L2074" s="87">
        <f t="shared" si="229"/>
        <v>0</v>
      </c>
      <c r="M2074" s="87">
        <f t="shared" si="230"/>
        <v>0</v>
      </c>
      <c r="N2074" s="107" t="str">
        <f t="shared" si="231"/>
        <v/>
      </c>
    </row>
    <row r="2075" spans="2:14" x14ac:dyDescent="0.25">
      <c r="B2075" s="82">
        <f>SUBTOTAL(103,$D$8:D2075)</f>
        <v>2068</v>
      </c>
      <c r="C2075" s="83" t="s">
        <v>2073</v>
      </c>
      <c r="D2075" s="84">
        <v>0</v>
      </c>
      <c r="E2075" s="85" t="str">
        <f t="shared" si="226"/>
        <v/>
      </c>
      <c r="F2075" s="106" t="str">
        <f t="shared" si="232"/>
        <v/>
      </c>
      <c r="G2075" s="86"/>
      <c r="H2075" s="107">
        <f t="shared" si="227"/>
        <v>0</v>
      </c>
      <c r="I2075" s="107">
        <f t="shared" si="228"/>
        <v>0</v>
      </c>
      <c r="J2075" s="87">
        <f>IF($D2075&gt;0,IFERROR(Параметры!$D$42*$H2075/$H$2408,0),0)</f>
        <v>0</v>
      </c>
      <c r="K2075" s="87">
        <f>IFERROR(ROUND($N2075*Параметры!$D$36,2),0)</f>
        <v>0</v>
      </c>
      <c r="L2075" s="87">
        <f t="shared" si="229"/>
        <v>0</v>
      </c>
      <c r="M2075" s="87">
        <f t="shared" si="230"/>
        <v>0</v>
      </c>
      <c r="N2075" s="107" t="str">
        <f t="shared" si="231"/>
        <v/>
      </c>
    </row>
    <row r="2076" spans="2:14" x14ac:dyDescent="0.25">
      <c r="B2076" s="82">
        <f>SUBTOTAL(103,$D$8:D2076)</f>
        <v>2069</v>
      </c>
      <c r="C2076" s="83" t="s">
        <v>2074</v>
      </c>
      <c r="D2076" s="84">
        <v>0</v>
      </c>
      <c r="E2076" s="85" t="str">
        <f t="shared" si="226"/>
        <v/>
      </c>
      <c r="F2076" s="106" t="str">
        <f t="shared" si="232"/>
        <v/>
      </c>
      <c r="G2076" s="86"/>
      <c r="H2076" s="107">
        <f t="shared" si="227"/>
        <v>0</v>
      </c>
      <c r="I2076" s="107">
        <f t="shared" si="228"/>
        <v>0</v>
      </c>
      <c r="J2076" s="87">
        <f>IF($D2076&gt;0,IFERROR(Параметры!$D$42*$H2076/$H$2408,0),0)</f>
        <v>0</v>
      </c>
      <c r="K2076" s="87">
        <f>IFERROR(ROUND($N2076*Параметры!$D$36,2),0)</f>
        <v>0</v>
      </c>
      <c r="L2076" s="87">
        <f t="shared" si="229"/>
        <v>0</v>
      </c>
      <c r="M2076" s="87">
        <f t="shared" si="230"/>
        <v>0</v>
      </c>
      <c r="N2076" s="107" t="str">
        <f t="shared" si="231"/>
        <v/>
      </c>
    </row>
    <row r="2077" spans="2:14" x14ac:dyDescent="0.25">
      <c r="B2077" s="82">
        <f>SUBTOTAL(103,$D$8:D2077)</f>
        <v>2070</v>
      </c>
      <c r="C2077" s="83" t="s">
        <v>2075</v>
      </c>
      <c r="D2077" s="84">
        <v>0</v>
      </c>
      <c r="E2077" s="85" t="str">
        <f t="shared" si="226"/>
        <v/>
      </c>
      <c r="F2077" s="106" t="str">
        <f t="shared" si="232"/>
        <v/>
      </c>
      <c r="G2077" s="86"/>
      <c r="H2077" s="107">
        <f t="shared" si="227"/>
        <v>0</v>
      </c>
      <c r="I2077" s="107">
        <f t="shared" si="228"/>
        <v>0</v>
      </c>
      <c r="J2077" s="87">
        <f>IF($D2077&gt;0,IFERROR(Параметры!$D$42*$H2077/$H$2408,0),0)</f>
        <v>0</v>
      </c>
      <c r="K2077" s="87">
        <f>IFERROR(ROUND($N2077*Параметры!$D$36,2),0)</f>
        <v>0</v>
      </c>
      <c r="L2077" s="87">
        <f t="shared" si="229"/>
        <v>0</v>
      </c>
      <c r="M2077" s="87">
        <f t="shared" si="230"/>
        <v>0</v>
      </c>
      <c r="N2077" s="107" t="str">
        <f t="shared" si="231"/>
        <v/>
      </c>
    </row>
    <row r="2078" spans="2:14" x14ac:dyDescent="0.25">
      <c r="B2078" s="82">
        <f>SUBTOTAL(103,$D$8:D2078)</f>
        <v>2071</v>
      </c>
      <c r="C2078" s="83" t="s">
        <v>2076</v>
      </c>
      <c r="D2078" s="84">
        <v>0</v>
      </c>
      <c r="E2078" s="85" t="str">
        <f t="shared" si="226"/>
        <v/>
      </c>
      <c r="F2078" s="106" t="str">
        <f t="shared" si="232"/>
        <v/>
      </c>
      <c r="G2078" s="86"/>
      <c r="H2078" s="107">
        <f t="shared" si="227"/>
        <v>0</v>
      </c>
      <c r="I2078" s="107">
        <f t="shared" si="228"/>
        <v>0</v>
      </c>
      <c r="J2078" s="87">
        <f>IF($D2078&gt;0,IFERROR(Параметры!$D$42*$H2078/$H$2408,0),0)</f>
        <v>0</v>
      </c>
      <c r="K2078" s="87">
        <f>IFERROR(ROUND($N2078*Параметры!$D$36,2),0)</f>
        <v>0</v>
      </c>
      <c r="L2078" s="87">
        <f t="shared" si="229"/>
        <v>0</v>
      </c>
      <c r="M2078" s="87">
        <f t="shared" si="230"/>
        <v>0</v>
      </c>
      <c r="N2078" s="107" t="str">
        <f t="shared" si="231"/>
        <v/>
      </c>
    </row>
    <row r="2079" spans="2:14" x14ac:dyDescent="0.25">
      <c r="B2079" s="82">
        <f>SUBTOTAL(103,$D$8:D2079)</f>
        <v>2072</v>
      </c>
      <c r="C2079" s="83" t="s">
        <v>2077</v>
      </c>
      <c r="D2079" s="84">
        <v>0</v>
      </c>
      <c r="E2079" s="85" t="str">
        <f t="shared" si="226"/>
        <v/>
      </c>
      <c r="F2079" s="106" t="str">
        <f t="shared" si="232"/>
        <v/>
      </c>
      <c r="G2079" s="86"/>
      <c r="H2079" s="107">
        <f t="shared" si="227"/>
        <v>0</v>
      </c>
      <c r="I2079" s="107">
        <f t="shared" si="228"/>
        <v>0</v>
      </c>
      <c r="J2079" s="87">
        <f>IF($D2079&gt;0,IFERROR(Параметры!$D$42*$H2079/$H$2408,0),0)</f>
        <v>0</v>
      </c>
      <c r="K2079" s="87">
        <f>IFERROR(ROUND($N2079*Параметры!$D$36,2),0)</f>
        <v>0</v>
      </c>
      <c r="L2079" s="87">
        <f t="shared" si="229"/>
        <v>0</v>
      </c>
      <c r="M2079" s="87">
        <f t="shared" si="230"/>
        <v>0</v>
      </c>
      <c r="N2079" s="107" t="str">
        <f t="shared" si="231"/>
        <v/>
      </c>
    </row>
    <row r="2080" spans="2:14" x14ac:dyDescent="0.25">
      <c r="B2080" s="82">
        <f>SUBTOTAL(103,$D$8:D2080)</f>
        <v>2073</v>
      </c>
      <c r="C2080" s="83" t="s">
        <v>2078</v>
      </c>
      <c r="D2080" s="84">
        <v>0</v>
      </c>
      <c r="E2080" s="85" t="str">
        <f t="shared" si="226"/>
        <v/>
      </c>
      <c r="F2080" s="106" t="str">
        <f t="shared" si="232"/>
        <v/>
      </c>
      <c r="G2080" s="86"/>
      <c r="H2080" s="107">
        <f t="shared" si="227"/>
        <v>0</v>
      </c>
      <c r="I2080" s="107">
        <f t="shared" si="228"/>
        <v>0</v>
      </c>
      <c r="J2080" s="87">
        <f>IF($D2080&gt;0,IFERROR(Параметры!$D$42*$H2080/$H$2408,0),0)</f>
        <v>0</v>
      </c>
      <c r="K2080" s="87">
        <f>IFERROR(ROUND($N2080*Параметры!$D$36,2),0)</f>
        <v>0</v>
      </c>
      <c r="L2080" s="87">
        <f t="shared" si="229"/>
        <v>0</v>
      </c>
      <c r="M2080" s="87">
        <f t="shared" si="230"/>
        <v>0</v>
      </c>
      <c r="N2080" s="107" t="str">
        <f t="shared" si="231"/>
        <v/>
      </c>
    </row>
    <row r="2081" spans="2:14" x14ac:dyDescent="0.25">
      <c r="B2081" s="82">
        <f>SUBTOTAL(103,$D$8:D2081)</f>
        <v>2074</v>
      </c>
      <c r="C2081" s="83" t="s">
        <v>2079</v>
      </c>
      <c r="D2081" s="84">
        <v>0</v>
      </c>
      <c r="E2081" s="85" t="str">
        <f t="shared" si="226"/>
        <v/>
      </c>
      <c r="F2081" s="106" t="str">
        <f t="shared" si="232"/>
        <v/>
      </c>
      <c r="G2081" s="86"/>
      <c r="H2081" s="107">
        <f t="shared" si="227"/>
        <v>0</v>
      </c>
      <c r="I2081" s="107">
        <f t="shared" si="228"/>
        <v>0</v>
      </c>
      <c r="J2081" s="87">
        <f>IF($D2081&gt;0,IFERROR(Параметры!$D$42*$H2081/$H$2408,0),0)</f>
        <v>0</v>
      </c>
      <c r="K2081" s="87">
        <f>IFERROR(ROUND($N2081*Параметры!$D$36,2),0)</f>
        <v>0</v>
      </c>
      <c r="L2081" s="87">
        <f t="shared" si="229"/>
        <v>0</v>
      </c>
      <c r="M2081" s="87">
        <f t="shared" si="230"/>
        <v>0</v>
      </c>
      <c r="N2081" s="107" t="str">
        <f t="shared" si="231"/>
        <v/>
      </c>
    </row>
    <row r="2082" spans="2:14" x14ac:dyDescent="0.25">
      <c r="B2082" s="82">
        <f>SUBTOTAL(103,$D$8:D2082)</f>
        <v>2075</v>
      </c>
      <c r="C2082" s="83" t="s">
        <v>2080</v>
      </c>
      <c r="D2082" s="84">
        <v>0</v>
      </c>
      <c r="E2082" s="85" t="str">
        <f t="shared" si="226"/>
        <v/>
      </c>
      <c r="F2082" s="106" t="str">
        <f t="shared" si="232"/>
        <v/>
      </c>
      <c r="G2082" s="86"/>
      <c r="H2082" s="107">
        <f t="shared" si="227"/>
        <v>0</v>
      </c>
      <c r="I2082" s="107">
        <f t="shared" si="228"/>
        <v>0</v>
      </c>
      <c r="J2082" s="87">
        <f>IF($D2082&gt;0,IFERROR(Параметры!$D$42*$H2082/$H$2408,0),0)</f>
        <v>0</v>
      </c>
      <c r="K2082" s="87">
        <f>IFERROR(ROUND($N2082*Параметры!$D$36,2),0)</f>
        <v>0</v>
      </c>
      <c r="L2082" s="87">
        <f t="shared" si="229"/>
        <v>0</v>
      </c>
      <c r="M2082" s="87">
        <f t="shared" si="230"/>
        <v>0</v>
      </c>
      <c r="N2082" s="107" t="str">
        <f t="shared" si="231"/>
        <v/>
      </c>
    </row>
    <row r="2083" spans="2:14" x14ac:dyDescent="0.25">
      <c r="B2083" s="82">
        <f>SUBTOTAL(103,$D$8:D2083)</f>
        <v>2076</v>
      </c>
      <c r="C2083" s="83" t="s">
        <v>2081</v>
      </c>
      <c r="D2083" s="84">
        <v>0</v>
      </c>
      <c r="E2083" s="85" t="str">
        <f t="shared" si="226"/>
        <v/>
      </c>
      <c r="F2083" s="106" t="str">
        <f t="shared" si="232"/>
        <v/>
      </c>
      <c r="G2083" s="86"/>
      <c r="H2083" s="107">
        <f t="shared" si="227"/>
        <v>0</v>
      </c>
      <c r="I2083" s="107">
        <f t="shared" si="228"/>
        <v>0</v>
      </c>
      <c r="J2083" s="87">
        <f>IF($D2083&gt;0,IFERROR(Параметры!$D$42*$H2083/$H$2408,0),0)</f>
        <v>0</v>
      </c>
      <c r="K2083" s="87">
        <f>IFERROR(ROUND($N2083*Параметры!$D$36,2),0)</f>
        <v>0</v>
      </c>
      <c r="L2083" s="87">
        <f t="shared" si="229"/>
        <v>0</v>
      </c>
      <c r="M2083" s="87">
        <f t="shared" si="230"/>
        <v>0</v>
      </c>
      <c r="N2083" s="107" t="str">
        <f t="shared" si="231"/>
        <v/>
      </c>
    </row>
    <row r="2084" spans="2:14" x14ac:dyDescent="0.25">
      <c r="B2084" s="82">
        <f>SUBTOTAL(103,$D$8:D2084)</f>
        <v>2077</v>
      </c>
      <c r="C2084" s="83" t="s">
        <v>2082</v>
      </c>
      <c r="D2084" s="84">
        <v>0</v>
      </c>
      <c r="E2084" s="85" t="str">
        <f t="shared" si="226"/>
        <v/>
      </c>
      <c r="F2084" s="106" t="str">
        <f t="shared" si="232"/>
        <v/>
      </c>
      <c r="G2084" s="86"/>
      <c r="H2084" s="107">
        <f t="shared" si="227"/>
        <v>0</v>
      </c>
      <c r="I2084" s="107">
        <f t="shared" si="228"/>
        <v>0</v>
      </c>
      <c r="J2084" s="87">
        <f>IF($D2084&gt;0,IFERROR(Параметры!$D$42*$H2084/$H$2408,0),0)</f>
        <v>0</v>
      </c>
      <c r="K2084" s="87">
        <f>IFERROR(ROUND($N2084*Параметры!$D$36,2),0)</f>
        <v>0</v>
      </c>
      <c r="L2084" s="87">
        <f t="shared" si="229"/>
        <v>0</v>
      </c>
      <c r="M2084" s="87">
        <f t="shared" si="230"/>
        <v>0</v>
      </c>
      <c r="N2084" s="107" t="str">
        <f t="shared" si="231"/>
        <v/>
      </c>
    </row>
    <row r="2085" spans="2:14" x14ac:dyDescent="0.25">
      <c r="B2085" s="82">
        <f>SUBTOTAL(103,$D$8:D2085)</f>
        <v>2078</v>
      </c>
      <c r="C2085" s="83" t="s">
        <v>2083</v>
      </c>
      <c r="D2085" s="84">
        <v>0</v>
      </c>
      <c r="E2085" s="85" t="str">
        <f t="shared" si="226"/>
        <v/>
      </c>
      <c r="F2085" s="106" t="str">
        <f t="shared" si="232"/>
        <v/>
      </c>
      <c r="G2085" s="86"/>
      <c r="H2085" s="107">
        <f t="shared" si="227"/>
        <v>0</v>
      </c>
      <c r="I2085" s="107">
        <f t="shared" si="228"/>
        <v>0</v>
      </c>
      <c r="J2085" s="87">
        <f>IF($D2085&gt;0,IFERROR(Параметры!$D$42*$H2085/$H$2408,0),0)</f>
        <v>0</v>
      </c>
      <c r="K2085" s="87">
        <f>IFERROR(ROUND($N2085*Параметры!$D$36,2),0)</f>
        <v>0</v>
      </c>
      <c r="L2085" s="87">
        <f t="shared" si="229"/>
        <v>0</v>
      </c>
      <c r="M2085" s="87">
        <f t="shared" si="230"/>
        <v>0</v>
      </c>
      <c r="N2085" s="107" t="str">
        <f t="shared" si="231"/>
        <v/>
      </c>
    </row>
    <row r="2086" spans="2:14" x14ac:dyDescent="0.25">
      <c r="B2086" s="82">
        <f>SUBTOTAL(103,$D$8:D2086)</f>
        <v>2079</v>
      </c>
      <c r="C2086" s="83" t="s">
        <v>2084</v>
      </c>
      <c r="D2086" s="84">
        <v>0</v>
      </c>
      <c r="E2086" s="85" t="str">
        <f t="shared" si="226"/>
        <v/>
      </c>
      <c r="F2086" s="106" t="str">
        <f t="shared" si="232"/>
        <v/>
      </c>
      <c r="G2086" s="86"/>
      <c r="H2086" s="107">
        <f t="shared" si="227"/>
        <v>0</v>
      </c>
      <c r="I2086" s="107">
        <f t="shared" si="228"/>
        <v>0</v>
      </c>
      <c r="J2086" s="87">
        <f>IF($D2086&gt;0,IFERROR(Параметры!$D$42*$H2086/$H$2408,0),0)</f>
        <v>0</v>
      </c>
      <c r="K2086" s="87">
        <f>IFERROR(ROUND($N2086*Параметры!$D$36,2),0)</f>
        <v>0</v>
      </c>
      <c r="L2086" s="87">
        <f t="shared" si="229"/>
        <v>0</v>
      </c>
      <c r="M2086" s="87">
        <f t="shared" si="230"/>
        <v>0</v>
      </c>
      <c r="N2086" s="107" t="str">
        <f t="shared" si="231"/>
        <v/>
      </c>
    </row>
    <row r="2087" spans="2:14" x14ac:dyDescent="0.25">
      <c r="B2087" s="82">
        <f>SUBTOTAL(103,$D$8:D2087)</f>
        <v>2080</v>
      </c>
      <c r="C2087" s="83" t="s">
        <v>2085</v>
      </c>
      <c r="D2087" s="84">
        <v>0</v>
      </c>
      <c r="E2087" s="85" t="str">
        <f t="shared" si="226"/>
        <v/>
      </c>
      <c r="F2087" s="106" t="str">
        <f t="shared" si="232"/>
        <v/>
      </c>
      <c r="G2087" s="86"/>
      <c r="H2087" s="107">
        <f t="shared" si="227"/>
        <v>0</v>
      </c>
      <c r="I2087" s="107">
        <f t="shared" si="228"/>
        <v>0</v>
      </c>
      <c r="J2087" s="87">
        <f>IF($D2087&gt;0,IFERROR(Параметры!$D$42*$H2087/$H$2408,0),0)</f>
        <v>0</v>
      </c>
      <c r="K2087" s="87">
        <f>IFERROR(ROUND($N2087*Параметры!$D$36,2),0)</f>
        <v>0</v>
      </c>
      <c r="L2087" s="87">
        <f t="shared" si="229"/>
        <v>0</v>
      </c>
      <c r="M2087" s="87">
        <f t="shared" si="230"/>
        <v>0</v>
      </c>
      <c r="N2087" s="107" t="str">
        <f t="shared" si="231"/>
        <v/>
      </c>
    </row>
    <row r="2088" spans="2:14" x14ac:dyDescent="0.25">
      <c r="B2088" s="82">
        <f>SUBTOTAL(103,$D$8:D2088)</f>
        <v>2081</v>
      </c>
      <c r="C2088" s="83" t="s">
        <v>2086</v>
      </c>
      <c r="D2088" s="84">
        <v>0</v>
      </c>
      <c r="E2088" s="85" t="str">
        <f t="shared" si="226"/>
        <v/>
      </c>
      <c r="F2088" s="106" t="str">
        <f t="shared" si="232"/>
        <v/>
      </c>
      <c r="G2088" s="86"/>
      <c r="H2088" s="107">
        <f t="shared" si="227"/>
        <v>0</v>
      </c>
      <c r="I2088" s="107">
        <f t="shared" si="228"/>
        <v>0</v>
      </c>
      <c r="J2088" s="87">
        <f>IF($D2088&gt;0,IFERROR(Параметры!$D$42*$H2088/$H$2408,0),0)</f>
        <v>0</v>
      </c>
      <c r="K2088" s="87">
        <f>IFERROR(ROUND($N2088*Параметры!$D$36,2),0)</f>
        <v>0</v>
      </c>
      <c r="L2088" s="87">
        <f t="shared" si="229"/>
        <v>0</v>
      </c>
      <c r="M2088" s="87">
        <f t="shared" si="230"/>
        <v>0</v>
      </c>
      <c r="N2088" s="107" t="str">
        <f t="shared" si="231"/>
        <v/>
      </c>
    </row>
    <row r="2089" spans="2:14" x14ac:dyDescent="0.25">
      <c r="B2089" s="82">
        <f>SUBTOTAL(103,$D$8:D2089)</f>
        <v>2082</v>
      </c>
      <c r="C2089" s="83" t="s">
        <v>2087</v>
      </c>
      <c r="D2089" s="84">
        <v>0</v>
      </c>
      <c r="E2089" s="85" t="str">
        <f t="shared" si="226"/>
        <v/>
      </c>
      <c r="F2089" s="106" t="str">
        <f t="shared" si="232"/>
        <v/>
      </c>
      <c r="G2089" s="86"/>
      <c r="H2089" s="107">
        <f t="shared" si="227"/>
        <v>0</v>
      </c>
      <c r="I2089" s="107">
        <f t="shared" si="228"/>
        <v>0</v>
      </c>
      <c r="J2089" s="87">
        <f>IF($D2089&gt;0,IFERROR(Параметры!$D$42*$H2089/$H$2408,0),0)</f>
        <v>0</v>
      </c>
      <c r="K2089" s="87">
        <f>IFERROR(ROUND($N2089*Параметры!$D$36,2),0)</f>
        <v>0</v>
      </c>
      <c r="L2089" s="87">
        <f t="shared" si="229"/>
        <v>0</v>
      </c>
      <c r="M2089" s="87">
        <f t="shared" si="230"/>
        <v>0</v>
      </c>
      <c r="N2089" s="107" t="str">
        <f t="shared" si="231"/>
        <v/>
      </c>
    </row>
    <row r="2090" spans="2:14" x14ac:dyDescent="0.25">
      <c r="B2090" s="82">
        <f>SUBTOTAL(103,$D$8:D2090)</f>
        <v>2083</v>
      </c>
      <c r="C2090" s="83" t="s">
        <v>2088</v>
      </c>
      <c r="D2090" s="84">
        <v>0</v>
      </c>
      <c r="E2090" s="85" t="str">
        <f t="shared" si="226"/>
        <v/>
      </c>
      <c r="F2090" s="106" t="str">
        <f t="shared" si="232"/>
        <v/>
      </c>
      <c r="G2090" s="86"/>
      <c r="H2090" s="107">
        <f t="shared" si="227"/>
        <v>0</v>
      </c>
      <c r="I2090" s="107">
        <f t="shared" si="228"/>
        <v>0</v>
      </c>
      <c r="J2090" s="87">
        <f>IF($D2090&gt;0,IFERROR(Параметры!$D$42*$H2090/$H$2408,0),0)</f>
        <v>0</v>
      </c>
      <c r="K2090" s="87">
        <f>IFERROR(ROUND($N2090*Параметры!$D$36,2),0)</f>
        <v>0</v>
      </c>
      <c r="L2090" s="87">
        <f t="shared" si="229"/>
        <v>0</v>
      </c>
      <c r="M2090" s="87">
        <f t="shared" si="230"/>
        <v>0</v>
      </c>
      <c r="N2090" s="107" t="str">
        <f t="shared" si="231"/>
        <v/>
      </c>
    </row>
    <row r="2091" spans="2:14" x14ac:dyDescent="0.25">
      <c r="B2091" s="82">
        <f>SUBTOTAL(103,$D$8:D2091)</f>
        <v>2084</v>
      </c>
      <c r="C2091" s="83" t="s">
        <v>2089</v>
      </c>
      <c r="D2091" s="84">
        <v>0</v>
      </c>
      <c r="E2091" s="85" t="str">
        <f t="shared" si="226"/>
        <v/>
      </c>
      <c r="F2091" s="106" t="str">
        <f t="shared" si="232"/>
        <v/>
      </c>
      <c r="G2091" s="86"/>
      <c r="H2091" s="107">
        <f t="shared" si="227"/>
        <v>0</v>
      </c>
      <c r="I2091" s="107">
        <f t="shared" si="228"/>
        <v>0</v>
      </c>
      <c r="J2091" s="87">
        <f>IF($D2091&gt;0,IFERROR(Параметры!$D$42*$H2091/$H$2408,0),0)</f>
        <v>0</v>
      </c>
      <c r="K2091" s="87">
        <f>IFERROR(ROUND($N2091*Параметры!$D$36,2),0)</f>
        <v>0</v>
      </c>
      <c r="L2091" s="87">
        <f t="shared" si="229"/>
        <v>0</v>
      </c>
      <c r="M2091" s="87">
        <f t="shared" si="230"/>
        <v>0</v>
      </c>
      <c r="N2091" s="107" t="str">
        <f t="shared" si="231"/>
        <v/>
      </c>
    </row>
    <row r="2092" spans="2:14" x14ac:dyDescent="0.25">
      <c r="B2092" s="82">
        <f>SUBTOTAL(103,$D$8:D2092)</f>
        <v>2085</v>
      </c>
      <c r="C2092" s="83" t="s">
        <v>2090</v>
      </c>
      <c r="D2092" s="84">
        <v>0</v>
      </c>
      <c r="E2092" s="85" t="str">
        <f t="shared" si="226"/>
        <v/>
      </c>
      <c r="F2092" s="106" t="str">
        <f t="shared" si="232"/>
        <v/>
      </c>
      <c r="G2092" s="86"/>
      <c r="H2092" s="107">
        <f t="shared" si="227"/>
        <v>0</v>
      </c>
      <c r="I2092" s="107">
        <f t="shared" si="228"/>
        <v>0</v>
      </c>
      <c r="J2092" s="87">
        <f>IF($D2092&gt;0,IFERROR(Параметры!$D$42*$H2092/$H$2408,0),0)</f>
        <v>0</v>
      </c>
      <c r="K2092" s="87">
        <f>IFERROR(ROUND($N2092*Параметры!$D$36,2),0)</f>
        <v>0</v>
      </c>
      <c r="L2092" s="87">
        <f t="shared" si="229"/>
        <v>0</v>
      </c>
      <c r="M2092" s="87">
        <f t="shared" si="230"/>
        <v>0</v>
      </c>
      <c r="N2092" s="107" t="str">
        <f t="shared" si="231"/>
        <v/>
      </c>
    </row>
    <row r="2093" spans="2:14" x14ac:dyDescent="0.25">
      <c r="B2093" s="82">
        <f>SUBTOTAL(103,$D$8:D2093)</f>
        <v>2086</v>
      </c>
      <c r="C2093" s="83" t="s">
        <v>2091</v>
      </c>
      <c r="D2093" s="84">
        <v>0</v>
      </c>
      <c r="E2093" s="85" t="str">
        <f t="shared" si="226"/>
        <v/>
      </c>
      <c r="F2093" s="106" t="str">
        <f t="shared" si="232"/>
        <v/>
      </c>
      <c r="G2093" s="86"/>
      <c r="H2093" s="107">
        <f t="shared" si="227"/>
        <v>0</v>
      </c>
      <c r="I2093" s="107">
        <f t="shared" si="228"/>
        <v>0</v>
      </c>
      <c r="J2093" s="87">
        <f>IF($D2093&gt;0,IFERROR(Параметры!$D$42*$H2093/$H$2408,0),0)</f>
        <v>0</v>
      </c>
      <c r="K2093" s="87">
        <f>IFERROR(ROUND($N2093*Параметры!$D$36,2),0)</f>
        <v>0</v>
      </c>
      <c r="L2093" s="87">
        <f t="shared" si="229"/>
        <v>0</v>
      </c>
      <c r="M2093" s="87">
        <f t="shared" si="230"/>
        <v>0</v>
      </c>
      <c r="N2093" s="107" t="str">
        <f t="shared" si="231"/>
        <v/>
      </c>
    </row>
    <row r="2094" spans="2:14" x14ac:dyDescent="0.25">
      <c r="B2094" s="82">
        <f>SUBTOTAL(103,$D$8:D2094)</f>
        <v>2087</v>
      </c>
      <c r="C2094" s="83" t="s">
        <v>2092</v>
      </c>
      <c r="D2094" s="84">
        <v>0</v>
      </c>
      <c r="E2094" s="85" t="str">
        <f t="shared" si="226"/>
        <v/>
      </c>
      <c r="F2094" s="106" t="str">
        <f t="shared" si="232"/>
        <v/>
      </c>
      <c r="G2094" s="86"/>
      <c r="H2094" s="107">
        <f t="shared" si="227"/>
        <v>0</v>
      </c>
      <c r="I2094" s="107">
        <f t="shared" si="228"/>
        <v>0</v>
      </c>
      <c r="J2094" s="87">
        <f>IF($D2094&gt;0,IFERROR(Параметры!$D$42*$H2094/$H$2408,0),0)</f>
        <v>0</v>
      </c>
      <c r="K2094" s="87">
        <f>IFERROR(ROUND($N2094*Параметры!$D$36,2),0)</f>
        <v>0</v>
      </c>
      <c r="L2094" s="87">
        <f t="shared" si="229"/>
        <v>0</v>
      </c>
      <c r="M2094" s="87">
        <f t="shared" si="230"/>
        <v>0</v>
      </c>
      <c r="N2094" s="107" t="str">
        <f t="shared" si="231"/>
        <v/>
      </c>
    </row>
    <row r="2095" spans="2:14" x14ac:dyDescent="0.25">
      <c r="B2095" s="82">
        <f>SUBTOTAL(103,$D$8:D2095)</f>
        <v>2088</v>
      </c>
      <c r="C2095" s="83" t="s">
        <v>2093</v>
      </c>
      <c r="D2095" s="84">
        <v>0</v>
      </c>
      <c r="E2095" s="85" t="str">
        <f t="shared" si="226"/>
        <v/>
      </c>
      <c r="F2095" s="106" t="str">
        <f t="shared" si="232"/>
        <v/>
      </c>
      <c r="G2095" s="86"/>
      <c r="H2095" s="107">
        <f t="shared" si="227"/>
        <v>0</v>
      </c>
      <c r="I2095" s="107">
        <f t="shared" si="228"/>
        <v>0</v>
      </c>
      <c r="J2095" s="87">
        <f>IF($D2095&gt;0,IFERROR(Параметры!$D$42*$H2095/$H$2408,0),0)</f>
        <v>0</v>
      </c>
      <c r="K2095" s="87">
        <f>IFERROR(ROUND($N2095*Параметры!$D$36,2),0)</f>
        <v>0</v>
      </c>
      <c r="L2095" s="87">
        <f t="shared" si="229"/>
        <v>0</v>
      </c>
      <c r="M2095" s="87">
        <f t="shared" si="230"/>
        <v>0</v>
      </c>
      <c r="N2095" s="107" t="str">
        <f t="shared" si="231"/>
        <v/>
      </c>
    </row>
    <row r="2096" spans="2:14" x14ac:dyDescent="0.25">
      <c r="B2096" s="82">
        <f>SUBTOTAL(103,$D$8:D2096)</f>
        <v>2089</v>
      </c>
      <c r="C2096" s="83" t="s">
        <v>2094</v>
      </c>
      <c r="D2096" s="84">
        <v>0</v>
      </c>
      <c r="E2096" s="85" t="str">
        <f t="shared" si="226"/>
        <v/>
      </c>
      <c r="F2096" s="106" t="str">
        <f t="shared" si="232"/>
        <v/>
      </c>
      <c r="G2096" s="86"/>
      <c r="H2096" s="107">
        <f t="shared" si="227"/>
        <v>0</v>
      </c>
      <c r="I2096" s="107">
        <f t="shared" si="228"/>
        <v>0</v>
      </c>
      <c r="J2096" s="87">
        <f>IF($D2096&gt;0,IFERROR(Параметры!$D$42*$H2096/$H$2408,0),0)</f>
        <v>0</v>
      </c>
      <c r="K2096" s="87">
        <f>IFERROR(ROUND($N2096*Параметры!$D$36,2),0)</f>
        <v>0</v>
      </c>
      <c r="L2096" s="87">
        <f t="shared" si="229"/>
        <v>0</v>
      </c>
      <c r="M2096" s="87">
        <f t="shared" si="230"/>
        <v>0</v>
      </c>
      <c r="N2096" s="107" t="str">
        <f t="shared" si="231"/>
        <v/>
      </c>
    </row>
    <row r="2097" spans="2:14" x14ac:dyDescent="0.25">
      <c r="B2097" s="82">
        <f>SUBTOTAL(103,$D$8:D2097)</f>
        <v>2090</v>
      </c>
      <c r="C2097" s="83" t="s">
        <v>2095</v>
      </c>
      <c r="D2097" s="84">
        <v>0</v>
      </c>
      <c r="E2097" s="85" t="str">
        <f t="shared" si="226"/>
        <v/>
      </c>
      <c r="F2097" s="106" t="str">
        <f t="shared" si="232"/>
        <v/>
      </c>
      <c r="G2097" s="86"/>
      <c r="H2097" s="107">
        <f t="shared" si="227"/>
        <v>0</v>
      </c>
      <c r="I2097" s="107">
        <f t="shared" si="228"/>
        <v>0</v>
      </c>
      <c r="J2097" s="87">
        <f>IF($D2097&gt;0,IFERROR(Параметры!$D$42*$H2097/$H$2408,0),0)</f>
        <v>0</v>
      </c>
      <c r="K2097" s="87">
        <f>IFERROR(ROUND($N2097*Параметры!$D$36,2),0)</f>
        <v>0</v>
      </c>
      <c r="L2097" s="87">
        <f t="shared" si="229"/>
        <v>0</v>
      </c>
      <c r="M2097" s="87">
        <f t="shared" si="230"/>
        <v>0</v>
      </c>
      <c r="N2097" s="107" t="str">
        <f t="shared" si="231"/>
        <v/>
      </c>
    </row>
    <row r="2098" spans="2:14" x14ac:dyDescent="0.25">
      <c r="B2098" s="82">
        <f>SUBTOTAL(103,$D$8:D2098)</f>
        <v>2091</v>
      </c>
      <c r="C2098" s="83" t="s">
        <v>2096</v>
      </c>
      <c r="D2098" s="84">
        <v>0</v>
      </c>
      <c r="E2098" s="85" t="str">
        <f t="shared" si="226"/>
        <v/>
      </c>
      <c r="F2098" s="106" t="str">
        <f t="shared" si="232"/>
        <v/>
      </c>
      <c r="G2098" s="86"/>
      <c r="H2098" s="107">
        <f t="shared" si="227"/>
        <v>0</v>
      </c>
      <c r="I2098" s="107">
        <f t="shared" si="228"/>
        <v>0</v>
      </c>
      <c r="J2098" s="87">
        <f>IF($D2098&gt;0,IFERROR(Параметры!$D$42*$H2098/$H$2408,0),0)</f>
        <v>0</v>
      </c>
      <c r="K2098" s="87">
        <f>IFERROR(ROUND($N2098*Параметры!$D$36,2),0)</f>
        <v>0</v>
      </c>
      <c r="L2098" s="87">
        <f t="shared" si="229"/>
        <v>0</v>
      </c>
      <c r="M2098" s="87">
        <f t="shared" si="230"/>
        <v>0</v>
      </c>
      <c r="N2098" s="107" t="str">
        <f t="shared" si="231"/>
        <v/>
      </c>
    </row>
    <row r="2099" spans="2:14" x14ac:dyDescent="0.25">
      <c r="B2099" s="82">
        <f>SUBTOTAL(103,$D$8:D2099)</f>
        <v>2092</v>
      </c>
      <c r="C2099" s="83" t="s">
        <v>2097</v>
      </c>
      <c r="D2099" s="84">
        <v>0</v>
      </c>
      <c r="E2099" s="85" t="str">
        <f t="shared" si="226"/>
        <v/>
      </c>
      <c r="F2099" s="106" t="str">
        <f t="shared" si="232"/>
        <v/>
      </c>
      <c r="G2099" s="86"/>
      <c r="H2099" s="107">
        <f t="shared" si="227"/>
        <v>0</v>
      </c>
      <c r="I2099" s="107">
        <f t="shared" si="228"/>
        <v>0</v>
      </c>
      <c r="J2099" s="87">
        <f>IF($D2099&gt;0,IFERROR(Параметры!$D$42*$H2099/$H$2408,0),0)</f>
        <v>0</v>
      </c>
      <c r="K2099" s="87">
        <f>IFERROR(ROUND($N2099*Параметры!$D$36,2),0)</f>
        <v>0</v>
      </c>
      <c r="L2099" s="87">
        <f t="shared" si="229"/>
        <v>0</v>
      </c>
      <c r="M2099" s="87">
        <f t="shared" si="230"/>
        <v>0</v>
      </c>
      <c r="N2099" s="107" t="str">
        <f t="shared" si="231"/>
        <v/>
      </c>
    </row>
    <row r="2100" spans="2:14" x14ac:dyDescent="0.25">
      <c r="B2100" s="82">
        <f>SUBTOTAL(103,$D$8:D2100)</f>
        <v>2093</v>
      </c>
      <c r="C2100" s="83" t="s">
        <v>2098</v>
      </c>
      <c r="D2100" s="84">
        <v>0</v>
      </c>
      <c r="E2100" s="85" t="str">
        <f t="shared" si="226"/>
        <v/>
      </c>
      <c r="F2100" s="106" t="str">
        <f t="shared" si="232"/>
        <v/>
      </c>
      <c r="G2100" s="86"/>
      <c r="H2100" s="107">
        <f t="shared" si="227"/>
        <v>0</v>
      </c>
      <c r="I2100" s="107">
        <f t="shared" si="228"/>
        <v>0</v>
      </c>
      <c r="J2100" s="87">
        <f>IF($D2100&gt;0,IFERROR(Параметры!$D$42*$H2100/$H$2408,0),0)</f>
        <v>0</v>
      </c>
      <c r="K2100" s="87">
        <f>IFERROR(ROUND($N2100*Параметры!$D$36,2),0)</f>
        <v>0</v>
      </c>
      <c r="L2100" s="87">
        <f t="shared" si="229"/>
        <v>0</v>
      </c>
      <c r="M2100" s="87">
        <f t="shared" si="230"/>
        <v>0</v>
      </c>
      <c r="N2100" s="107" t="str">
        <f t="shared" si="231"/>
        <v/>
      </c>
    </row>
    <row r="2101" spans="2:14" x14ac:dyDescent="0.25">
      <c r="B2101" s="82">
        <f>SUBTOTAL(103,$D$8:D2101)</f>
        <v>2094</v>
      </c>
      <c r="C2101" s="83" t="s">
        <v>2099</v>
      </c>
      <c r="D2101" s="84">
        <v>0</v>
      </c>
      <c r="E2101" s="85" t="str">
        <f t="shared" si="226"/>
        <v/>
      </c>
      <c r="F2101" s="106" t="str">
        <f t="shared" si="232"/>
        <v/>
      </c>
      <c r="G2101" s="86"/>
      <c r="H2101" s="107">
        <f t="shared" si="227"/>
        <v>0</v>
      </c>
      <c r="I2101" s="107">
        <f t="shared" si="228"/>
        <v>0</v>
      </c>
      <c r="J2101" s="87">
        <f>IF($D2101&gt;0,IFERROR(Параметры!$D$42*$H2101/$H$2408,0),0)</f>
        <v>0</v>
      </c>
      <c r="K2101" s="87">
        <f>IFERROR(ROUND($N2101*Параметры!$D$36,2),0)</f>
        <v>0</v>
      </c>
      <c r="L2101" s="87">
        <f t="shared" si="229"/>
        <v>0</v>
      </c>
      <c r="M2101" s="87">
        <f t="shared" si="230"/>
        <v>0</v>
      </c>
      <c r="N2101" s="107" t="str">
        <f t="shared" si="231"/>
        <v/>
      </c>
    </row>
    <row r="2102" spans="2:14" x14ac:dyDescent="0.25">
      <c r="B2102" s="82">
        <f>SUBTOTAL(103,$D$8:D2102)</f>
        <v>2095</v>
      </c>
      <c r="C2102" s="83" t="s">
        <v>2100</v>
      </c>
      <c r="D2102" s="84">
        <v>0</v>
      </c>
      <c r="E2102" s="85" t="str">
        <f t="shared" si="226"/>
        <v/>
      </c>
      <c r="F2102" s="106" t="str">
        <f t="shared" si="232"/>
        <v/>
      </c>
      <c r="G2102" s="86"/>
      <c r="H2102" s="107">
        <f t="shared" si="227"/>
        <v>0</v>
      </c>
      <c r="I2102" s="107">
        <f t="shared" si="228"/>
        <v>0</v>
      </c>
      <c r="J2102" s="87">
        <f>IF($D2102&gt;0,IFERROR(Параметры!$D$42*$H2102/$H$2408,0),0)</f>
        <v>0</v>
      </c>
      <c r="K2102" s="87">
        <f>IFERROR(ROUND($N2102*Параметры!$D$36,2),0)</f>
        <v>0</v>
      </c>
      <c r="L2102" s="87">
        <f t="shared" si="229"/>
        <v>0</v>
      </c>
      <c r="M2102" s="87">
        <f t="shared" si="230"/>
        <v>0</v>
      </c>
      <c r="N2102" s="107" t="str">
        <f t="shared" si="231"/>
        <v/>
      </c>
    </row>
    <row r="2103" spans="2:14" x14ac:dyDescent="0.25">
      <c r="B2103" s="82">
        <f>SUBTOTAL(103,$D$8:D2103)</f>
        <v>2096</v>
      </c>
      <c r="C2103" s="83" t="s">
        <v>2101</v>
      </c>
      <c r="D2103" s="84">
        <v>0</v>
      </c>
      <c r="E2103" s="85" t="str">
        <f t="shared" si="226"/>
        <v/>
      </c>
      <c r="F2103" s="106" t="str">
        <f t="shared" si="232"/>
        <v/>
      </c>
      <c r="G2103" s="86"/>
      <c r="H2103" s="107">
        <f t="shared" si="227"/>
        <v>0</v>
      </c>
      <c r="I2103" s="107">
        <f t="shared" si="228"/>
        <v>0</v>
      </c>
      <c r="J2103" s="87">
        <f>IF($D2103&gt;0,IFERROR(Параметры!$D$42*$H2103/$H$2408,0),0)</f>
        <v>0</v>
      </c>
      <c r="K2103" s="87">
        <f>IFERROR(ROUND($N2103*Параметры!$D$36,2),0)</f>
        <v>0</v>
      </c>
      <c r="L2103" s="87">
        <f t="shared" si="229"/>
        <v>0</v>
      </c>
      <c r="M2103" s="87">
        <f t="shared" si="230"/>
        <v>0</v>
      </c>
      <c r="N2103" s="107" t="str">
        <f t="shared" si="231"/>
        <v/>
      </c>
    </row>
    <row r="2104" spans="2:14" x14ac:dyDescent="0.25">
      <c r="B2104" s="82">
        <f>SUBTOTAL(103,$D$8:D2104)</f>
        <v>2097</v>
      </c>
      <c r="C2104" s="83" t="s">
        <v>2102</v>
      </c>
      <c r="D2104" s="84">
        <v>0</v>
      </c>
      <c r="E2104" s="85" t="str">
        <f t="shared" si="226"/>
        <v/>
      </c>
      <c r="F2104" s="106" t="str">
        <f t="shared" si="232"/>
        <v/>
      </c>
      <c r="G2104" s="86"/>
      <c r="H2104" s="107">
        <f t="shared" si="227"/>
        <v>0</v>
      </c>
      <c r="I2104" s="107">
        <f t="shared" si="228"/>
        <v>0</v>
      </c>
      <c r="J2104" s="87">
        <f>IF($D2104&gt;0,IFERROR(Параметры!$D$42*$H2104/$H$2408,0),0)</f>
        <v>0</v>
      </c>
      <c r="K2104" s="87">
        <f>IFERROR(ROUND($N2104*Параметры!$D$36,2),0)</f>
        <v>0</v>
      </c>
      <c r="L2104" s="87">
        <f t="shared" si="229"/>
        <v>0</v>
      </c>
      <c r="M2104" s="87">
        <f t="shared" si="230"/>
        <v>0</v>
      </c>
      <c r="N2104" s="107" t="str">
        <f t="shared" si="231"/>
        <v/>
      </c>
    </row>
    <row r="2105" spans="2:14" x14ac:dyDescent="0.25">
      <c r="B2105" s="82">
        <f>SUBTOTAL(103,$D$8:D2105)</f>
        <v>2098</v>
      </c>
      <c r="C2105" s="83" t="s">
        <v>2103</v>
      </c>
      <c r="D2105" s="84">
        <v>0</v>
      </c>
      <c r="E2105" s="85" t="str">
        <f t="shared" si="226"/>
        <v/>
      </c>
      <c r="F2105" s="106" t="str">
        <f t="shared" si="232"/>
        <v/>
      </c>
      <c r="G2105" s="86"/>
      <c r="H2105" s="107">
        <f t="shared" si="227"/>
        <v>0</v>
      </c>
      <c r="I2105" s="107">
        <f t="shared" si="228"/>
        <v>0</v>
      </c>
      <c r="J2105" s="87">
        <f>IF($D2105&gt;0,IFERROR(Параметры!$D$42*$H2105/$H$2408,0),0)</f>
        <v>0</v>
      </c>
      <c r="K2105" s="87">
        <f>IFERROR(ROUND($N2105*Параметры!$D$36,2),0)</f>
        <v>0</v>
      </c>
      <c r="L2105" s="87">
        <f t="shared" si="229"/>
        <v>0</v>
      </c>
      <c r="M2105" s="87">
        <f t="shared" si="230"/>
        <v>0</v>
      </c>
      <c r="N2105" s="107" t="str">
        <f t="shared" si="231"/>
        <v/>
      </c>
    </row>
    <row r="2106" spans="2:14" x14ac:dyDescent="0.25">
      <c r="B2106" s="82">
        <f>SUBTOTAL(103,$D$8:D2106)</f>
        <v>2099</v>
      </c>
      <c r="C2106" s="83" t="s">
        <v>2104</v>
      </c>
      <c r="D2106" s="84">
        <v>0</v>
      </c>
      <c r="E2106" s="85" t="str">
        <f t="shared" si="226"/>
        <v/>
      </c>
      <c r="F2106" s="106" t="str">
        <f t="shared" si="232"/>
        <v/>
      </c>
      <c r="G2106" s="86"/>
      <c r="H2106" s="107">
        <f t="shared" si="227"/>
        <v>0</v>
      </c>
      <c r="I2106" s="107">
        <f t="shared" si="228"/>
        <v>0</v>
      </c>
      <c r="J2106" s="87">
        <f>IF($D2106&gt;0,IFERROR(Параметры!$D$42*$H2106/$H$2408,0),0)</f>
        <v>0</v>
      </c>
      <c r="K2106" s="87">
        <f>IFERROR(ROUND($N2106*Параметры!$D$36,2),0)</f>
        <v>0</v>
      </c>
      <c r="L2106" s="87">
        <f t="shared" si="229"/>
        <v>0</v>
      </c>
      <c r="M2106" s="87">
        <f t="shared" si="230"/>
        <v>0</v>
      </c>
      <c r="N2106" s="107" t="str">
        <f t="shared" si="231"/>
        <v/>
      </c>
    </row>
    <row r="2107" spans="2:14" x14ac:dyDescent="0.25">
      <c r="B2107" s="82">
        <f>SUBTOTAL(103,$D$8:D2107)</f>
        <v>2100</v>
      </c>
      <c r="C2107" s="83" t="s">
        <v>2105</v>
      </c>
      <c r="D2107" s="84">
        <v>0</v>
      </c>
      <c r="E2107" s="85" t="str">
        <f t="shared" si="226"/>
        <v/>
      </c>
      <c r="F2107" s="106" t="str">
        <f t="shared" si="232"/>
        <v/>
      </c>
      <c r="G2107" s="86"/>
      <c r="H2107" s="107">
        <f t="shared" si="227"/>
        <v>0</v>
      </c>
      <c r="I2107" s="107">
        <f t="shared" si="228"/>
        <v>0</v>
      </c>
      <c r="J2107" s="87">
        <f>IF($D2107&gt;0,IFERROR(Параметры!$D$42*$H2107/$H$2408,0),0)</f>
        <v>0</v>
      </c>
      <c r="K2107" s="87">
        <f>IFERROR(ROUND($N2107*Параметры!$D$36,2),0)</f>
        <v>0</v>
      </c>
      <c r="L2107" s="87">
        <f t="shared" si="229"/>
        <v>0</v>
      </c>
      <c r="M2107" s="87">
        <f t="shared" si="230"/>
        <v>0</v>
      </c>
      <c r="N2107" s="107" t="str">
        <f t="shared" si="231"/>
        <v/>
      </c>
    </row>
    <row r="2108" spans="2:14" x14ac:dyDescent="0.25">
      <c r="B2108" s="82">
        <f>SUBTOTAL(103,$D$8:D2108)</f>
        <v>2101</v>
      </c>
      <c r="C2108" s="83" t="s">
        <v>2106</v>
      </c>
      <c r="D2108" s="84">
        <f t="array" ref="D2108:D2167">TRANSPOSE('Зарядная карта'!$C$40:$BJ$40)</f>
        <v>0</v>
      </c>
      <c r="E2108" s="85" t="str">
        <f t="shared" si="226"/>
        <v/>
      </c>
      <c r="F2108" s="106" t="str">
        <f t="shared" si="232"/>
        <v/>
      </c>
      <c r="G2108" s="86"/>
      <c r="H2108" s="107">
        <f t="shared" si="227"/>
        <v>0</v>
      </c>
      <c r="I2108" s="107">
        <f t="shared" si="228"/>
        <v>0</v>
      </c>
      <c r="J2108" s="87">
        <f>IF($D2108&gt;0,IFERROR(Параметры!$D$42*$H2108/$H$2408,0),0)</f>
        <v>0</v>
      </c>
      <c r="K2108" s="87">
        <f>IFERROR(ROUND($N2108*Параметры!$D$36,2),0)</f>
        <v>0</v>
      </c>
      <c r="L2108" s="87">
        <f t="shared" si="229"/>
        <v>0</v>
      </c>
      <c r="M2108" s="87">
        <f t="shared" si="230"/>
        <v>0</v>
      </c>
      <c r="N2108" s="107" t="str">
        <f t="shared" si="231"/>
        <v/>
      </c>
    </row>
    <row r="2109" spans="2:14" x14ac:dyDescent="0.25">
      <c r="B2109" s="82">
        <f>SUBTOTAL(103,$D$8:D2109)</f>
        <v>2102</v>
      </c>
      <c r="C2109" s="83" t="s">
        <v>2107</v>
      </c>
      <c r="D2109" s="84">
        <v>0</v>
      </c>
      <c r="E2109" s="85" t="str">
        <f t="shared" si="226"/>
        <v/>
      </c>
      <c r="F2109" s="106" t="str">
        <f t="shared" si="232"/>
        <v/>
      </c>
      <c r="G2109" s="86"/>
      <c r="H2109" s="107">
        <f t="shared" si="227"/>
        <v>0</v>
      </c>
      <c r="I2109" s="107">
        <f t="shared" si="228"/>
        <v>0</v>
      </c>
      <c r="J2109" s="87">
        <f>IF($D2109&gt;0,IFERROR(Параметры!$D$42*$H2109/$H$2408,0),0)</f>
        <v>0</v>
      </c>
      <c r="K2109" s="87">
        <f>IFERROR(ROUND($N2109*Параметры!$D$36,2),0)</f>
        <v>0</v>
      </c>
      <c r="L2109" s="87">
        <f t="shared" si="229"/>
        <v>0</v>
      </c>
      <c r="M2109" s="87">
        <f t="shared" si="230"/>
        <v>0</v>
      </c>
      <c r="N2109" s="107" t="str">
        <f t="shared" si="231"/>
        <v/>
      </c>
    </row>
    <row r="2110" spans="2:14" x14ac:dyDescent="0.25">
      <c r="B2110" s="82">
        <f>SUBTOTAL(103,$D$8:D2110)</f>
        <v>2103</v>
      </c>
      <c r="C2110" s="83" t="s">
        <v>2108</v>
      </c>
      <c r="D2110" s="84">
        <v>0</v>
      </c>
      <c r="E2110" s="85" t="str">
        <f t="shared" si="226"/>
        <v/>
      </c>
      <c r="F2110" s="106" t="str">
        <f t="shared" si="232"/>
        <v/>
      </c>
      <c r="G2110" s="86"/>
      <c r="H2110" s="107">
        <f t="shared" si="227"/>
        <v>0</v>
      </c>
      <c r="I2110" s="107">
        <f t="shared" si="228"/>
        <v>0</v>
      </c>
      <c r="J2110" s="87">
        <f>IF($D2110&gt;0,IFERROR(Параметры!$D$42*$H2110/$H$2408,0),0)</f>
        <v>0</v>
      </c>
      <c r="K2110" s="87">
        <f>IFERROR(ROUND($N2110*Параметры!$D$36,2),0)</f>
        <v>0</v>
      </c>
      <c r="L2110" s="87">
        <f t="shared" si="229"/>
        <v>0</v>
      </c>
      <c r="M2110" s="87">
        <f t="shared" si="230"/>
        <v>0</v>
      </c>
      <c r="N2110" s="107" t="str">
        <f t="shared" si="231"/>
        <v/>
      </c>
    </row>
    <row r="2111" spans="2:14" x14ac:dyDescent="0.25">
      <c r="B2111" s="82">
        <f>SUBTOTAL(103,$D$8:D2111)</f>
        <v>2104</v>
      </c>
      <c r="C2111" s="83" t="s">
        <v>2109</v>
      </c>
      <c r="D2111" s="84">
        <v>0</v>
      </c>
      <c r="E2111" s="85" t="str">
        <f t="shared" si="226"/>
        <v/>
      </c>
      <c r="F2111" s="106" t="str">
        <f t="shared" si="232"/>
        <v/>
      </c>
      <c r="G2111" s="86"/>
      <c r="H2111" s="107">
        <f t="shared" si="227"/>
        <v>0</v>
      </c>
      <c r="I2111" s="107">
        <f t="shared" si="228"/>
        <v>0</v>
      </c>
      <c r="J2111" s="87">
        <f>IF($D2111&gt;0,IFERROR(Параметры!$D$42*$H2111/$H$2408,0),0)</f>
        <v>0</v>
      </c>
      <c r="K2111" s="87">
        <f>IFERROR(ROUND($N2111*Параметры!$D$36,2),0)</f>
        <v>0</v>
      </c>
      <c r="L2111" s="87">
        <f t="shared" si="229"/>
        <v>0</v>
      </c>
      <c r="M2111" s="87">
        <f t="shared" si="230"/>
        <v>0</v>
      </c>
      <c r="N2111" s="107" t="str">
        <f t="shared" si="231"/>
        <v/>
      </c>
    </row>
    <row r="2112" spans="2:14" x14ac:dyDescent="0.25">
      <c r="B2112" s="82">
        <f>SUBTOTAL(103,$D$8:D2112)</f>
        <v>2105</v>
      </c>
      <c r="C2112" s="83" t="s">
        <v>2110</v>
      </c>
      <c r="D2112" s="84">
        <v>0</v>
      </c>
      <c r="E2112" s="85" t="str">
        <f t="shared" si="226"/>
        <v/>
      </c>
      <c r="F2112" s="106" t="str">
        <f t="shared" si="232"/>
        <v/>
      </c>
      <c r="G2112" s="86"/>
      <c r="H2112" s="107">
        <f t="shared" si="227"/>
        <v>0</v>
      </c>
      <c r="I2112" s="107">
        <f t="shared" si="228"/>
        <v>0</v>
      </c>
      <c r="J2112" s="87">
        <f>IF($D2112&gt;0,IFERROR(Параметры!$D$42*$H2112/$H$2408,0),0)</f>
        <v>0</v>
      </c>
      <c r="K2112" s="87">
        <f>IFERROR(ROUND($N2112*Параметры!$D$36,2),0)</f>
        <v>0</v>
      </c>
      <c r="L2112" s="87">
        <f t="shared" si="229"/>
        <v>0</v>
      </c>
      <c r="M2112" s="87">
        <f t="shared" si="230"/>
        <v>0</v>
      </c>
      <c r="N2112" s="107" t="str">
        <f t="shared" si="231"/>
        <v/>
      </c>
    </row>
    <row r="2113" spans="2:14" x14ac:dyDescent="0.25">
      <c r="B2113" s="82">
        <f>SUBTOTAL(103,$D$8:D2113)</f>
        <v>2106</v>
      </c>
      <c r="C2113" s="83" t="s">
        <v>2111</v>
      </c>
      <c r="D2113" s="84">
        <v>0</v>
      </c>
      <c r="E2113" s="85" t="str">
        <f t="shared" si="226"/>
        <v/>
      </c>
      <c r="F2113" s="106" t="str">
        <f t="shared" si="232"/>
        <v/>
      </c>
      <c r="G2113" s="86"/>
      <c r="H2113" s="107">
        <f t="shared" si="227"/>
        <v>0</v>
      </c>
      <c r="I2113" s="107">
        <f t="shared" si="228"/>
        <v>0</v>
      </c>
      <c r="J2113" s="87">
        <f>IF($D2113&gt;0,IFERROR(Параметры!$D$42*$H2113/$H$2408,0),0)</f>
        <v>0</v>
      </c>
      <c r="K2113" s="87">
        <f>IFERROR(ROUND($N2113*Параметры!$D$36,2),0)</f>
        <v>0</v>
      </c>
      <c r="L2113" s="87">
        <f t="shared" si="229"/>
        <v>0</v>
      </c>
      <c r="M2113" s="87">
        <f t="shared" si="230"/>
        <v>0</v>
      </c>
      <c r="N2113" s="107" t="str">
        <f t="shared" si="231"/>
        <v/>
      </c>
    </row>
    <row r="2114" spans="2:14" x14ac:dyDescent="0.25">
      <c r="B2114" s="82">
        <f>SUBTOTAL(103,$D$8:D2114)</f>
        <v>2107</v>
      </c>
      <c r="C2114" s="83" t="s">
        <v>2112</v>
      </c>
      <c r="D2114" s="84">
        <v>0</v>
      </c>
      <c r="E2114" s="85" t="str">
        <f t="shared" si="226"/>
        <v/>
      </c>
      <c r="F2114" s="106" t="str">
        <f t="shared" si="232"/>
        <v/>
      </c>
      <c r="G2114" s="86"/>
      <c r="H2114" s="107">
        <f t="shared" si="227"/>
        <v>0</v>
      </c>
      <c r="I2114" s="107">
        <f t="shared" si="228"/>
        <v>0</v>
      </c>
      <c r="J2114" s="87">
        <f>IF($D2114&gt;0,IFERROR(Параметры!$D$42*$H2114/$H$2408,0),0)</f>
        <v>0</v>
      </c>
      <c r="K2114" s="87">
        <f>IFERROR(ROUND($N2114*Параметры!$D$36,2),0)</f>
        <v>0</v>
      </c>
      <c r="L2114" s="87">
        <f t="shared" si="229"/>
        <v>0</v>
      </c>
      <c r="M2114" s="87">
        <f t="shared" si="230"/>
        <v>0</v>
      </c>
      <c r="N2114" s="107" t="str">
        <f t="shared" si="231"/>
        <v/>
      </c>
    </row>
    <row r="2115" spans="2:14" x14ac:dyDescent="0.25">
      <c r="B2115" s="82">
        <f>SUBTOTAL(103,$D$8:D2115)</f>
        <v>2108</v>
      </c>
      <c r="C2115" s="83" t="s">
        <v>2113</v>
      </c>
      <c r="D2115" s="84">
        <v>0</v>
      </c>
      <c r="E2115" s="85" t="str">
        <f t="shared" si="226"/>
        <v/>
      </c>
      <c r="F2115" s="106" t="str">
        <f t="shared" si="232"/>
        <v/>
      </c>
      <c r="G2115" s="86"/>
      <c r="H2115" s="107">
        <f t="shared" si="227"/>
        <v>0</v>
      </c>
      <c r="I2115" s="107">
        <f t="shared" si="228"/>
        <v>0</v>
      </c>
      <c r="J2115" s="87">
        <f>IF($D2115&gt;0,IFERROR(Параметры!$D$42*$H2115/$H$2408,0),0)</f>
        <v>0</v>
      </c>
      <c r="K2115" s="87">
        <f>IFERROR(ROUND($N2115*Параметры!$D$36,2),0)</f>
        <v>0</v>
      </c>
      <c r="L2115" s="87">
        <f t="shared" si="229"/>
        <v>0</v>
      </c>
      <c r="M2115" s="87">
        <f t="shared" si="230"/>
        <v>0</v>
      </c>
      <c r="N2115" s="107" t="str">
        <f t="shared" si="231"/>
        <v/>
      </c>
    </row>
    <row r="2116" spans="2:14" x14ac:dyDescent="0.25">
      <c r="B2116" s="82">
        <f>SUBTOTAL(103,$D$8:D2116)</f>
        <v>2109</v>
      </c>
      <c r="C2116" s="83" t="s">
        <v>2114</v>
      </c>
      <c r="D2116" s="84">
        <v>0</v>
      </c>
      <c r="E2116" s="85" t="str">
        <f t="shared" si="226"/>
        <v/>
      </c>
      <c r="F2116" s="106" t="str">
        <f t="shared" si="232"/>
        <v/>
      </c>
      <c r="G2116" s="86"/>
      <c r="H2116" s="107">
        <f t="shared" si="227"/>
        <v>0</v>
      </c>
      <c r="I2116" s="107">
        <f t="shared" si="228"/>
        <v>0</v>
      </c>
      <c r="J2116" s="87">
        <f>IF($D2116&gt;0,IFERROR(Параметры!$D$42*$H2116/$H$2408,0),0)</f>
        <v>0</v>
      </c>
      <c r="K2116" s="87">
        <f>IFERROR(ROUND($N2116*Параметры!$D$36,2),0)</f>
        <v>0</v>
      </c>
      <c r="L2116" s="87">
        <f t="shared" si="229"/>
        <v>0</v>
      </c>
      <c r="M2116" s="87">
        <f t="shared" si="230"/>
        <v>0</v>
      </c>
      <c r="N2116" s="107" t="str">
        <f t="shared" si="231"/>
        <v/>
      </c>
    </row>
    <row r="2117" spans="2:14" x14ac:dyDescent="0.25">
      <c r="B2117" s="82">
        <f>SUBTOTAL(103,$D$8:D2117)</f>
        <v>2110</v>
      </c>
      <c r="C2117" s="83" t="s">
        <v>2115</v>
      </c>
      <c r="D2117" s="84">
        <v>0</v>
      </c>
      <c r="E2117" s="85" t="str">
        <f t="shared" si="226"/>
        <v/>
      </c>
      <c r="F2117" s="106" t="str">
        <f t="shared" si="232"/>
        <v/>
      </c>
      <c r="G2117" s="86"/>
      <c r="H2117" s="107">
        <f t="shared" si="227"/>
        <v>0</v>
      </c>
      <c r="I2117" s="107">
        <f t="shared" si="228"/>
        <v>0</v>
      </c>
      <c r="J2117" s="87">
        <f>IF($D2117&gt;0,IFERROR(Параметры!$D$42*$H2117/$H$2408,0),0)</f>
        <v>0</v>
      </c>
      <c r="K2117" s="87">
        <f>IFERROR(ROUND($N2117*Параметры!$D$36,2),0)</f>
        <v>0</v>
      </c>
      <c r="L2117" s="87">
        <f t="shared" si="229"/>
        <v>0</v>
      </c>
      <c r="M2117" s="87">
        <f t="shared" si="230"/>
        <v>0</v>
      </c>
      <c r="N2117" s="107" t="str">
        <f t="shared" si="231"/>
        <v/>
      </c>
    </row>
    <row r="2118" spans="2:14" x14ac:dyDescent="0.25">
      <c r="B2118" s="82">
        <f>SUBTOTAL(103,$D$8:D2118)</f>
        <v>2111</v>
      </c>
      <c r="C2118" s="83" t="s">
        <v>2116</v>
      </c>
      <c r="D2118" s="84">
        <v>0</v>
      </c>
      <c r="E2118" s="85" t="str">
        <f t="shared" si="226"/>
        <v/>
      </c>
      <c r="F2118" s="106" t="str">
        <f t="shared" si="232"/>
        <v/>
      </c>
      <c r="G2118" s="86"/>
      <c r="H2118" s="107">
        <f t="shared" si="227"/>
        <v>0</v>
      </c>
      <c r="I2118" s="107">
        <f t="shared" si="228"/>
        <v>0</v>
      </c>
      <c r="J2118" s="87">
        <f>IF($D2118&gt;0,IFERROR(Параметры!$D$42*$H2118/$H$2408,0),0)</f>
        <v>0</v>
      </c>
      <c r="K2118" s="87">
        <f>IFERROR(ROUND($N2118*Параметры!$D$36,2),0)</f>
        <v>0</v>
      </c>
      <c r="L2118" s="87">
        <f t="shared" si="229"/>
        <v>0</v>
      </c>
      <c r="M2118" s="87">
        <f t="shared" si="230"/>
        <v>0</v>
      </c>
      <c r="N2118" s="107" t="str">
        <f t="shared" si="231"/>
        <v/>
      </c>
    </row>
    <row r="2119" spans="2:14" x14ac:dyDescent="0.25">
      <c r="B2119" s="82">
        <f>SUBTOTAL(103,$D$8:D2119)</f>
        <v>2112</v>
      </c>
      <c r="C2119" s="83" t="s">
        <v>2117</v>
      </c>
      <c r="D2119" s="84">
        <v>0</v>
      </c>
      <c r="E2119" s="85" t="str">
        <f t="shared" si="226"/>
        <v/>
      </c>
      <c r="F2119" s="106" t="str">
        <f t="shared" si="232"/>
        <v/>
      </c>
      <c r="G2119" s="86"/>
      <c r="H2119" s="107">
        <f t="shared" si="227"/>
        <v>0</v>
      </c>
      <c r="I2119" s="107">
        <f t="shared" si="228"/>
        <v>0</v>
      </c>
      <c r="J2119" s="87">
        <f>IF($D2119&gt;0,IFERROR(Параметры!$D$42*$H2119/$H$2408,0),0)</f>
        <v>0</v>
      </c>
      <c r="K2119" s="87">
        <f>IFERROR(ROUND($N2119*Параметры!$D$36,2),0)</f>
        <v>0</v>
      </c>
      <c r="L2119" s="87">
        <f t="shared" si="229"/>
        <v>0</v>
      </c>
      <c r="M2119" s="87">
        <f t="shared" si="230"/>
        <v>0</v>
      </c>
      <c r="N2119" s="107" t="str">
        <f t="shared" si="231"/>
        <v/>
      </c>
    </row>
    <row r="2120" spans="2:14" x14ac:dyDescent="0.25">
      <c r="B2120" s="82">
        <f>SUBTOTAL(103,$D$8:D2120)</f>
        <v>2113</v>
      </c>
      <c r="C2120" s="83" t="s">
        <v>2118</v>
      </c>
      <c r="D2120" s="84">
        <v>0</v>
      </c>
      <c r="E2120" s="85" t="str">
        <f t="shared" ref="E2120:E2183" si="233">IF($D2120&lt;1,"",$K2120+$L2120)</f>
        <v/>
      </c>
      <c r="F2120" s="106" t="str">
        <f t="shared" si="232"/>
        <v/>
      </c>
      <c r="G2120" s="86"/>
      <c r="H2120" s="107">
        <f t="shared" ref="H2120:H2183" si="234">IF($D2120&gt;0,$D2120*КИС,0)</f>
        <v>0</v>
      </c>
      <c r="I2120" s="107">
        <f t="shared" ref="I2120:I2183" si="235">IF($D2120&gt;0,$D2120-$H2120,0)</f>
        <v>0</v>
      </c>
      <c r="J2120" s="87">
        <f>IF($D2120&gt;0,IFERROR(Параметры!$D$42*$H2120/$H$2408,0),0)</f>
        <v>0</v>
      </c>
      <c r="K2120" s="87">
        <f>IFERROR(ROUND($N2120*Параметры!$D$36,2),0)</f>
        <v>0</v>
      </c>
      <c r="L2120" s="87">
        <f t="shared" ref="L2120:L2183" si="236">IF($K2120&gt;0,$K2120*0.055,0)</f>
        <v>0</v>
      </c>
      <c r="M2120" s="87">
        <f t="shared" ref="M2120:M2183" si="237">IFERROR($L2120/Плотность_ДТ,0)</f>
        <v>0</v>
      </c>
      <c r="N2120" s="107" t="str">
        <f t="shared" ref="N2120:N2183" si="238">IF($D2120&gt;0,MAX(0,$D2120-IF($F2120="",0,$F2120)),"")</f>
        <v/>
      </c>
    </row>
    <row r="2121" spans="2:14" x14ac:dyDescent="0.25">
      <c r="B2121" s="82">
        <f>SUBTOTAL(103,$D$8:D2121)</f>
        <v>2114</v>
      </c>
      <c r="C2121" s="83" t="s">
        <v>2119</v>
      </c>
      <c r="D2121" s="84">
        <v>0</v>
      </c>
      <c r="E2121" s="85" t="str">
        <f t="shared" si="233"/>
        <v/>
      </c>
      <c r="F2121" s="106" t="str">
        <f t="shared" si="232"/>
        <v/>
      </c>
      <c r="G2121" s="86"/>
      <c r="H2121" s="107">
        <f t="shared" si="234"/>
        <v>0</v>
      </c>
      <c r="I2121" s="107">
        <f t="shared" si="235"/>
        <v>0</v>
      </c>
      <c r="J2121" s="87">
        <f>IF($D2121&gt;0,IFERROR(Параметры!$D$42*$H2121/$H$2408,0),0)</f>
        <v>0</v>
      </c>
      <c r="K2121" s="87">
        <f>IFERROR(ROUND($N2121*Параметры!$D$36,2),0)</f>
        <v>0</v>
      </c>
      <c r="L2121" s="87">
        <f t="shared" si="236"/>
        <v>0</v>
      </c>
      <c r="M2121" s="87">
        <f t="shared" si="237"/>
        <v>0</v>
      </c>
      <c r="N2121" s="107" t="str">
        <f t="shared" si="238"/>
        <v/>
      </c>
    </row>
    <row r="2122" spans="2:14" x14ac:dyDescent="0.25">
      <c r="B2122" s="82">
        <f>SUBTOTAL(103,$D$8:D2122)</f>
        <v>2115</v>
      </c>
      <c r="C2122" s="83" t="s">
        <v>2120</v>
      </c>
      <c r="D2122" s="84">
        <v>0</v>
      </c>
      <c r="E2122" s="85" t="str">
        <f t="shared" si="233"/>
        <v/>
      </c>
      <c r="F2122" s="106" t="str">
        <f t="shared" si="232"/>
        <v/>
      </c>
      <c r="G2122" s="86"/>
      <c r="H2122" s="107">
        <f t="shared" si="234"/>
        <v>0</v>
      </c>
      <c r="I2122" s="107">
        <f t="shared" si="235"/>
        <v>0</v>
      </c>
      <c r="J2122" s="87">
        <f>IF($D2122&gt;0,IFERROR(Параметры!$D$42*$H2122/$H$2408,0),0)</f>
        <v>0</v>
      </c>
      <c r="K2122" s="87">
        <f>IFERROR(ROUND($N2122*Параметры!$D$36,2),0)</f>
        <v>0</v>
      </c>
      <c r="L2122" s="87">
        <f t="shared" si="236"/>
        <v>0</v>
      </c>
      <c r="M2122" s="87">
        <f t="shared" si="237"/>
        <v>0</v>
      </c>
      <c r="N2122" s="107" t="str">
        <f t="shared" si="238"/>
        <v/>
      </c>
    </row>
    <row r="2123" spans="2:14" x14ac:dyDescent="0.25">
      <c r="B2123" s="82">
        <f>SUBTOTAL(103,$D$8:D2123)</f>
        <v>2116</v>
      </c>
      <c r="C2123" s="83" t="s">
        <v>2121</v>
      </c>
      <c r="D2123" s="84">
        <v>0</v>
      </c>
      <c r="E2123" s="85" t="str">
        <f t="shared" si="233"/>
        <v/>
      </c>
      <c r="F2123" s="106" t="str">
        <f t="shared" ref="F2123:F2186" si="239">IF(D2123&gt;0,2,"")</f>
        <v/>
      </c>
      <c r="G2123" s="86"/>
      <c r="H2123" s="107">
        <f t="shared" si="234"/>
        <v>0</v>
      </c>
      <c r="I2123" s="107">
        <f t="shared" si="235"/>
        <v>0</v>
      </c>
      <c r="J2123" s="87">
        <f>IF($D2123&gt;0,IFERROR(Параметры!$D$42*$H2123/$H$2408,0),0)</f>
        <v>0</v>
      </c>
      <c r="K2123" s="87">
        <f>IFERROR(ROUND($N2123*Параметры!$D$36,2),0)</f>
        <v>0</v>
      </c>
      <c r="L2123" s="87">
        <f t="shared" si="236"/>
        <v>0</v>
      </c>
      <c r="M2123" s="87">
        <f t="shared" si="237"/>
        <v>0</v>
      </c>
      <c r="N2123" s="107" t="str">
        <f t="shared" si="238"/>
        <v/>
      </c>
    </row>
    <row r="2124" spans="2:14" x14ac:dyDescent="0.25">
      <c r="B2124" s="82">
        <f>SUBTOTAL(103,$D$8:D2124)</f>
        <v>2117</v>
      </c>
      <c r="C2124" s="83" t="s">
        <v>2122</v>
      </c>
      <c r="D2124" s="84">
        <v>0</v>
      </c>
      <c r="E2124" s="85" t="str">
        <f t="shared" si="233"/>
        <v/>
      </c>
      <c r="F2124" s="106" t="str">
        <f t="shared" si="239"/>
        <v/>
      </c>
      <c r="G2124" s="86"/>
      <c r="H2124" s="107">
        <f t="shared" si="234"/>
        <v>0</v>
      </c>
      <c r="I2124" s="107">
        <f t="shared" si="235"/>
        <v>0</v>
      </c>
      <c r="J2124" s="87">
        <f>IF($D2124&gt;0,IFERROR(Параметры!$D$42*$H2124/$H$2408,0),0)</f>
        <v>0</v>
      </c>
      <c r="K2124" s="87">
        <f>IFERROR(ROUND($N2124*Параметры!$D$36,2),0)</f>
        <v>0</v>
      </c>
      <c r="L2124" s="87">
        <f t="shared" si="236"/>
        <v>0</v>
      </c>
      <c r="M2124" s="87">
        <f t="shared" si="237"/>
        <v>0</v>
      </c>
      <c r="N2124" s="107" t="str">
        <f t="shared" si="238"/>
        <v/>
      </c>
    </row>
    <row r="2125" spans="2:14" x14ac:dyDescent="0.25">
      <c r="B2125" s="82">
        <f>SUBTOTAL(103,$D$8:D2125)</f>
        <v>2118</v>
      </c>
      <c r="C2125" s="83" t="s">
        <v>2123</v>
      </c>
      <c r="D2125" s="84">
        <v>0</v>
      </c>
      <c r="E2125" s="85" t="str">
        <f t="shared" si="233"/>
        <v/>
      </c>
      <c r="F2125" s="106" t="str">
        <f t="shared" si="239"/>
        <v/>
      </c>
      <c r="G2125" s="86"/>
      <c r="H2125" s="107">
        <f t="shared" si="234"/>
        <v>0</v>
      </c>
      <c r="I2125" s="107">
        <f t="shared" si="235"/>
        <v>0</v>
      </c>
      <c r="J2125" s="87">
        <f>IF($D2125&gt;0,IFERROR(Параметры!$D$42*$H2125/$H$2408,0),0)</f>
        <v>0</v>
      </c>
      <c r="K2125" s="87">
        <f>IFERROR(ROUND($N2125*Параметры!$D$36,2),0)</f>
        <v>0</v>
      </c>
      <c r="L2125" s="87">
        <f t="shared" si="236"/>
        <v>0</v>
      </c>
      <c r="M2125" s="87">
        <f t="shared" si="237"/>
        <v>0</v>
      </c>
      <c r="N2125" s="107" t="str">
        <f t="shared" si="238"/>
        <v/>
      </c>
    </row>
    <row r="2126" spans="2:14" x14ac:dyDescent="0.25">
      <c r="B2126" s="82">
        <f>SUBTOTAL(103,$D$8:D2126)</f>
        <v>2119</v>
      </c>
      <c r="C2126" s="83" t="s">
        <v>2124</v>
      </c>
      <c r="D2126" s="84">
        <v>0</v>
      </c>
      <c r="E2126" s="85" t="str">
        <f t="shared" si="233"/>
        <v/>
      </c>
      <c r="F2126" s="106" t="str">
        <f t="shared" si="239"/>
        <v/>
      </c>
      <c r="G2126" s="86"/>
      <c r="H2126" s="107">
        <f t="shared" si="234"/>
        <v>0</v>
      </c>
      <c r="I2126" s="107">
        <f t="shared" si="235"/>
        <v>0</v>
      </c>
      <c r="J2126" s="87">
        <f>IF($D2126&gt;0,IFERROR(Параметры!$D$42*$H2126/$H$2408,0),0)</f>
        <v>0</v>
      </c>
      <c r="K2126" s="87">
        <f>IFERROR(ROUND($N2126*Параметры!$D$36,2),0)</f>
        <v>0</v>
      </c>
      <c r="L2126" s="87">
        <f t="shared" si="236"/>
        <v>0</v>
      </c>
      <c r="M2126" s="87">
        <f t="shared" si="237"/>
        <v>0</v>
      </c>
      <c r="N2126" s="107" t="str">
        <f t="shared" si="238"/>
        <v/>
      </c>
    </row>
    <row r="2127" spans="2:14" x14ac:dyDescent="0.25">
      <c r="B2127" s="82">
        <f>SUBTOTAL(103,$D$8:D2127)</f>
        <v>2120</v>
      </c>
      <c r="C2127" s="83" t="s">
        <v>2125</v>
      </c>
      <c r="D2127" s="84">
        <v>0</v>
      </c>
      <c r="E2127" s="85" t="str">
        <f t="shared" si="233"/>
        <v/>
      </c>
      <c r="F2127" s="106" t="str">
        <f t="shared" si="239"/>
        <v/>
      </c>
      <c r="G2127" s="86"/>
      <c r="H2127" s="107">
        <f t="shared" si="234"/>
        <v>0</v>
      </c>
      <c r="I2127" s="107">
        <f t="shared" si="235"/>
        <v>0</v>
      </c>
      <c r="J2127" s="87">
        <f>IF($D2127&gt;0,IFERROR(Параметры!$D$42*$H2127/$H$2408,0),0)</f>
        <v>0</v>
      </c>
      <c r="K2127" s="87">
        <f>IFERROR(ROUND($N2127*Параметры!$D$36,2),0)</f>
        <v>0</v>
      </c>
      <c r="L2127" s="87">
        <f t="shared" si="236"/>
        <v>0</v>
      </c>
      <c r="M2127" s="87">
        <f t="shared" si="237"/>
        <v>0</v>
      </c>
      <c r="N2127" s="107" t="str">
        <f t="shared" si="238"/>
        <v/>
      </c>
    </row>
    <row r="2128" spans="2:14" x14ac:dyDescent="0.25">
      <c r="B2128" s="82">
        <f>SUBTOTAL(103,$D$8:D2128)</f>
        <v>2121</v>
      </c>
      <c r="C2128" s="83" t="s">
        <v>2126</v>
      </c>
      <c r="D2128" s="84">
        <v>0</v>
      </c>
      <c r="E2128" s="85" t="str">
        <f t="shared" si="233"/>
        <v/>
      </c>
      <c r="F2128" s="106" t="str">
        <f t="shared" si="239"/>
        <v/>
      </c>
      <c r="G2128" s="86"/>
      <c r="H2128" s="107">
        <f t="shared" si="234"/>
        <v>0</v>
      </c>
      <c r="I2128" s="107">
        <f t="shared" si="235"/>
        <v>0</v>
      </c>
      <c r="J2128" s="87">
        <f>IF($D2128&gt;0,IFERROR(Параметры!$D$42*$H2128/$H$2408,0),0)</f>
        <v>0</v>
      </c>
      <c r="K2128" s="87">
        <f>IFERROR(ROUND($N2128*Параметры!$D$36,2),0)</f>
        <v>0</v>
      </c>
      <c r="L2128" s="87">
        <f t="shared" si="236"/>
        <v>0</v>
      </c>
      <c r="M2128" s="87">
        <f t="shared" si="237"/>
        <v>0</v>
      </c>
      <c r="N2128" s="107" t="str">
        <f t="shared" si="238"/>
        <v/>
      </c>
    </row>
    <row r="2129" spans="2:14" x14ac:dyDescent="0.25">
      <c r="B2129" s="82">
        <f>SUBTOTAL(103,$D$8:D2129)</f>
        <v>2122</v>
      </c>
      <c r="C2129" s="83" t="s">
        <v>2127</v>
      </c>
      <c r="D2129" s="84">
        <v>0</v>
      </c>
      <c r="E2129" s="85" t="str">
        <f t="shared" si="233"/>
        <v/>
      </c>
      <c r="F2129" s="106" t="str">
        <f t="shared" si="239"/>
        <v/>
      </c>
      <c r="G2129" s="86"/>
      <c r="H2129" s="107">
        <f t="shared" si="234"/>
        <v>0</v>
      </c>
      <c r="I2129" s="107">
        <f t="shared" si="235"/>
        <v>0</v>
      </c>
      <c r="J2129" s="87">
        <f>IF($D2129&gt;0,IFERROR(Параметры!$D$42*$H2129/$H$2408,0),0)</f>
        <v>0</v>
      </c>
      <c r="K2129" s="87">
        <f>IFERROR(ROUND($N2129*Параметры!$D$36,2),0)</f>
        <v>0</v>
      </c>
      <c r="L2129" s="87">
        <f t="shared" si="236"/>
        <v>0</v>
      </c>
      <c r="M2129" s="87">
        <f t="shared" si="237"/>
        <v>0</v>
      </c>
      <c r="N2129" s="107" t="str">
        <f t="shared" si="238"/>
        <v/>
      </c>
    </row>
    <row r="2130" spans="2:14" x14ac:dyDescent="0.25">
      <c r="B2130" s="82">
        <f>SUBTOTAL(103,$D$8:D2130)</f>
        <v>2123</v>
      </c>
      <c r="C2130" s="83" t="s">
        <v>2128</v>
      </c>
      <c r="D2130" s="84">
        <v>0</v>
      </c>
      <c r="E2130" s="85" t="str">
        <f t="shared" si="233"/>
        <v/>
      </c>
      <c r="F2130" s="106" t="str">
        <f t="shared" si="239"/>
        <v/>
      </c>
      <c r="G2130" s="86"/>
      <c r="H2130" s="107">
        <f t="shared" si="234"/>
        <v>0</v>
      </c>
      <c r="I2130" s="107">
        <f t="shared" si="235"/>
        <v>0</v>
      </c>
      <c r="J2130" s="87">
        <f>IF($D2130&gt;0,IFERROR(Параметры!$D$42*$H2130/$H$2408,0),0)</f>
        <v>0</v>
      </c>
      <c r="K2130" s="87">
        <f>IFERROR(ROUND($N2130*Параметры!$D$36,2),0)</f>
        <v>0</v>
      </c>
      <c r="L2130" s="87">
        <f t="shared" si="236"/>
        <v>0</v>
      </c>
      <c r="M2130" s="87">
        <f t="shared" si="237"/>
        <v>0</v>
      </c>
      <c r="N2130" s="107" t="str">
        <f t="shared" si="238"/>
        <v/>
      </c>
    </row>
    <row r="2131" spans="2:14" x14ac:dyDescent="0.25">
      <c r="B2131" s="82">
        <f>SUBTOTAL(103,$D$8:D2131)</f>
        <v>2124</v>
      </c>
      <c r="C2131" s="83" t="s">
        <v>2129</v>
      </c>
      <c r="D2131" s="84">
        <v>0</v>
      </c>
      <c r="E2131" s="85" t="str">
        <f t="shared" si="233"/>
        <v/>
      </c>
      <c r="F2131" s="106" t="str">
        <f t="shared" si="239"/>
        <v/>
      </c>
      <c r="G2131" s="86"/>
      <c r="H2131" s="107">
        <f t="shared" si="234"/>
        <v>0</v>
      </c>
      <c r="I2131" s="107">
        <f t="shared" si="235"/>
        <v>0</v>
      </c>
      <c r="J2131" s="87">
        <f>IF($D2131&gt;0,IFERROR(Параметры!$D$42*$H2131/$H$2408,0),0)</f>
        <v>0</v>
      </c>
      <c r="K2131" s="87">
        <f>IFERROR(ROUND($N2131*Параметры!$D$36,2),0)</f>
        <v>0</v>
      </c>
      <c r="L2131" s="87">
        <f t="shared" si="236"/>
        <v>0</v>
      </c>
      <c r="M2131" s="87">
        <f t="shared" si="237"/>
        <v>0</v>
      </c>
      <c r="N2131" s="107" t="str">
        <f t="shared" si="238"/>
        <v/>
      </c>
    </row>
    <row r="2132" spans="2:14" x14ac:dyDescent="0.25">
      <c r="B2132" s="82">
        <f>SUBTOTAL(103,$D$8:D2132)</f>
        <v>2125</v>
      </c>
      <c r="C2132" s="83" t="s">
        <v>2130</v>
      </c>
      <c r="D2132" s="84">
        <v>0</v>
      </c>
      <c r="E2132" s="85" t="str">
        <f t="shared" si="233"/>
        <v/>
      </c>
      <c r="F2132" s="106" t="str">
        <f t="shared" si="239"/>
        <v/>
      </c>
      <c r="G2132" s="86"/>
      <c r="H2132" s="107">
        <f t="shared" si="234"/>
        <v>0</v>
      </c>
      <c r="I2132" s="107">
        <f t="shared" si="235"/>
        <v>0</v>
      </c>
      <c r="J2132" s="87">
        <f>IF($D2132&gt;0,IFERROR(Параметры!$D$42*$H2132/$H$2408,0),0)</f>
        <v>0</v>
      </c>
      <c r="K2132" s="87">
        <f>IFERROR(ROUND($N2132*Параметры!$D$36,2),0)</f>
        <v>0</v>
      </c>
      <c r="L2132" s="87">
        <f t="shared" si="236"/>
        <v>0</v>
      </c>
      <c r="M2132" s="87">
        <f t="shared" si="237"/>
        <v>0</v>
      </c>
      <c r="N2132" s="107" t="str">
        <f t="shared" si="238"/>
        <v/>
      </c>
    </row>
    <row r="2133" spans="2:14" x14ac:dyDescent="0.25">
      <c r="B2133" s="82">
        <f>SUBTOTAL(103,$D$8:D2133)</f>
        <v>2126</v>
      </c>
      <c r="C2133" s="83" t="s">
        <v>2131</v>
      </c>
      <c r="D2133" s="84">
        <v>0</v>
      </c>
      <c r="E2133" s="85" t="str">
        <f t="shared" si="233"/>
        <v/>
      </c>
      <c r="F2133" s="106" t="str">
        <f t="shared" si="239"/>
        <v/>
      </c>
      <c r="G2133" s="86"/>
      <c r="H2133" s="107">
        <f t="shared" si="234"/>
        <v>0</v>
      </c>
      <c r="I2133" s="107">
        <f t="shared" si="235"/>
        <v>0</v>
      </c>
      <c r="J2133" s="87">
        <f>IF($D2133&gt;0,IFERROR(Параметры!$D$42*$H2133/$H$2408,0),0)</f>
        <v>0</v>
      </c>
      <c r="K2133" s="87">
        <f>IFERROR(ROUND($N2133*Параметры!$D$36,2),0)</f>
        <v>0</v>
      </c>
      <c r="L2133" s="87">
        <f t="shared" si="236"/>
        <v>0</v>
      </c>
      <c r="M2133" s="87">
        <f t="shared" si="237"/>
        <v>0</v>
      </c>
      <c r="N2133" s="107" t="str">
        <f t="shared" si="238"/>
        <v/>
      </c>
    </row>
    <row r="2134" spans="2:14" x14ac:dyDescent="0.25">
      <c r="B2134" s="82">
        <f>SUBTOTAL(103,$D$8:D2134)</f>
        <v>2127</v>
      </c>
      <c r="C2134" s="83" t="s">
        <v>2132</v>
      </c>
      <c r="D2134" s="84">
        <v>0</v>
      </c>
      <c r="E2134" s="85" t="str">
        <f t="shared" si="233"/>
        <v/>
      </c>
      <c r="F2134" s="106" t="str">
        <f t="shared" si="239"/>
        <v/>
      </c>
      <c r="G2134" s="86"/>
      <c r="H2134" s="107">
        <f t="shared" si="234"/>
        <v>0</v>
      </c>
      <c r="I2134" s="107">
        <f t="shared" si="235"/>
        <v>0</v>
      </c>
      <c r="J2134" s="87">
        <f>IF($D2134&gt;0,IFERROR(Параметры!$D$42*$H2134/$H$2408,0),0)</f>
        <v>0</v>
      </c>
      <c r="K2134" s="87">
        <f>IFERROR(ROUND($N2134*Параметры!$D$36,2),0)</f>
        <v>0</v>
      </c>
      <c r="L2134" s="87">
        <f t="shared" si="236"/>
        <v>0</v>
      </c>
      <c r="M2134" s="87">
        <f t="shared" si="237"/>
        <v>0</v>
      </c>
      <c r="N2134" s="107" t="str">
        <f t="shared" si="238"/>
        <v/>
      </c>
    </row>
    <row r="2135" spans="2:14" x14ac:dyDescent="0.25">
      <c r="B2135" s="82">
        <f>SUBTOTAL(103,$D$8:D2135)</f>
        <v>2128</v>
      </c>
      <c r="C2135" s="83" t="s">
        <v>2133</v>
      </c>
      <c r="D2135" s="84">
        <v>0</v>
      </c>
      <c r="E2135" s="85" t="str">
        <f t="shared" si="233"/>
        <v/>
      </c>
      <c r="F2135" s="106" t="str">
        <f t="shared" si="239"/>
        <v/>
      </c>
      <c r="G2135" s="86"/>
      <c r="H2135" s="107">
        <f t="shared" si="234"/>
        <v>0</v>
      </c>
      <c r="I2135" s="107">
        <f t="shared" si="235"/>
        <v>0</v>
      </c>
      <c r="J2135" s="87">
        <f>IF($D2135&gt;0,IFERROR(Параметры!$D$42*$H2135/$H$2408,0),0)</f>
        <v>0</v>
      </c>
      <c r="K2135" s="87">
        <f>IFERROR(ROUND($N2135*Параметры!$D$36,2),0)</f>
        <v>0</v>
      </c>
      <c r="L2135" s="87">
        <f t="shared" si="236"/>
        <v>0</v>
      </c>
      <c r="M2135" s="87">
        <f t="shared" si="237"/>
        <v>0</v>
      </c>
      <c r="N2135" s="107" t="str">
        <f t="shared" si="238"/>
        <v/>
      </c>
    </row>
    <row r="2136" spans="2:14" x14ac:dyDescent="0.25">
      <c r="B2136" s="82">
        <f>SUBTOTAL(103,$D$8:D2136)</f>
        <v>2129</v>
      </c>
      <c r="C2136" s="83" t="s">
        <v>2134</v>
      </c>
      <c r="D2136" s="84">
        <v>0</v>
      </c>
      <c r="E2136" s="85" t="str">
        <f t="shared" si="233"/>
        <v/>
      </c>
      <c r="F2136" s="106" t="str">
        <f t="shared" si="239"/>
        <v/>
      </c>
      <c r="G2136" s="86"/>
      <c r="H2136" s="107">
        <f t="shared" si="234"/>
        <v>0</v>
      </c>
      <c r="I2136" s="107">
        <f t="shared" si="235"/>
        <v>0</v>
      </c>
      <c r="J2136" s="87">
        <f>IF($D2136&gt;0,IFERROR(Параметры!$D$42*$H2136/$H$2408,0),0)</f>
        <v>0</v>
      </c>
      <c r="K2136" s="87">
        <f>IFERROR(ROUND($N2136*Параметры!$D$36,2),0)</f>
        <v>0</v>
      </c>
      <c r="L2136" s="87">
        <f t="shared" si="236"/>
        <v>0</v>
      </c>
      <c r="M2136" s="87">
        <f t="shared" si="237"/>
        <v>0</v>
      </c>
      <c r="N2136" s="107" t="str">
        <f t="shared" si="238"/>
        <v/>
      </c>
    </row>
    <row r="2137" spans="2:14" x14ac:dyDescent="0.25">
      <c r="B2137" s="82">
        <f>SUBTOTAL(103,$D$8:D2137)</f>
        <v>2130</v>
      </c>
      <c r="C2137" s="83" t="s">
        <v>2135</v>
      </c>
      <c r="D2137" s="84">
        <v>0</v>
      </c>
      <c r="E2137" s="85" t="str">
        <f t="shared" si="233"/>
        <v/>
      </c>
      <c r="F2137" s="106" t="str">
        <f t="shared" si="239"/>
        <v/>
      </c>
      <c r="G2137" s="86"/>
      <c r="H2137" s="107">
        <f t="shared" si="234"/>
        <v>0</v>
      </c>
      <c r="I2137" s="107">
        <f t="shared" si="235"/>
        <v>0</v>
      </c>
      <c r="J2137" s="87">
        <f>IF($D2137&gt;0,IFERROR(Параметры!$D$42*$H2137/$H$2408,0),0)</f>
        <v>0</v>
      </c>
      <c r="K2137" s="87">
        <f>IFERROR(ROUND($N2137*Параметры!$D$36,2),0)</f>
        <v>0</v>
      </c>
      <c r="L2137" s="87">
        <f t="shared" si="236"/>
        <v>0</v>
      </c>
      <c r="M2137" s="87">
        <f t="shared" si="237"/>
        <v>0</v>
      </c>
      <c r="N2137" s="107" t="str">
        <f t="shared" si="238"/>
        <v/>
      </c>
    </row>
    <row r="2138" spans="2:14" x14ac:dyDescent="0.25">
      <c r="B2138" s="82">
        <f>SUBTOTAL(103,$D$8:D2138)</f>
        <v>2131</v>
      </c>
      <c r="C2138" s="83" t="s">
        <v>2136</v>
      </c>
      <c r="D2138" s="84">
        <v>0</v>
      </c>
      <c r="E2138" s="85" t="str">
        <f t="shared" si="233"/>
        <v/>
      </c>
      <c r="F2138" s="106" t="str">
        <f t="shared" si="239"/>
        <v/>
      </c>
      <c r="G2138" s="86"/>
      <c r="H2138" s="107">
        <f t="shared" si="234"/>
        <v>0</v>
      </c>
      <c r="I2138" s="107">
        <f t="shared" si="235"/>
        <v>0</v>
      </c>
      <c r="J2138" s="87">
        <f>IF($D2138&gt;0,IFERROR(Параметры!$D$42*$H2138/$H$2408,0),0)</f>
        <v>0</v>
      </c>
      <c r="K2138" s="87">
        <f>IFERROR(ROUND($N2138*Параметры!$D$36,2),0)</f>
        <v>0</v>
      </c>
      <c r="L2138" s="87">
        <f t="shared" si="236"/>
        <v>0</v>
      </c>
      <c r="M2138" s="87">
        <f t="shared" si="237"/>
        <v>0</v>
      </c>
      <c r="N2138" s="107" t="str">
        <f t="shared" si="238"/>
        <v/>
      </c>
    </row>
    <row r="2139" spans="2:14" x14ac:dyDescent="0.25">
      <c r="B2139" s="82">
        <f>SUBTOTAL(103,$D$8:D2139)</f>
        <v>2132</v>
      </c>
      <c r="C2139" s="83" t="s">
        <v>2137</v>
      </c>
      <c r="D2139" s="84">
        <v>0</v>
      </c>
      <c r="E2139" s="85" t="str">
        <f t="shared" si="233"/>
        <v/>
      </c>
      <c r="F2139" s="106" t="str">
        <f t="shared" si="239"/>
        <v/>
      </c>
      <c r="G2139" s="86"/>
      <c r="H2139" s="107">
        <f t="shared" si="234"/>
        <v>0</v>
      </c>
      <c r="I2139" s="107">
        <f t="shared" si="235"/>
        <v>0</v>
      </c>
      <c r="J2139" s="87">
        <f>IF($D2139&gt;0,IFERROR(Параметры!$D$42*$H2139/$H$2408,0),0)</f>
        <v>0</v>
      </c>
      <c r="K2139" s="87">
        <f>IFERROR(ROUND($N2139*Параметры!$D$36,2),0)</f>
        <v>0</v>
      </c>
      <c r="L2139" s="87">
        <f t="shared" si="236"/>
        <v>0</v>
      </c>
      <c r="M2139" s="87">
        <f t="shared" si="237"/>
        <v>0</v>
      </c>
      <c r="N2139" s="107" t="str">
        <f t="shared" si="238"/>
        <v/>
      </c>
    </row>
    <row r="2140" spans="2:14" x14ac:dyDescent="0.25">
      <c r="B2140" s="82">
        <f>SUBTOTAL(103,$D$8:D2140)</f>
        <v>2133</v>
      </c>
      <c r="C2140" s="83" t="s">
        <v>2138</v>
      </c>
      <c r="D2140" s="84">
        <v>0</v>
      </c>
      <c r="E2140" s="85" t="str">
        <f t="shared" si="233"/>
        <v/>
      </c>
      <c r="F2140" s="106" t="str">
        <f t="shared" si="239"/>
        <v/>
      </c>
      <c r="G2140" s="86"/>
      <c r="H2140" s="107">
        <f t="shared" si="234"/>
        <v>0</v>
      </c>
      <c r="I2140" s="107">
        <f t="shared" si="235"/>
        <v>0</v>
      </c>
      <c r="J2140" s="87">
        <f>IF($D2140&gt;0,IFERROR(Параметры!$D$42*$H2140/$H$2408,0),0)</f>
        <v>0</v>
      </c>
      <c r="K2140" s="87">
        <f>IFERROR(ROUND($N2140*Параметры!$D$36,2),0)</f>
        <v>0</v>
      </c>
      <c r="L2140" s="87">
        <f t="shared" si="236"/>
        <v>0</v>
      </c>
      <c r="M2140" s="87">
        <f t="shared" si="237"/>
        <v>0</v>
      </c>
      <c r="N2140" s="107" t="str">
        <f t="shared" si="238"/>
        <v/>
      </c>
    </row>
    <row r="2141" spans="2:14" x14ac:dyDescent="0.25">
      <c r="B2141" s="82">
        <f>SUBTOTAL(103,$D$8:D2141)</f>
        <v>2134</v>
      </c>
      <c r="C2141" s="83" t="s">
        <v>2139</v>
      </c>
      <c r="D2141" s="84">
        <v>0</v>
      </c>
      <c r="E2141" s="85" t="str">
        <f t="shared" si="233"/>
        <v/>
      </c>
      <c r="F2141" s="106" t="str">
        <f t="shared" si="239"/>
        <v/>
      </c>
      <c r="G2141" s="86"/>
      <c r="H2141" s="107">
        <f t="shared" si="234"/>
        <v>0</v>
      </c>
      <c r="I2141" s="107">
        <f t="shared" si="235"/>
        <v>0</v>
      </c>
      <c r="J2141" s="87">
        <f>IF($D2141&gt;0,IFERROR(Параметры!$D$42*$H2141/$H$2408,0),0)</f>
        <v>0</v>
      </c>
      <c r="K2141" s="87">
        <f>IFERROR(ROUND($N2141*Параметры!$D$36,2),0)</f>
        <v>0</v>
      </c>
      <c r="L2141" s="87">
        <f t="shared" si="236"/>
        <v>0</v>
      </c>
      <c r="M2141" s="87">
        <f t="shared" si="237"/>
        <v>0</v>
      </c>
      <c r="N2141" s="107" t="str">
        <f t="shared" si="238"/>
        <v/>
      </c>
    </row>
    <row r="2142" spans="2:14" x14ac:dyDescent="0.25">
      <c r="B2142" s="82">
        <f>SUBTOTAL(103,$D$8:D2142)</f>
        <v>2135</v>
      </c>
      <c r="C2142" s="83" t="s">
        <v>2140</v>
      </c>
      <c r="D2142" s="84">
        <v>0</v>
      </c>
      <c r="E2142" s="85" t="str">
        <f t="shared" si="233"/>
        <v/>
      </c>
      <c r="F2142" s="106" t="str">
        <f t="shared" si="239"/>
        <v/>
      </c>
      <c r="G2142" s="86"/>
      <c r="H2142" s="107">
        <f t="shared" si="234"/>
        <v>0</v>
      </c>
      <c r="I2142" s="107">
        <f t="shared" si="235"/>
        <v>0</v>
      </c>
      <c r="J2142" s="87">
        <f>IF($D2142&gt;0,IFERROR(Параметры!$D$42*$H2142/$H$2408,0),0)</f>
        <v>0</v>
      </c>
      <c r="K2142" s="87">
        <f>IFERROR(ROUND($N2142*Параметры!$D$36,2),0)</f>
        <v>0</v>
      </c>
      <c r="L2142" s="87">
        <f t="shared" si="236"/>
        <v>0</v>
      </c>
      <c r="M2142" s="87">
        <f t="shared" si="237"/>
        <v>0</v>
      </c>
      <c r="N2142" s="107" t="str">
        <f t="shared" si="238"/>
        <v/>
      </c>
    </row>
    <row r="2143" spans="2:14" x14ac:dyDescent="0.25">
      <c r="B2143" s="82">
        <f>SUBTOTAL(103,$D$8:D2143)</f>
        <v>2136</v>
      </c>
      <c r="C2143" s="83" t="s">
        <v>2141</v>
      </c>
      <c r="D2143" s="84">
        <v>0</v>
      </c>
      <c r="E2143" s="85" t="str">
        <f t="shared" si="233"/>
        <v/>
      </c>
      <c r="F2143" s="106" t="str">
        <f t="shared" si="239"/>
        <v/>
      </c>
      <c r="G2143" s="86"/>
      <c r="H2143" s="107">
        <f t="shared" si="234"/>
        <v>0</v>
      </c>
      <c r="I2143" s="107">
        <f t="shared" si="235"/>
        <v>0</v>
      </c>
      <c r="J2143" s="87">
        <f>IF($D2143&gt;0,IFERROR(Параметры!$D$42*$H2143/$H$2408,0),0)</f>
        <v>0</v>
      </c>
      <c r="K2143" s="87">
        <f>IFERROR(ROUND($N2143*Параметры!$D$36,2),0)</f>
        <v>0</v>
      </c>
      <c r="L2143" s="87">
        <f t="shared" si="236"/>
        <v>0</v>
      </c>
      <c r="M2143" s="87">
        <f t="shared" si="237"/>
        <v>0</v>
      </c>
      <c r="N2143" s="107" t="str">
        <f t="shared" si="238"/>
        <v/>
      </c>
    </row>
    <row r="2144" spans="2:14" x14ac:dyDescent="0.25">
      <c r="B2144" s="82">
        <f>SUBTOTAL(103,$D$8:D2144)</f>
        <v>2137</v>
      </c>
      <c r="C2144" s="83" t="s">
        <v>2142</v>
      </c>
      <c r="D2144" s="84">
        <v>0</v>
      </c>
      <c r="E2144" s="85" t="str">
        <f t="shared" si="233"/>
        <v/>
      </c>
      <c r="F2144" s="106" t="str">
        <f t="shared" si="239"/>
        <v/>
      </c>
      <c r="G2144" s="86"/>
      <c r="H2144" s="107">
        <f t="shared" si="234"/>
        <v>0</v>
      </c>
      <c r="I2144" s="107">
        <f t="shared" si="235"/>
        <v>0</v>
      </c>
      <c r="J2144" s="87">
        <f>IF($D2144&gt;0,IFERROR(Параметры!$D$42*$H2144/$H$2408,0),0)</f>
        <v>0</v>
      </c>
      <c r="K2144" s="87">
        <f>IFERROR(ROUND($N2144*Параметры!$D$36,2),0)</f>
        <v>0</v>
      </c>
      <c r="L2144" s="87">
        <f t="shared" si="236"/>
        <v>0</v>
      </c>
      <c r="M2144" s="87">
        <f t="shared" si="237"/>
        <v>0</v>
      </c>
      <c r="N2144" s="107" t="str">
        <f t="shared" si="238"/>
        <v/>
      </c>
    </row>
    <row r="2145" spans="2:14" x14ac:dyDescent="0.25">
      <c r="B2145" s="82">
        <f>SUBTOTAL(103,$D$8:D2145)</f>
        <v>2138</v>
      </c>
      <c r="C2145" s="83" t="s">
        <v>2143</v>
      </c>
      <c r="D2145" s="84">
        <v>0</v>
      </c>
      <c r="E2145" s="85" t="str">
        <f t="shared" si="233"/>
        <v/>
      </c>
      <c r="F2145" s="106" t="str">
        <f t="shared" si="239"/>
        <v/>
      </c>
      <c r="G2145" s="86"/>
      <c r="H2145" s="107">
        <f t="shared" si="234"/>
        <v>0</v>
      </c>
      <c r="I2145" s="107">
        <f t="shared" si="235"/>
        <v>0</v>
      </c>
      <c r="J2145" s="87">
        <f>IF($D2145&gt;0,IFERROR(Параметры!$D$42*$H2145/$H$2408,0),0)</f>
        <v>0</v>
      </c>
      <c r="K2145" s="87">
        <f>IFERROR(ROUND($N2145*Параметры!$D$36,2),0)</f>
        <v>0</v>
      </c>
      <c r="L2145" s="87">
        <f t="shared" si="236"/>
        <v>0</v>
      </c>
      <c r="M2145" s="87">
        <f t="shared" si="237"/>
        <v>0</v>
      </c>
      <c r="N2145" s="107" t="str">
        <f t="shared" si="238"/>
        <v/>
      </c>
    </row>
    <row r="2146" spans="2:14" x14ac:dyDescent="0.25">
      <c r="B2146" s="82">
        <f>SUBTOTAL(103,$D$8:D2146)</f>
        <v>2139</v>
      </c>
      <c r="C2146" s="83" t="s">
        <v>2144</v>
      </c>
      <c r="D2146" s="84">
        <v>0</v>
      </c>
      <c r="E2146" s="85" t="str">
        <f t="shared" si="233"/>
        <v/>
      </c>
      <c r="F2146" s="106" t="str">
        <f t="shared" si="239"/>
        <v/>
      </c>
      <c r="G2146" s="86"/>
      <c r="H2146" s="107">
        <f t="shared" si="234"/>
        <v>0</v>
      </c>
      <c r="I2146" s="107">
        <f t="shared" si="235"/>
        <v>0</v>
      </c>
      <c r="J2146" s="87">
        <f>IF($D2146&gt;0,IFERROR(Параметры!$D$42*$H2146/$H$2408,0),0)</f>
        <v>0</v>
      </c>
      <c r="K2146" s="87">
        <f>IFERROR(ROUND($N2146*Параметры!$D$36,2),0)</f>
        <v>0</v>
      </c>
      <c r="L2146" s="87">
        <f t="shared" si="236"/>
        <v>0</v>
      </c>
      <c r="M2146" s="87">
        <f t="shared" si="237"/>
        <v>0</v>
      </c>
      <c r="N2146" s="107" t="str">
        <f t="shared" si="238"/>
        <v/>
      </c>
    </row>
    <row r="2147" spans="2:14" x14ac:dyDescent="0.25">
      <c r="B2147" s="82">
        <f>SUBTOTAL(103,$D$8:D2147)</f>
        <v>2140</v>
      </c>
      <c r="C2147" s="83" t="s">
        <v>2145</v>
      </c>
      <c r="D2147" s="84">
        <v>0</v>
      </c>
      <c r="E2147" s="85" t="str">
        <f t="shared" si="233"/>
        <v/>
      </c>
      <c r="F2147" s="106" t="str">
        <f t="shared" si="239"/>
        <v/>
      </c>
      <c r="G2147" s="86"/>
      <c r="H2147" s="107">
        <f t="shared" si="234"/>
        <v>0</v>
      </c>
      <c r="I2147" s="107">
        <f t="shared" si="235"/>
        <v>0</v>
      </c>
      <c r="J2147" s="87">
        <f>IF($D2147&gt;0,IFERROR(Параметры!$D$42*$H2147/$H$2408,0),0)</f>
        <v>0</v>
      </c>
      <c r="K2147" s="87">
        <f>IFERROR(ROUND($N2147*Параметры!$D$36,2),0)</f>
        <v>0</v>
      </c>
      <c r="L2147" s="87">
        <f t="shared" si="236"/>
        <v>0</v>
      </c>
      <c r="M2147" s="87">
        <f t="shared" si="237"/>
        <v>0</v>
      </c>
      <c r="N2147" s="107" t="str">
        <f t="shared" si="238"/>
        <v/>
      </c>
    </row>
    <row r="2148" spans="2:14" x14ac:dyDescent="0.25">
      <c r="B2148" s="82">
        <f>SUBTOTAL(103,$D$8:D2148)</f>
        <v>2141</v>
      </c>
      <c r="C2148" s="83" t="s">
        <v>2146</v>
      </c>
      <c r="D2148" s="84">
        <v>0</v>
      </c>
      <c r="E2148" s="85" t="str">
        <f t="shared" si="233"/>
        <v/>
      </c>
      <c r="F2148" s="106" t="str">
        <f t="shared" si="239"/>
        <v/>
      </c>
      <c r="G2148" s="86"/>
      <c r="H2148" s="107">
        <f t="shared" si="234"/>
        <v>0</v>
      </c>
      <c r="I2148" s="107">
        <f t="shared" si="235"/>
        <v>0</v>
      </c>
      <c r="J2148" s="87">
        <f>IF($D2148&gt;0,IFERROR(Параметры!$D$42*$H2148/$H$2408,0),0)</f>
        <v>0</v>
      </c>
      <c r="K2148" s="87">
        <f>IFERROR(ROUND($N2148*Параметры!$D$36,2),0)</f>
        <v>0</v>
      </c>
      <c r="L2148" s="87">
        <f t="shared" si="236"/>
        <v>0</v>
      </c>
      <c r="M2148" s="87">
        <f t="shared" si="237"/>
        <v>0</v>
      </c>
      <c r="N2148" s="107" t="str">
        <f t="shared" si="238"/>
        <v/>
      </c>
    </row>
    <row r="2149" spans="2:14" x14ac:dyDescent="0.25">
      <c r="B2149" s="82">
        <f>SUBTOTAL(103,$D$8:D2149)</f>
        <v>2142</v>
      </c>
      <c r="C2149" s="83" t="s">
        <v>2147</v>
      </c>
      <c r="D2149" s="84">
        <v>0</v>
      </c>
      <c r="E2149" s="85" t="str">
        <f t="shared" si="233"/>
        <v/>
      </c>
      <c r="F2149" s="106" t="str">
        <f t="shared" si="239"/>
        <v/>
      </c>
      <c r="G2149" s="86"/>
      <c r="H2149" s="107">
        <f t="shared" si="234"/>
        <v>0</v>
      </c>
      <c r="I2149" s="107">
        <f t="shared" si="235"/>
        <v>0</v>
      </c>
      <c r="J2149" s="87">
        <f>IF($D2149&gt;0,IFERROR(Параметры!$D$42*$H2149/$H$2408,0),0)</f>
        <v>0</v>
      </c>
      <c r="K2149" s="87">
        <f>IFERROR(ROUND($N2149*Параметры!$D$36,2),0)</f>
        <v>0</v>
      </c>
      <c r="L2149" s="87">
        <f t="shared" si="236"/>
        <v>0</v>
      </c>
      <c r="M2149" s="87">
        <f t="shared" si="237"/>
        <v>0</v>
      </c>
      <c r="N2149" s="107" t="str">
        <f t="shared" si="238"/>
        <v/>
      </c>
    </row>
    <row r="2150" spans="2:14" x14ac:dyDescent="0.25">
      <c r="B2150" s="82">
        <f>SUBTOTAL(103,$D$8:D2150)</f>
        <v>2143</v>
      </c>
      <c r="C2150" s="83" t="s">
        <v>2148</v>
      </c>
      <c r="D2150" s="84">
        <v>0</v>
      </c>
      <c r="E2150" s="85" t="str">
        <f t="shared" si="233"/>
        <v/>
      </c>
      <c r="F2150" s="106" t="str">
        <f t="shared" si="239"/>
        <v/>
      </c>
      <c r="G2150" s="86"/>
      <c r="H2150" s="107">
        <f t="shared" si="234"/>
        <v>0</v>
      </c>
      <c r="I2150" s="107">
        <f t="shared" si="235"/>
        <v>0</v>
      </c>
      <c r="J2150" s="87">
        <f>IF($D2150&gt;0,IFERROR(Параметры!$D$42*$H2150/$H$2408,0),0)</f>
        <v>0</v>
      </c>
      <c r="K2150" s="87">
        <f>IFERROR(ROUND($N2150*Параметры!$D$36,2),0)</f>
        <v>0</v>
      </c>
      <c r="L2150" s="87">
        <f t="shared" si="236"/>
        <v>0</v>
      </c>
      <c r="M2150" s="87">
        <f t="shared" si="237"/>
        <v>0</v>
      </c>
      <c r="N2150" s="107" t="str">
        <f t="shared" si="238"/>
        <v/>
      </c>
    </row>
    <row r="2151" spans="2:14" x14ac:dyDescent="0.25">
      <c r="B2151" s="82">
        <f>SUBTOTAL(103,$D$8:D2151)</f>
        <v>2144</v>
      </c>
      <c r="C2151" s="83" t="s">
        <v>2149</v>
      </c>
      <c r="D2151" s="84">
        <v>0</v>
      </c>
      <c r="E2151" s="85" t="str">
        <f t="shared" si="233"/>
        <v/>
      </c>
      <c r="F2151" s="106" t="str">
        <f t="shared" si="239"/>
        <v/>
      </c>
      <c r="G2151" s="86"/>
      <c r="H2151" s="107">
        <f t="shared" si="234"/>
        <v>0</v>
      </c>
      <c r="I2151" s="107">
        <f t="shared" si="235"/>
        <v>0</v>
      </c>
      <c r="J2151" s="87">
        <f>IF($D2151&gt;0,IFERROR(Параметры!$D$42*$H2151/$H$2408,0),0)</f>
        <v>0</v>
      </c>
      <c r="K2151" s="87">
        <f>IFERROR(ROUND($N2151*Параметры!$D$36,2),0)</f>
        <v>0</v>
      </c>
      <c r="L2151" s="87">
        <f t="shared" si="236"/>
        <v>0</v>
      </c>
      <c r="M2151" s="87">
        <f t="shared" si="237"/>
        <v>0</v>
      </c>
      <c r="N2151" s="107" t="str">
        <f t="shared" si="238"/>
        <v/>
      </c>
    </row>
    <row r="2152" spans="2:14" x14ac:dyDescent="0.25">
      <c r="B2152" s="82">
        <f>SUBTOTAL(103,$D$8:D2152)</f>
        <v>2145</v>
      </c>
      <c r="C2152" s="83" t="s">
        <v>2150</v>
      </c>
      <c r="D2152" s="84">
        <v>0</v>
      </c>
      <c r="E2152" s="85" t="str">
        <f t="shared" si="233"/>
        <v/>
      </c>
      <c r="F2152" s="106" t="str">
        <f t="shared" si="239"/>
        <v/>
      </c>
      <c r="G2152" s="86"/>
      <c r="H2152" s="107">
        <f t="shared" si="234"/>
        <v>0</v>
      </c>
      <c r="I2152" s="107">
        <f t="shared" si="235"/>
        <v>0</v>
      </c>
      <c r="J2152" s="87">
        <f>IF($D2152&gt;0,IFERROR(Параметры!$D$42*$H2152/$H$2408,0),0)</f>
        <v>0</v>
      </c>
      <c r="K2152" s="87">
        <f>IFERROR(ROUND($N2152*Параметры!$D$36,2),0)</f>
        <v>0</v>
      </c>
      <c r="L2152" s="87">
        <f t="shared" si="236"/>
        <v>0</v>
      </c>
      <c r="M2152" s="87">
        <f t="shared" si="237"/>
        <v>0</v>
      </c>
      <c r="N2152" s="107" t="str">
        <f t="shared" si="238"/>
        <v/>
      </c>
    </row>
    <row r="2153" spans="2:14" x14ac:dyDescent="0.25">
      <c r="B2153" s="82">
        <f>SUBTOTAL(103,$D$8:D2153)</f>
        <v>2146</v>
      </c>
      <c r="C2153" s="83" t="s">
        <v>2151</v>
      </c>
      <c r="D2153" s="84">
        <v>0</v>
      </c>
      <c r="E2153" s="85" t="str">
        <f t="shared" si="233"/>
        <v/>
      </c>
      <c r="F2153" s="106" t="str">
        <f t="shared" si="239"/>
        <v/>
      </c>
      <c r="G2153" s="86"/>
      <c r="H2153" s="107">
        <f t="shared" si="234"/>
        <v>0</v>
      </c>
      <c r="I2153" s="107">
        <f t="shared" si="235"/>
        <v>0</v>
      </c>
      <c r="J2153" s="87">
        <f>IF($D2153&gt;0,IFERROR(Параметры!$D$42*$H2153/$H$2408,0),0)</f>
        <v>0</v>
      </c>
      <c r="K2153" s="87">
        <f>IFERROR(ROUND($N2153*Параметры!$D$36,2),0)</f>
        <v>0</v>
      </c>
      <c r="L2153" s="87">
        <f t="shared" si="236"/>
        <v>0</v>
      </c>
      <c r="M2153" s="87">
        <f t="shared" si="237"/>
        <v>0</v>
      </c>
      <c r="N2153" s="107" t="str">
        <f t="shared" si="238"/>
        <v/>
      </c>
    </row>
    <row r="2154" spans="2:14" x14ac:dyDescent="0.25">
      <c r="B2154" s="82">
        <f>SUBTOTAL(103,$D$8:D2154)</f>
        <v>2147</v>
      </c>
      <c r="C2154" s="83" t="s">
        <v>2152</v>
      </c>
      <c r="D2154" s="84">
        <v>0</v>
      </c>
      <c r="E2154" s="85" t="str">
        <f t="shared" si="233"/>
        <v/>
      </c>
      <c r="F2154" s="106" t="str">
        <f t="shared" si="239"/>
        <v/>
      </c>
      <c r="G2154" s="86"/>
      <c r="H2154" s="107">
        <f t="shared" si="234"/>
        <v>0</v>
      </c>
      <c r="I2154" s="107">
        <f t="shared" si="235"/>
        <v>0</v>
      </c>
      <c r="J2154" s="87">
        <f>IF($D2154&gt;0,IFERROR(Параметры!$D$42*$H2154/$H$2408,0),0)</f>
        <v>0</v>
      </c>
      <c r="K2154" s="87">
        <f>IFERROR(ROUND($N2154*Параметры!$D$36,2),0)</f>
        <v>0</v>
      </c>
      <c r="L2154" s="87">
        <f t="shared" si="236"/>
        <v>0</v>
      </c>
      <c r="M2154" s="87">
        <f t="shared" si="237"/>
        <v>0</v>
      </c>
      <c r="N2154" s="107" t="str">
        <f t="shared" si="238"/>
        <v/>
      </c>
    </row>
    <row r="2155" spans="2:14" x14ac:dyDescent="0.25">
      <c r="B2155" s="82">
        <f>SUBTOTAL(103,$D$8:D2155)</f>
        <v>2148</v>
      </c>
      <c r="C2155" s="83" t="s">
        <v>2153</v>
      </c>
      <c r="D2155" s="84">
        <v>0</v>
      </c>
      <c r="E2155" s="85" t="str">
        <f t="shared" si="233"/>
        <v/>
      </c>
      <c r="F2155" s="106" t="str">
        <f t="shared" si="239"/>
        <v/>
      </c>
      <c r="G2155" s="86"/>
      <c r="H2155" s="107">
        <f t="shared" si="234"/>
        <v>0</v>
      </c>
      <c r="I2155" s="107">
        <f t="shared" si="235"/>
        <v>0</v>
      </c>
      <c r="J2155" s="87">
        <f>IF($D2155&gt;0,IFERROR(Параметры!$D$42*$H2155/$H$2408,0),0)</f>
        <v>0</v>
      </c>
      <c r="K2155" s="87">
        <f>IFERROR(ROUND($N2155*Параметры!$D$36,2),0)</f>
        <v>0</v>
      </c>
      <c r="L2155" s="87">
        <f t="shared" si="236"/>
        <v>0</v>
      </c>
      <c r="M2155" s="87">
        <f t="shared" si="237"/>
        <v>0</v>
      </c>
      <c r="N2155" s="107" t="str">
        <f t="shared" si="238"/>
        <v/>
      </c>
    </row>
    <row r="2156" spans="2:14" x14ac:dyDescent="0.25">
      <c r="B2156" s="82">
        <f>SUBTOTAL(103,$D$8:D2156)</f>
        <v>2149</v>
      </c>
      <c r="C2156" s="83" t="s">
        <v>2154</v>
      </c>
      <c r="D2156" s="84">
        <v>0</v>
      </c>
      <c r="E2156" s="85" t="str">
        <f t="shared" si="233"/>
        <v/>
      </c>
      <c r="F2156" s="106" t="str">
        <f t="shared" si="239"/>
        <v/>
      </c>
      <c r="G2156" s="86"/>
      <c r="H2156" s="107">
        <f t="shared" si="234"/>
        <v>0</v>
      </c>
      <c r="I2156" s="107">
        <f t="shared" si="235"/>
        <v>0</v>
      </c>
      <c r="J2156" s="87">
        <f>IF($D2156&gt;0,IFERROR(Параметры!$D$42*$H2156/$H$2408,0),0)</f>
        <v>0</v>
      </c>
      <c r="K2156" s="87">
        <f>IFERROR(ROUND($N2156*Параметры!$D$36,2),0)</f>
        <v>0</v>
      </c>
      <c r="L2156" s="87">
        <f t="shared" si="236"/>
        <v>0</v>
      </c>
      <c r="M2156" s="87">
        <f t="shared" si="237"/>
        <v>0</v>
      </c>
      <c r="N2156" s="107" t="str">
        <f t="shared" si="238"/>
        <v/>
      </c>
    </row>
    <row r="2157" spans="2:14" x14ac:dyDescent="0.25">
      <c r="B2157" s="82">
        <f>SUBTOTAL(103,$D$8:D2157)</f>
        <v>2150</v>
      </c>
      <c r="C2157" s="83" t="s">
        <v>2155</v>
      </c>
      <c r="D2157" s="84">
        <v>0</v>
      </c>
      <c r="E2157" s="85" t="str">
        <f t="shared" si="233"/>
        <v/>
      </c>
      <c r="F2157" s="106" t="str">
        <f t="shared" si="239"/>
        <v/>
      </c>
      <c r="G2157" s="86"/>
      <c r="H2157" s="107">
        <f t="shared" si="234"/>
        <v>0</v>
      </c>
      <c r="I2157" s="107">
        <f t="shared" si="235"/>
        <v>0</v>
      </c>
      <c r="J2157" s="87">
        <f>IF($D2157&gt;0,IFERROR(Параметры!$D$42*$H2157/$H$2408,0),0)</f>
        <v>0</v>
      </c>
      <c r="K2157" s="87">
        <f>IFERROR(ROUND($N2157*Параметры!$D$36,2),0)</f>
        <v>0</v>
      </c>
      <c r="L2157" s="87">
        <f t="shared" si="236"/>
        <v>0</v>
      </c>
      <c r="M2157" s="87">
        <f t="shared" si="237"/>
        <v>0</v>
      </c>
      <c r="N2157" s="107" t="str">
        <f t="shared" si="238"/>
        <v/>
      </c>
    </row>
    <row r="2158" spans="2:14" x14ac:dyDescent="0.25">
      <c r="B2158" s="82">
        <f>SUBTOTAL(103,$D$8:D2158)</f>
        <v>2151</v>
      </c>
      <c r="C2158" s="83" t="s">
        <v>2156</v>
      </c>
      <c r="D2158" s="84">
        <v>0</v>
      </c>
      <c r="E2158" s="85" t="str">
        <f t="shared" si="233"/>
        <v/>
      </c>
      <c r="F2158" s="106" t="str">
        <f t="shared" si="239"/>
        <v/>
      </c>
      <c r="G2158" s="86"/>
      <c r="H2158" s="107">
        <f t="shared" si="234"/>
        <v>0</v>
      </c>
      <c r="I2158" s="107">
        <f t="shared" si="235"/>
        <v>0</v>
      </c>
      <c r="J2158" s="87">
        <f>IF($D2158&gt;0,IFERROR(Параметры!$D$42*$H2158/$H$2408,0),0)</f>
        <v>0</v>
      </c>
      <c r="K2158" s="87">
        <f>IFERROR(ROUND($N2158*Параметры!$D$36,2),0)</f>
        <v>0</v>
      </c>
      <c r="L2158" s="87">
        <f t="shared" si="236"/>
        <v>0</v>
      </c>
      <c r="M2158" s="87">
        <f t="shared" si="237"/>
        <v>0</v>
      </c>
      <c r="N2158" s="107" t="str">
        <f t="shared" si="238"/>
        <v/>
      </c>
    </row>
    <row r="2159" spans="2:14" x14ac:dyDescent="0.25">
      <c r="B2159" s="82">
        <f>SUBTOTAL(103,$D$8:D2159)</f>
        <v>2152</v>
      </c>
      <c r="C2159" s="83" t="s">
        <v>2157</v>
      </c>
      <c r="D2159" s="84">
        <v>0</v>
      </c>
      <c r="E2159" s="85" t="str">
        <f t="shared" si="233"/>
        <v/>
      </c>
      <c r="F2159" s="106" t="str">
        <f t="shared" si="239"/>
        <v/>
      </c>
      <c r="G2159" s="86"/>
      <c r="H2159" s="107">
        <f t="shared" si="234"/>
        <v>0</v>
      </c>
      <c r="I2159" s="107">
        <f t="shared" si="235"/>
        <v>0</v>
      </c>
      <c r="J2159" s="87">
        <f>IF($D2159&gt;0,IFERROR(Параметры!$D$42*$H2159/$H$2408,0),0)</f>
        <v>0</v>
      </c>
      <c r="K2159" s="87">
        <f>IFERROR(ROUND($N2159*Параметры!$D$36,2),0)</f>
        <v>0</v>
      </c>
      <c r="L2159" s="87">
        <f t="shared" si="236"/>
        <v>0</v>
      </c>
      <c r="M2159" s="87">
        <f t="shared" si="237"/>
        <v>0</v>
      </c>
      <c r="N2159" s="107" t="str">
        <f t="shared" si="238"/>
        <v/>
      </c>
    </row>
    <row r="2160" spans="2:14" x14ac:dyDescent="0.25">
      <c r="B2160" s="82">
        <f>SUBTOTAL(103,$D$8:D2160)</f>
        <v>2153</v>
      </c>
      <c r="C2160" s="83" t="s">
        <v>2158</v>
      </c>
      <c r="D2160" s="84">
        <v>0</v>
      </c>
      <c r="E2160" s="85" t="str">
        <f t="shared" si="233"/>
        <v/>
      </c>
      <c r="F2160" s="106" t="str">
        <f t="shared" si="239"/>
        <v/>
      </c>
      <c r="G2160" s="86"/>
      <c r="H2160" s="107">
        <f t="shared" si="234"/>
        <v>0</v>
      </c>
      <c r="I2160" s="107">
        <f t="shared" si="235"/>
        <v>0</v>
      </c>
      <c r="J2160" s="87">
        <f>IF($D2160&gt;0,IFERROR(Параметры!$D$42*$H2160/$H$2408,0),0)</f>
        <v>0</v>
      </c>
      <c r="K2160" s="87">
        <f>IFERROR(ROUND($N2160*Параметры!$D$36,2),0)</f>
        <v>0</v>
      </c>
      <c r="L2160" s="87">
        <f t="shared" si="236"/>
        <v>0</v>
      </c>
      <c r="M2160" s="87">
        <f t="shared" si="237"/>
        <v>0</v>
      </c>
      <c r="N2160" s="107" t="str">
        <f t="shared" si="238"/>
        <v/>
      </c>
    </row>
    <row r="2161" spans="2:14" x14ac:dyDescent="0.25">
      <c r="B2161" s="82">
        <f>SUBTOTAL(103,$D$8:D2161)</f>
        <v>2154</v>
      </c>
      <c r="C2161" s="83" t="s">
        <v>2159</v>
      </c>
      <c r="D2161" s="84">
        <v>0</v>
      </c>
      <c r="E2161" s="85" t="str">
        <f t="shared" si="233"/>
        <v/>
      </c>
      <c r="F2161" s="106" t="str">
        <f t="shared" si="239"/>
        <v/>
      </c>
      <c r="G2161" s="86"/>
      <c r="H2161" s="107">
        <f t="shared" si="234"/>
        <v>0</v>
      </c>
      <c r="I2161" s="107">
        <f t="shared" si="235"/>
        <v>0</v>
      </c>
      <c r="J2161" s="87">
        <f>IF($D2161&gt;0,IFERROR(Параметры!$D$42*$H2161/$H$2408,0),0)</f>
        <v>0</v>
      </c>
      <c r="K2161" s="87">
        <f>IFERROR(ROUND($N2161*Параметры!$D$36,2),0)</f>
        <v>0</v>
      </c>
      <c r="L2161" s="87">
        <f t="shared" si="236"/>
        <v>0</v>
      </c>
      <c r="M2161" s="87">
        <f t="shared" si="237"/>
        <v>0</v>
      </c>
      <c r="N2161" s="107" t="str">
        <f t="shared" si="238"/>
        <v/>
      </c>
    </row>
    <row r="2162" spans="2:14" x14ac:dyDescent="0.25">
      <c r="B2162" s="82">
        <f>SUBTOTAL(103,$D$8:D2162)</f>
        <v>2155</v>
      </c>
      <c r="C2162" s="83" t="s">
        <v>2160</v>
      </c>
      <c r="D2162" s="84">
        <v>0</v>
      </c>
      <c r="E2162" s="85" t="str">
        <f t="shared" si="233"/>
        <v/>
      </c>
      <c r="F2162" s="106" t="str">
        <f t="shared" si="239"/>
        <v/>
      </c>
      <c r="G2162" s="86"/>
      <c r="H2162" s="107">
        <f t="shared" si="234"/>
        <v>0</v>
      </c>
      <c r="I2162" s="107">
        <f t="shared" si="235"/>
        <v>0</v>
      </c>
      <c r="J2162" s="87">
        <f>IF($D2162&gt;0,IFERROR(Параметры!$D$42*$H2162/$H$2408,0),0)</f>
        <v>0</v>
      </c>
      <c r="K2162" s="87">
        <f>IFERROR(ROUND($N2162*Параметры!$D$36,2),0)</f>
        <v>0</v>
      </c>
      <c r="L2162" s="87">
        <f t="shared" si="236"/>
        <v>0</v>
      </c>
      <c r="M2162" s="87">
        <f t="shared" si="237"/>
        <v>0</v>
      </c>
      <c r="N2162" s="107" t="str">
        <f t="shared" si="238"/>
        <v/>
      </c>
    </row>
    <row r="2163" spans="2:14" x14ac:dyDescent="0.25">
      <c r="B2163" s="82">
        <f>SUBTOTAL(103,$D$8:D2163)</f>
        <v>2156</v>
      </c>
      <c r="C2163" s="83" t="s">
        <v>2161</v>
      </c>
      <c r="D2163" s="84">
        <v>0</v>
      </c>
      <c r="E2163" s="85" t="str">
        <f t="shared" si="233"/>
        <v/>
      </c>
      <c r="F2163" s="106" t="str">
        <f t="shared" si="239"/>
        <v/>
      </c>
      <c r="G2163" s="86"/>
      <c r="H2163" s="107">
        <f t="shared" si="234"/>
        <v>0</v>
      </c>
      <c r="I2163" s="107">
        <f t="shared" si="235"/>
        <v>0</v>
      </c>
      <c r="J2163" s="87">
        <f>IF($D2163&gt;0,IFERROR(Параметры!$D$42*$H2163/$H$2408,0),0)</f>
        <v>0</v>
      </c>
      <c r="K2163" s="87">
        <f>IFERROR(ROUND($N2163*Параметры!$D$36,2),0)</f>
        <v>0</v>
      </c>
      <c r="L2163" s="87">
        <f t="shared" si="236"/>
        <v>0</v>
      </c>
      <c r="M2163" s="87">
        <f t="shared" si="237"/>
        <v>0</v>
      </c>
      <c r="N2163" s="107" t="str">
        <f t="shared" si="238"/>
        <v/>
      </c>
    </row>
    <row r="2164" spans="2:14" x14ac:dyDescent="0.25">
      <c r="B2164" s="82">
        <f>SUBTOTAL(103,$D$8:D2164)</f>
        <v>2157</v>
      </c>
      <c r="C2164" s="83" t="s">
        <v>2162</v>
      </c>
      <c r="D2164" s="84">
        <v>0</v>
      </c>
      <c r="E2164" s="85" t="str">
        <f t="shared" si="233"/>
        <v/>
      </c>
      <c r="F2164" s="106" t="str">
        <f t="shared" si="239"/>
        <v/>
      </c>
      <c r="G2164" s="86"/>
      <c r="H2164" s="107">
        <f t="shared" si="234"/>
        <v>0</v>
      </c>
      <c r="I2164" s="107">
        <f t="shared" si="235"/>
        <v>0</v>
      </c>
      <c r="J2164" s="87">
        <f>IF($D2164&gt;0,IFERROR(Параметры!$D$42*$H2164/$H$2408,0),0)</f>
        <v>0</v>
      </c>
      <c r="K2164" s="87">
        <f>IFERROR(ROUND($N2164*Параметры!$D$36,2),0)</f>
        <v>0</v>
      </c>
      <c r="L2164" s="87">
        <f t="shared" si="236"/>
        <v>0</v>
      </c>
      <c r="M2164" s="87">
        <f t="shared" si="237"/>
        <v>0</v>
      </c>
      <c r="N2164" s="107" t="str">
        <f t="shared" si="238"/>
        <v/>
      </c>
    </row>
    <row r="2165" spans="2:14" x14ac:dyDescent="0.25">
      <c r="B2165" s="82">
        <f>SUBTOTAL(103,$D$8:D2165)</f>
        <v>2158</v>
      </c>
      <c r="C2165" s="83" t="s">
        <v>2163</v>
      </c>
      <c r="D2165" s="84">
        <v>0</v>
      </c>
      <c r="E2165" s="85" t="str">
        <f t="shared" si="233"/>
        <v/>
      </c>
      <c r="F2165" s="106" t="str">
        <f t="shared" si="239"/>
        <v/>
      </c>
      <c r="G2165" s="86"/>
      <c r="H2165" s="107">
        <f t="shared" si="234"/>
        <v>0</v>
      </c>
      <c r="I2165" s="107">
        <f t="shared" si="235"/>
        <v>0</v>
      </c>
      <c r="J2165" s="87">
        <f>IF($D2165&gt;0,IFERROR(Параметры!$D$42*$H2165/$H$2408,0),0)</f>
        <v>0</v>
      </c>
      <c r="K2165" s="87">
        <f>IFERROR(ROUND($N2165*Параметры!$D$36,2),0)</f>
        <v>0</v>
      </c>
      <c r="L2165" s="87">
        <f t="shared" si="236"/>
        <v>0</v>
      </c>
      <c r="M2165" s="87">
        <f t="shared" si="237"/>
        <v>0</v>
      </c>
      <c r="N2165" s="107" t="str">
        <f t="shared" si="238"/>
        <v/>
      </c>
    </row>
    <row r="2166" spans="2:14" x14ac:dyDescent="0.25">
      <c r="B2166" s="82">
        <f>SUBTOTAL(103,$D$8:D2166)</f>
        <v>2159</v>
      </c>
      <c r="C2166" s="83" t="s">
        <v>2164</v>
      </c>
      <c r="D2166" s="84">
        <v>0</v>
      </c>
      <c r="E2166" s="85" t="str">
        <f t="shared" si="233"/>
        <v/>
      </c>
      <c r="F2166" s="106" t="str">
        <f t="shared" si="239"/>
        <v/>
      </c>
      <c r="G2166" s="86"/>
      <c r="H2166" s="107">
        <f t="shared" si="234"/>
        <v>0</v>
      </c>
      <c r="I2166" s="107">
        <f t="shared" si="235"/>
        <v>0</v>
      </c>
      <c r="J2166" s="87">
        <f>IF($D2166&gt;0,IFERROR(Параметры!$D$42*$H2166/$H$2408,0),0)</f>
        <v>0</v>
      </c>
      <c r="K2166" s="87">
        <f>IFERROR(ROUND($N2166*Параметры!$D$36,2),0)</f>
        <v>0</v>
      </c>
      <c r="L2166" s="87">
        <f t="shared" si="236"/>
        <v>0</v>
      </c>
      <c r="M2166" s="87">
        <f t="shared" si="237"/>
        <v>0</v>
      </c>
      <c r="N2166" s="107" t="str">
        <f t="shared" si="238"/>
        <v/>
      </c>
    </row>
    <row r="2167" spans="2:14" x14ac:dyDescent="0.25">
      <c r="B2167" s="82">
        <f>SUBTOTAL(103,$D$8:D2167)</f>
        <v>2160</v>
      </c>
      <c r="C2167" s="83" t="s">
        <v>2165</v>
      </c>
      <c r="D2167" s="84">
        <v>0</v>
      </c>
      <c r="E2167" s="85" t="str">
        <f t="shared" si="233"/>
        <v/>
      </c>
      <c r="F2167" s="106" t="str">
        <f t="shared" si="239"/>
        <v/>
      </c>
      <c r="G2167" s="86"/>
      <c r="H2167" s="107">
        <f t="shared" si="234"/>
        <v>0</v>
      </c>
      <c r="I2167" s="107">
        <f t="shared" si="235"/>
        <v>0</v>
      </c>
      <c r="J2167" s="87">
        <f>IF($D2167&gt;0,IFERROR(Параметры!$D$42*$H2167/$H$2408,0),0)</f>
        <v>0</v>
      </c>
      <c r="K2167" s="87">
        <f>IFERROR(ROUND($N2167*Параметры!$D$36,2),0)</f>
        <v>0</v>
      </c>
      <c r="L2167" s="87">
        <f t="shared" si="236"/>
        <v>0</v>
      </c>
      <c r="M2167" s="87">
        <f t="shared" si="237"/>
        <v>0</v>
      </c>
      <c r="N2167" s="107" t="str">
        <f t="shared" si="238"/>
        <v/>
      </c>
    </row>
    <row r="2168" spans="2:14" x14ac:dyDescent="0.25">
      <c r="B2168" s="82">
        <f>SUBTOTAL(103,$D$8:D2168)</f>
        <v>2161</v>
      </c>
      <c r="C2168" s="83" t="s">
        <v>2166</v>
      </c>
      <c r="D2168" s="84">
        <f t="array" ref="D2168:D2227">TRANSPOSE('Зарядная карта'!$C$41:$BJ$41)</f>
        <v>0</v>
      </c>
      <c r="E2168" s="85" t="str">
        <f t="shared" si="233"/>
        <v/>
      </c>
      <c r="F2168" s="106" t="str">
        <f t="shared" si="239"/>
        <v/>
      </c>
      <c r="G2168" s="86"/>
      <c r="H2168" s="107">
        <f t="shared" si="234"/>
        <v>0</v>
      </c>
      <c r="I2168" s="107">
        <f t="shared" si="235"/>
        <v>0</v>
      </c>
      <c r="J2168" s="87">
        <f>IF($D2168&gt;0,IFERROR(Параметры!$D$42*$H2168/$H$2408,0),0)</f>
        <v>0</v>
      </c>
      <c r="K2168" s="87">
        <f>IFERROR(ROUND($N2168*Параметры!$D$36,2),0)</f>
        <v>0</v>
      </c>
      <c r="L2168" s="87">
        <f t="shared" si="236"/>
        <v>0</v>
      </c>
      <c r="M2168" s="87">
        <f t="shared" si="237"/>
        <v>0</v>
      </c>
      <c r="N2168" s="107" t="str">
        <f t="shared" si="238"/>
        <v/>
      </c>
    </row>
    <row r="2169" spans="2:14" x14ac:dyDescent="0.25">
      <c r="B2169" s="82">
        <f>SUBTOTAL(103,$D$8:D2169)</f>
        <v>2162</v>
      </c>
      <c r="C2169" s="83" t="s">
        <v>2167</v>
      </c>
      <c r="D2169" s="84">
        <v>0</v>
      </c>
      <c r="E2169" s="85" t="str">
        <f t="shared" si="233"/>
        <v/>
      </c>
      <c r="F2169" s="106" t="str">
        <f t="shared" si="239"/>
        <v/>
      </c>
      <c r="G2169" s="86"/>
      <c r="H2169" s="107">
        <f t="shared" si="234"/>
        <v>0</v>
      </c>
      <c r="I2169" s="107">
        <f t="shared" si="235"/>
        <v>0</v>
      </c>
      <c r="J2169" s="87">
        <f>IF($D2169&gt;0,IFERROR(Параметры!$D$42*$H2169/$H$2408,0),0)</f>
        <v>0</v>
      </c>
      <c r="K2169" s="87">
        <f>IFERROR(ROUND($N2169*Параметры!$D$36,2),0)</f>
        <v>0</v>
      </c>
      <c r="L2169" s="87">
        <f t="shared" si="236"/>
        <v>0</v>
      </c>
      <c r="M2169" s="87">
        <f t="shared" si="237"/>
        <v>0</v>
      </c>
      <c r="N2169" s="107" t="str">
        <f t="shared" si="238"/>
        <v/>
      </c>
    </row>
    <row r="2170" spans="2:14" x14ac:dyDescent="0.25">
      <c r="B2170" s="82">
        <f>SUBTOTAL(103,$D$8:D2170)</f>
        <v>2163</v>
      </c>
      <c r="C2170" s="83" t="s">
        <v>2168</v>
      </c>
      <c r="D2170" s="84">
        <v>0</v>
      </c>
      <c r="E2170" s="85" t="str">
        <f t="shared" si="233"/>
        <v/>
      </c>
      <c r="F2170" s="106" t="str">
        <f t="shared" si="239"/>
        <v/>
      </c>
      <c r="G2170" s="86"/>
      <c r="H2170" s="107">
        <f t="shared" si="234"/>
        <v>0</v>
      </c>
      <c r="I2170" s="107">
        <f t="shared" si="235"/>
        <v>0</v>
      </c>
      <c r="J2170" s="87">
        <f>IF($D2170&gt;0,IFERROR(Параметры!$D$42*$H2170/$H$2408,0),0)</f>
        <v>0</v>
      </c>
      <c r="K2170" s="87">
        <f>IFERROR(ROUND($N2170*Параметры!$D$36,2),0)</f>
        <v>0</v>
      </c>
      <c r="L2170" s="87">
        <f t="shared" si="236"/>
        <v>0</v>
      </c>
      <c r="M2170" s="87">
        <f t="shared" si="237"/>
        <v>0</v>
      </c>
      <c r="N2170" s="107" t="str">
        <f t="shared" si="238"/>
        <v/>
      </c>
    </row>
    <row r="2171" spans="2:14" x14ac:dyDescent="0.25">
      <c r="B2171" s="82">
        <f>SUBTOTAL(103,$D$8:D2171)</f>
        <v>2164</v>
      </c>
      <c r="C2171" s="83" t="s">
        <v>2169</v>
      </c>
      <c r="D2171" s="84">
        <v>0</v>
      </c>
      <c r="E2171" s="85" t="str">
        <f t="shared" si="233"/>
        <v/>
      </c>
      <c r="F2171" s="106" t="str">
        <f t="shared" si="239"/>
        <v/>
      </c>
      <c r="G2171" s="86"/>
      <c r="H2171" s="107">
        <f t="shared" si="234"/>
        <v>0</v>
      </c>
      <c r="I2171" s="107">
        <f t="shared" si="235"/>
        <v>0</v>
      </c>
      <c r="J2171" s="87">
        <f>IF($D2171&gt;0,IFERROR(Параметры!$D$42*$H2171/$H$2408,0),0)</f>
        <v>0</v>
      </c>
      <c r="K2171" s="87">
        <f>IFERROR(ROUND($N2171*Параметры!$D$36,2),0)</f>
        <v>0</v>
      </c>
      <c r="L2171" s="87">
        <f t="shared" si="236"/>
        <v>0</v>
      </c>
      <c r="M2171" s="87">
        <f t="shared" si="237"/>
        <v>0</v>
      </c>
      <c r="N2171" s="107" t="str">
        <f t="shared" si="238"/>
        <v/>
      </c>
    </row>
    <row r="2172" spans="2:14" x14ac:dyDescent="0.25">
      <c r="B2172" s="82">
        <f>SUBTOTAL(103,$D$8:D2172)</f>
        <v>2165</v>
      </c>
      <c r="C2172" s="83" t="s">
        <v>2170</v>
      </c>
      <c r="D2172" s="84">
        <v>0</v>
      </c>
      <c r="E2172" s="85" t="str">
        <f t="shared" si="233"/>
        <v/>
      </c>
      <c r="F2172" s="106" t="str">
        <f t="shared" si="239"/>
        <v/>
      </c>
      <c r="G2172" s="86"/>
      <c r="H2172" s="107">
        <f t="shared" si="234"/>
        <v>0</v>
      </c>
      <c r="I2172" s="107">
        <f t="shared" si="235"/>
        <v>0</v>
      </c>
      <c r="J2172" s="87">
        <f>IF($D2172&gt;0,IFERROR(Параметры!$D$42*$H2172/$H$2408,0),0)</f>
        <v>0</v>
      </c>
      <c r="K2172" s="87">
        <f>IFERROR(ROUND($N2172*Параметры!$D$36,2),0)</f>
        <v>0</v>
      </c>
      <c r="L2172" s="87">
        <f t="shared" si="236"/>
        <v>0</v>
      </c>
      <c r="M2172" s="87">
        <f t="shared" si="237"/>
        <v>0</v>
      </c>
      <c r="N2172" s="107" t="str">
        <f t="shared" si="238"/>
        <v/>
      </c>
    </row>
    <row r="2173" spans="2:14" x14ac:dyDescent="0.25">
      <c r="B2173" s="82">
        <f>SUBTOTAL(103,$D$8:D2173)</f>
        <v>2166</v>
      </c>
      <c r="C2173" s="83" t="s">
        <v>2171</v>
      </c>
      <c r="D2173" s="84">
        <v>0</v>
      </c>
      <c r="E2173" s="85" t="str">
        <f t="shared" si="233"/>
        <v/>
      </c>
      <c r="F2173" s="106" t="str">
        <f t="shared" si="239"/>
        <v/>
      </c>
      <c r="G2173" s="86"/>
      <c r="H2173" s="107">
        <f t="shared" si="234"/>
        <v>0</v>
      </c>
      <c r="I2173" s="107">
        <f t="shared" si="235"/>
        <v>0</v>
      </c>
      <c r="J2173" s="87">
        <f>IF($D2173&gt;0,IFERROR(Параметры!$D$42*$H2173/$H$2408,0),0)</f>
        <v>0</v>
      </c>
      <c r="K2173" s="87">
        <f>IFERROR(ROUND($N2173*Параметры!$D$36,2),0)</f>
        <v>0</v>
      </c>
      <c r="L2173" s="87">
        <f t="shared" si="236"/>
        <v>0</v>
      </c>
      <c r="M2173" s="87">
        <f t="shared" si="237"/>
        <v>0</v>
      </c>
      <c r="N2173" s="107" t="str">
        <f t="shared" si="238"/>
        <v/>
      </c>
    </row>
    <row r="2174" spans="2:14" x14ac:dyDescent="0.25">
      <c r="B2174" s="82">
        <f>SUBTOTAL(103,$D$8:D2174)</f>
        <v>2167</v>
      </c>
      <c r="C2174" s="83" t="s">
        <v>2172</v>
      </c>
      <c r="D2174" s="84">
        <v>0</v>
      </c>
      <c r="E2174" s="85" t="str">
        <f t="shared" si="233"/>
        <v/>
      </c>
      <c r="F2174" s="106" t="str">
        <f t="shared" si="239"/>
        <v/>
      </c>
      <c r="G2174" s="86"/>
      <c r="H2174" s="107">
        <f t="shared" si="234"/>
        <v>0</v>
      </c>
      <c r="I2174" s="107">
        <f t="shared" si="235"/>
        <v>0</v>
      </c>
      <c r="J2174" s="87">
        <f>IF($D2174&gt;0,IFERROR(Параметры!$D$42*$H2174/$H$2408,0),0)</f>
        <v>0</v>
      </c>
      <c r="K2174" s="87">
        <f>IFERROR(ROUND($N2174*Параметры!$D$36,2),0)</f>
        <v>0</v>
      </c>
      <c r="L2174" s="87">
        <f t="shared" si="236"/>
        <v>0</v>
      </c>
      <c r="M2174" s="87">
        <f t="shared" si="237"/>
        <v>0</v>
      </c>
      <c r="N2174" s="107" t="str">
        <f t="shared" si="238"/>
        <v/>
      </c>
    </row>
    <row r="2175" spans="2:14" x14ac:dyDescent="0.25">
      <c r="B2175" s="82">
        <f>SUBTOTAL(103,$D$8:D2175)</f>
        <v>2168</v>
      </c>
      <c r="C2175" s="83" t="s">
        <v>2173</v>
      </c>
      <c r="D2175" s="84">
        <v>0</v>
      </c>
      <c r="E2175" s="85" t="str">
        <f t="shared" si="233"/>
        <v/>
      </c>
      <c r="F2175" s="106" t="str">
        <f t="shared" si="239"/>
        <v/>
      </c>
      <c r="G2175" s="86"/>
      <c r="H2175" s="107">
        <f t="shared" si="234"/>
        <v>0</v>
      </c>
      <c r="I2175" s="107">
        <f t="shared" si="235"/>
        <v>0</v>
      </c>
      <c r="J2175" s="87">
        <f>IF($D2175&gt;0,IFERROR(Параметры!$D$42*$H2175/$H$2408,0),0)</f>
        <v>0</v>
      </c>
      <c r="K2175" s="87">
        <f>IFERROR(ROUND($N2175*Параметры!$D$36,2),0)</f>
        <v>0</v>
      </c>
      <c r="L2175" s="87">
        <f t="shared" si="236"/>
        <v>0</v>
      </c>
      <c r="M2175" s="87">
        <f t="shared" si="237"/>
        <v>0</v>
      </c>
      <c r="N2175" s="107" t="str">
        <f t="shared" si="238"/>
        <v/>
      </c>
    </row>
    <row r="2176" spans="2:14" x14ac:dyDescent="0.25">
      <c r="B2176" s="82">
        <f>SUBTOTAL(103,$D$8:D2176)</f>
        <v>2169</v>
      </c>
      <c r="C2176" s="83" t="s">
        <v>2174</v>
      </c>
      <c r="D2176" s="84">
        <v>0</v>
      </c>
      <c r="E2176" s="85" t="str">
        <f t="shared" si="233"/>
        <v/>
      </c>
      <c r="F2176" s="106" t="str">
        <f t="shared" si="239"/>
        <v/>
      </c>
      <c r="G2176" s="86"/>
      <c r="H2176" s="107">
        <f t="shared" si="234"/>
        <v>0</v>
      </c>
      <c r="I2176" s="107">
        <f t="shared" si="235"/>
        <v>0</v>
      </c>
      <c r="J2176" s="87">
        <f>IF($D2176&gt;0,IFERROR(Параметры!$D$42*$H2176/$H$2408,0),0)</f>
        <v>0</v>
      </c>
      <c r="K2176" s="87">
        <f>IFERROR(ROUND($N2176*Параметры!$D$36,2),0)</f>
        <v>0</v>
      </c>
      <c r="L2176" s="87">
        <f t="shared" si="236"/>
        <v>0</v>
      </c>
      <c r="M2176" s="87">
        <f t="shared" si="237"/>
        <v>0</v>
      </c>
      <c r="N2176" s="107" t="str">
        <f t="shared" si="238"/>
        <v/>
      </c>
    </row>
    <row r="2177" spans="2:14" x14ac:dyDescent="0.25">
      <c r="B2177" s="82">
        <f>SUBTOTAL(103,$D$8:D2177)</f>
        <v>2170</v>
      </c>
      <c r="C2177" s="83" t="s">
        <v>2175</v>
      </c>
      <c r="D2177" s="84">
        <v>0</v>
      </c>
      <c r="E2177" s="85" t="str">
        <f t="shared" si="233"/>
        <v/>
      </c>
      <c r="F2177" s="106" t="str">
        <f t="shared" si="239"/>
        <v/>
      </c>
      <c r="G2177" s="86"/>
      <c r="H2177" s="107">
        <f t="shared" si="234"/>
        <v>0</v>
      </c>
      <c r="I2177" s="107">
        <f t="shared" si="235"/>
        <v>0</v>
      </c>
      <c r="J2177" s="87">
        <f>IF($D2177&gt;0,IFERROR(Параметры!$D$42*$H2177/$H$2408,0),0)</f>
        <v>0</v>
      </c>
      <c r="K2177" s="87">
        <f>IFERROR(ROUND($N2177*Параметры!$D$36,2),0)</f>
        <v>0</v>
      </c>
      <c r="L2177" s="87">
        <f t="shared" si="236"/>
        <v>0</v>
      </c>
      <c r="M2177" s="87">
        <f t="shared" si="237"/>
        <v>0</v>
      </c>
      <c r="N2177" s="107" t="str">
        <f t="shared" si="238"/>
        <v/>
      </c>
    </row>
    <row r="2178" spans="2:14" x14ac:dyDescent="0.25">
      <c r="B2178" s="82">
        <f>SUBTOTAL(103,$D$8:D2178)</f>
        <v>2171</v>
      </c>
      <c r="C2178" s="83" t="s">
        <v>2176</v>
      </c>
      <c r="D2178" s="84">
        <v>0</v>
      </c>
      <c r="E2178" s="85" t="str">
        <f t="shared" si="233"/>
        <v/>
      </c>
      <c r="F2178" s="106" t="str">
        <f t="shared" si="239"/>
        <v/>
      </c>
      <c r="G2178" s="86"/>
      <c r="H2178" s="107">
        <f t="shared" si="234"/>
        <v>0</v>
      </c>
      <c r="I2178" s="107">
        <f t="shared" si="235"/>
        <v>0</v>
      </c>
      <c r="J2178" s="87">
        <f>IF($D2178&gt;0,IFERROR(Параметры!$D$42*$H2178/$H$2408,0),0)</f>
        <v>0</v>
      </c>
      <c r="K2178" s="87">
        <f>IFERROR(ROUND($N2178*Параметры!$D$36,2),0)</f>
        <v>0</v>
      </c>
      <c r="L2178" s="87">
        <f t="shared" si="236"/>
        <v>0</v>
      </c>
      <c r="M2178" s="87">
        <f t="shared" si="237"/>
        <v>0</v>
      </c>
      <c r="N2178" s="107" t="str">
        <f t="shared" si="238"/>
        <v/>
      </c>
    </row>
    <row r="2179" spans="2:14" x14ac:dyDescent="0.25">
      <c r="B2179" s="82">
        <f>SUBTOTAL(103,$D$8:D2179)</f>
        <v>2172</v>
      </c>
      <c r="C2179" s="83" t="s">
        <v>2177</v>
      </c>
      <c r="D2179" s="84">
        <v>0</v>
      </c>
      <c r="E2179" s="85" t="str">
        <f t="shared" si="233"/>
        <v/>
      </c>
      <c r="F2179" s="106" t="str">
        <f t="shared" si="239"/>
        <v/>
      </c>
      <c r="G2179" s="86"/>
      <c r="H2179" s="107">
        <f t="shared" si="234"/>
        <v>0</v>
      </c>
      <c r="I2179" s="107">
        <f t="shared" si="235"/>
        <v>0</v>
      </c>
      <c r="J2179" s="87">
        <f>IF($D2179&gt;0,IFERROR(Параметры!$D$42*$H2179/$H$2408,0),0)</f>
        <v>0</v>
      </c>
      <c r="K2179" s="87">
        <f>IFERROR(ROUND($N2179*Параметры!$D$36,2),0)</f>
        <v>0</v>
      </c>
      <c r="L2179" s="87">
        <f t="shared" si="236"/>
        <v>0</v>
      </c>
      <c r="M2179" s="87">
        <f t="shared" si="237"/>
        <v>0</v>
      </c>
      <c r="N2179" s="107" t="str">
        <f t="shared" si="238"/>
        <v/>
      </c>
    </row>
    <row r="2180" spans="2:14" x14ac:dyDescent="0.25">
      <c r="B2180" s="82">
        <f>SUBTOTAL(103,$D$8:D2180)</f>
        <v>2173</v>
      </c>
      <c r="C2180" s="83" t="s">
        <v>2178</v>
      </c>
      <c r="D2180" s="84">
        <v>0</v>
      </c>
      <c r="E2180" s="85" t="str">
        <f t="shared" si="233"/>
        <v/>
      </c>
      <c r="F2180" s="106" t="str">
        <f t="shared" si="239"/>
        <v/>
      </c>
      <c r="G2180" s="86"/>
      <c r="H2180" s="107">
        <f t="shared" si="234"/>
        <v>0</v>
      </c>
      <c r="I2180" s="107">
        <f t="shared" si="235"/>
        <v>0</v>
      </c>
      <c r="J2180" s="87">
        <f>IF($D2180&gt;0,IFERROR(Параметры!$D$42*$H2180/$H$2408,0),0)</f>
        <v>0</v>
      </c>
      <c r="K2180" s="87">
        <f>IFERROR(ROUND($N2180*Параметры!$D$36,2),0)</f>
        <v>0</v>
      </c>
      <c r="L2180" s="87">
        <f t="shared" si="236"/>
        <v>0</v>
      </c>
      <c r="M2180" s="87">
        <f t="shared" si="237"/>
        <v>0</v>
      </c>
      <c r="N2180" s="107" t="str">
        <f t="shared" si="238"/>
        <v/>
      </c>
    </row>
    <row r="2181" spans="2:14" x14ac:dyDescent="0.25">
      <c r="B2181" s="82">
        <f>SUBTOTAL(103,$D$8:D2181)</f>
        <v>2174</v>
      </c>
      <c r="C2181" s="83" t="s">
        <v>2179</v>
      </c>
      <c r="D2181" s="84">
        <v>0</v>
      </c>
      <c r="E2181" s="85" t="str">
        <f t="shared" si="233"/>
        <v/>
      </c>
      <c r="F2181" s="106" t="str">
        <f t="shared" si="239"/>
        <v/>
      </c>
      <c r="G2181" s="86"/>
      <c r="H2181" s="107">
        <f t="shared" si="234"/>
        <v>0</v>
      </c>
      <c r="I2181" s="107">
        <f t="shared" si="235"/>
        <v>0</v>
      </c>
      <c r="J2181" s="87">
        <f>IF($D2181&gt;0,IFERROR(Параметры!$D$42*$H2181/$H$2408,0),0)</f>
        <v>0</v>
      </c>
      <c r="K2181" s="87">
        <f>IFERROR(ROUND($N2181*Параметры!$D$36,2),0)</f>
        <v>0</v>
      </c>
      <c r="L2181" s="87">
        <f t="shared" si="236"/>
        <v>0</v>
      </c>
      <c r="M2181" s="87">
        <f t="shared" si="237"/>
        <v>0</v>
      </c>
      <c r="N2181" s="107" t="str">
        <f t="shared" si="238"/>
        <v/>
      </c>
    </row>
    <row r="2182" spans="2:14" x14ac:dyDescent="0.25">
      <c r="B2182" s="82">
        <f>SUBTOTAL(103,$D$8:D2182)</f>
        <v>2175</v>
      </c>
      <c r="C2182" s="83" t="s">
        <v>2180</v>
      </c>
      <c r="D2182" s="84">
        <v>0</v>
      </c>
      <c r="E2182" s="85" t="str">
        <f t="shared" si="233"/>
        <v/>
      </c>
      <c r="F2182" s="106" t="str">
        <f t="shared" si="239"/>
        <v/>
      </c>
      <c r="G2182" s="86"/>
      <c r="H2182" s="107">
        <f t="shared" si="234"/>
        <v>0</v>
      </c>
      <c r="I2182" s="107">
        <f t="shared" si="235"/>
        <v>0</v>
      </c>
      <c r="J2182" s="87">
        <f>IF($D2182&gt;0,IFERROR(Параметры!$D$42*$H2182/$H$2408,0),0)</f>
        <v>0</v>
      </c>
      <c r="K2182" s="87">
        <f>IFERROR(ROUND($N2182*Параметры!$D$36,2),0)</f>
        <v>0</v>
      </c>
      <c r="L2182" s="87">
        <f t="shared" si="236"/>
        <v>0</v>
      </c>
      <c r="M2182" s="87">
        <f t="shared" si="237"/>
        <v>0</v>
      </c>
      <c r="N2182" s="107" t="str">
        <f t="shared" si="238"/>
        <v/>
      </c>
    </row>
    <row r="2183" spans="2:14" x14ac:dyDescent="0.25">
      <c r="B2183" s="82">
        <f>SUBTOTAL(103,$D$8:D2183)</f>
        <v>2176</v>
      </c>
      <c r="C2183" s="83" t="s">
        <v>2181</v>
      </c>
      <c r="D2183" s="84">
        <v>0</v>
      </c>
      <c r="E2183" s="85" t="str">
        <f t="shared" si="233"/>
        <v/>
      </c>
      <c r="F2183" s="106" t="str">
        <f t="shared" si="239"/>
        <v/>
      </c>
      <c r="G2183" s="86"/>
      <c r="H2183" s="107">
        <f t="shared" si="234"/>
        <v>0</v>
      </c>
      <c r="I2183" s="107">
        <f t="shared" si="235"/>
        <v>0</v>
      </c>
      <c r="J2183" s="87">
        <f>IF($D2183&gt;0,IFERROR(Параметры!$D$42*$H2183/$H$2408,0),0)</f>
        <v>0</v>
      </c>
      <c r="K2183" s="87">
        <f>IFERROR(ROUND($N2183*Параметры!$D$36,2),0)</f>
        <v>0</v>
      </c>
      <c r="L2183" s="87">
        <f t="shared" si="236"/>
        <v>0</v>
      </c>
      <c r="M2183" s="87">
        <f t="shared" si="237"/>
        <v>0</v>
      </c>
      <c r="N2183" s="107" t="str">
        <f t="shared" si="238"/>
        <v/>
      </c>
    </row>
    <row r="2184" spans="2:14" x14ac:dyDescent="0.25">
      <c r="B2184" s="82">
        <f>SUBTOTAL(103,$D$8:D2184)</f>
        <v>2177</v>
      </c>
      <c r="C2184" s="83" t="s">
        <v>2182</v>
      </c>
      <c r="D2184" s="84">
        <v>0</v>
      </c>
      <c r="E2184" s="85" t="str">
        <f t="shared" ref="E2184:E2247" si="240">IF($D2184&lt;1,"",$K2184+$L2184)</f>
        <v/>
      </c>
      <c r="F2184" s="106" t="str">
        <f t="shared" si="239"/>
        <v/>
      </c>
      <c r="G2184" s="86"/>
      <c r="H2184" s="107">
        <f t="shared" ref="H2184:H2247" si="241">IF($D2184&gt;0,$D2184*КИС,0)</f>
        <v>0</v>
      </c>
      <c r="I2184" s="107">
        <f t="shared" ref="I2184:I2247" si="242">IF($D2184&gt;0,$D2184-$H2184,0)</f>
        <v>0</v>
      </c>
      <c r="J2184" s="87">
        <f>IF($D2184&gt;0,IFERROR(Параметры!$D$42*$H2184/$H$2408,0),0)</f>
        <v>0</v>
      </c>
      <c r="K2184" s="87">
        <f>IFERROR(ROUND($N2184*Параметры!$D$36,2),0)</f>
        <v>0</v>
      </c>
      <c r="L2184" s="87">
        <f t="shared" ref="L2184:L2247" si="243">IF($K2184&gt;0,$K2184*0.055,0)</f>
        <v>0</v>
      </c>
      <c r="M2184" s="87">
        <f t="shared" ref="M2184:M2247" si="244">IFERROR($L2184/Плотность_ДТ,0)</f>
        <v>0</v>
      </c>
      <c r="N2184" s="107" t="str">
        <f t="shared" ref="N2184:N2247" si="245">IF($D2184&gt;0,MAX(0,$D2184-IF($F2184="",0,$F2184)),"")</f>
        <v/>
      </c>
    </row>
    <row r="2185" spans="2:14" x14ac:dyDescent="0.25">
      <c r="B2185" s="82">
        <f>SUBTOTAL(103,$D$8:D2185)</f>
        <v>2178</v>
      </c>
      <c r="C2185" s="83" t="s">
        <v>2183</v>
      </c>
      <c r="D2185" s="84">
        <v>0</v>
      </c>
      <c r="E2185" s="85" t="str">
        <f t="shared" si="240"/>
        <v/>
      </c>
      <c r="F2185" s="106" t="str">
        <f t="shared" si="239"/>
        <v/>
      </c>
      <c r="G2185" s="86"/>
      <c r="H2185" s="107">
        <f t="shared" si="241"/>
        <v>0</v>
      </c>
      <c r="I2185" s="107">
        <f t="shared" si="242"/>
        <v>0</v>
      </c>
      <c r="J2185" s="87">
        <f>IF($D2185&gt;0,IFERROR(Параметры!$D$42*$H2185/$H$2408,0),0)</f>
        <v>0</v>
      </c>
      <c r="K2185" s="87">
        <f>IFERROR(ROUND($N2185*Параметры!$D$36,2),0)</f>
        <v>0</v>
      </c>
      <c r="L2185" s="87">
        <f t="shared" si="243"/>
        <v>0</v>
      </c>
      <c r="M2185" s="87">
        <f t="shared" si="244"/>
        <v>0</v>
      </c>
      <c r="N2185" s="107" t="str">
        <f t="shared" si="245"/>
        <v/>
      </c>
    </row>
    <row r="2186" spans="2:14" x14ac:dyDescent="0.25">
      <c r="B2186" s="82">
        <f>SUBTOTAL(103,$D$8:D2186)</f>
        <v>2179</v>
      </c>
      <c r="C2186" s="83" t="s">
        <v>2184</v>
      </c>
      <c r="D2186" s="84">
        <v>0</v>
      </c>
      <c r="E2186" s="85" t="str">
        <f t="shared" si="240"/>
        <v/>
      </c>
      <c r="F2186" s="106" t="str">
        <f t="shared" si="239"/>
        <v/>
      </c>
      <c r="G2186" s="86"/>
      <c r="H2186" s="107">
        <f t="shared" si="241"/>
        <v>0</v>
      </c>
      <c r="I2186" s="107">
        <f t="shared" si="242"/>
        <v>0</v>
      </c>
      <c r="J2186" s="87">
        <f>IF($D2186&gt;0,IFERROR(Параметры!$D$42*$H2186/$H$2408,0),0)</f>
        <v>0</v>
      </c>
      <c r="K2186" s="87">
        <f>IFERROR(ROUND($N2186*Параметры!$D$36,2),0)</f>
        <v>0</v>
      </c>
      <c r="L2186" s="87">
        <f t="shared" si="243"/>
        <v>0</v>
      </c>
      <c r="M2186" s="87">
        <f t="shared" si="244"/>
        <v>0</v>
      </c>
      <c r="N2186" s="107" t="str">
        <f t="shared" si="245"/>
        <v/>
      </c>
    </row>
    <row r="2187" spans="2:14" x14ac:dyDescent="0.25">
      <c r="B2187" s="82">
        <f>SUBTOTAL(103,$D$8:D2187)</f>
        <v>2180</v>
      </c>
      <c r="C2187" s="83" t="s">
        <v>2185</v>
      </c>
      <c r="D2187" s="84">
        <v>0</v>
      </c>
      <c r="E2187" s="85" t="str">
        <f t="shared" si="240"/>
        <v/>
      </c>
      <c r="F2187" s="106" t="str">
        <f t="shared" ref="F2187:F2250" si="246">IF(D2187&gt;0,2,"")</f>
        <v/>
      </c>
      <c r="G2187" s="86"/>
      <c r="H2187" s="107">
        <f t="shared" si="241"/>
        <v>0</v>
      </c>
      <c r="I2187" s="107">
        <f t="shared" si="242"/>
        <v>0</v>
      </c>
      <c r="J2187" s="87">
        <f>IF($D2187&gt;0,IFERROR(Параметры!$D$42*$H2187/$H$2408,0),0)</f>
        <v>0</v>
      </c>
      <c r="K2187" s="87">
        <f>IFERROR(ROUND($N2187*Параметры!$D$36,2),0)</f>
        <v>0</v>
      </c>
      <c r="L2187" s="87">
        <f t="shared" si="243"/>
        <v>0</v>
      </c>
      <c r="M2187" s="87">
        <f t="shared" si="244"/>
        <v>0</v>
      </c>
      <c r="N2187" s="107" t="str">
        <f t="shared" si="245"/>
        <v/>
      </c>
    </row>
    <row r="2188" spans="2:14" x14ac:dyDescent="0.25">
      <c r="B2188" s="82">
        <f>SUBTOTAL(103,$D$8:D2188)</f>
        <v>2181</v>
      </c>
      <c r="C2188" s="83" t="s">
        <v>2186</v>
      </c>
      <c r="D2188" s="84">
        <v>0</v>
      </c>
      <c r="E2188" s="85" t="str">
        <f t="shared" si="240"/>
        <v/>
      </c>
      <c r="F2188" s="106" t="str">
        <f t="shared" si="246"/>
        <v/>
      </c>
      <c r="G2188" s="86"/>
      <c r="H2188" s="107">
        <f t="shared" si="241"/>
        <v>0</v>
      </c>
      <c r="I2188" s="107">
        <f t="shared" si="242"/>
        <v>0</v>
      </c>
      <c r="J2188" s="87">
        <f>IF($D2188&gt;0,IFERROR(Параметры!$D$42*$H2188/$H$2408,0),0)</f>
        <v>0</v>
      </c>
      <c r="K2188" s="87">
        <f>IFERROR(ROUND($N2188*Параметры!$D$36,2),0)</f>
        <v>0</v>
      </c>
      <c r="L2188" s="87">
        <f t="shared" si="243"/>
        <v>0</v>
      </c>
      <c r="M2188" s="87">
        <f t="shared" si="244"/>
        <v>0</v>
      </c>
      <c r="N2188" s="107" t="str">
        <f t="shared" si="245"/>
        <v/>
      </c>
    </row>
    <row r="2189" spans="2:14" x14ac:dyDescent="0.25">
      <c r="B2189" s="82">
        <f>SUBTOTAL(103,$D$8:D2189)</f>
        <v>2182</v>
      </c>
      <c r="C2189" s="83" t="s">
        <v>2187</v>
      </c>
      <c r="D2189" s="84">
        <v>0</v>
      </c>
      <c r="E2189" s="85" t="str">
        <f t="shared" si="240"/>
        <v/>
      </c>
      <c r="F2189" s="106" t="str">
        <f t="shared" si="246"/>
        <v/>
      </c>
      <c r="G2189" s="86"/>
      <c r="H2189" s="107">
        <f t="shared" si="241"/>
        <v>0</v>
      </c>
      <c r="I2189" s="107">
        <f t="shared" si="242"/>
        <v>0</v>
      </c>
      <c r="J2189" s="87">
        <f>IF($D2189&gt;0,IFERROR(Параметры!$D$42*$H2189/$H$2408,0),0)</f>
        <v>0</v>
      </c>
      <c r="K2189" s="87">
        <f>IFERROR(ROUND($N2189*Параметры!$D$36,2),0)</f>
        <v>0</v>
      </c>
      <c r="L2189" s="87">
        <f t="shared" si="243"/>
        <v>0</v>
      </c>
      <c r="M2189" s="87">
        <f t="shared" si="244"/>
        <v>0</v>
      </c>
      <c r="N2189" s="107" t="str">
        <f t="shared" si="245"/>
        <v/>
      </c>
    </row>
    <row r="2190" spans="2:14" x14ac:dyDescent="0.25">
      <c r="B2190" s="82">
        <f>SUBTOTAL(103,$D$8:D2190)</f>
        <v>2183</v>
      </c>
      <c r="C2190" s="83" t="s">
        <v>2188</v>
      </c>
      <c r="D2190" s="84">
        <v>0</v>
      </c>
      <c r="E2190" s="85" t="str">
        <f t="shared" si="240"/>
        <v/>
      </c>
      <c r="F2190" s="106" t="str">
        <f t="shared" si="246"/>
        <v/>
      </c>
      <c r="G2190" s="86"/>
      <c r="H2190" s="107">
        <f t="shared" si="241"/>
        <v>0</v>
      </c>
      <c r="I2190" s="107">
        <f t="shared" si="242"/>
        <v>0</v>
      </c>
      <c r="J2190" s="87">
        <f>IF($D2190&gt;0,IFERROR(Параметры!$D$42*$H2190/$H$2408,0),0)</f>
        <v>0</v>
      </c>
      <c r="K2190" s="87">
        <f>IFERROR(ROUND($N2190*Параметры!$D$36,2),0)</f>
        <v>0</v>
      </c>
      <c r="L2190" s="87">
        <f t="shared" si="243"/>
        <v>0</v>
      </c>
      <c r="M2190" s="87">
        <f t="shared" si="244"/>
        <v>0</v>
      </c>
      <c r="N2190" s="107" t="str">
        <f t="shared" si="245"/>
        <v/>
      </c>
    </row>
    <row r="2191" spans="2:14" x14ac:dyDescent="0.25">
      <c r="B2191" s="82">
        <f>SUBTOTAL(103,$D$8:D2191)</f>
        <v>2184</v>
      </c>
      <c r="C2191" s="83" t="s">
        <v>2189</v>
      </c>
      <c r="D2191" s="84">
        <v>0</v>
      </c>
      <c r="E2191" s="85" t="str">
        <f t="shared" si="240"/>
        <v/>
      </c>
      <c r="F2191" s="106" t="str">
        <f t="shared" si="246"/>
        <v/>
      </c>
      <c r="G2191" s="86"/>
      <c r="H2191" s="107">
        <f t="shared" si="241"/>
        <v>0</v>
      </c>
      <c r="I2191" s="107">
        <f t="shared" si="242"/>
        <v>0</v>
      </c>
      <c r="J2191" s="87">
        <f>IF($D2191&gt;0,IFERROR(Параметры!$D$42*$H2191/$H$2408,0),0)</f>
        <v>0</v>
      </c>
      <c r="K2191" s="87">
        <f>IFERROR(ROUND($N2191*Параметры!$D$36,2),0)</f>
        <v>0</v>
      </c>
      <c r="L2191" s="87">
        <f t="shared" si="243"/>
        <v>0</v>
      </c>
      <c r="M2191" s="87">
        <f t="shared" si="244"/>
        <v>0</v>
      </c>
      <c r="N2191" s="107" t="str">
        <f t="shared" si="245"/>
        <v/>
      </c>
    </row>
    <row r="2192" spans="2:14" x14ac:dyDescent="0.25">
      <c r="B2192" s="82">
        <f>SUBTOTAL(103,$D$8:D2192)</f>
        <v>2185</v>
      </c>
      <c r="C2192" s="83" t="s">
        <v>2190</v>
      </c>
      <c r="D2192" s="84">
        <v>0</v>
      </c>
      <c r="E2192" s="85" t="str">
        <f t="shared" si="240"/>
        <v/>
      </c>
      <c r="F2192" s="106" t="str">
        <f t="shared" si="246"/>
        <v/>
      </c>
      <c r="G2192" s="86"/>
      <c r="H2192" s="107">
        <f t="shared" si="241"/>
        <v>0</v>
      </c>
      <c r="I2192" s="107">
        <f t="shared" si="242"/>
        <v>0</v>
      </c>
      <c r="J2192" s="87">
        <f>IF($D2192&gt;0,IFERROR(Параметры!$D$42*$H2192/$H$2408,0),0)</f>
        <v>0</v>
      </c>
      <c r="K2192" s="87">
        <f>IFERROR(ROUND($N2192*Параметры!$D$36,2),0)</f>
        <v>0</v>
      </c>
      <c r="L2192" s="87">
        <f t="shared" si="243"/>
        <v>0</v>
      </c>
      <c r="M2192" s="87">
        <f t="shared" si="244"/>
        <v>0</v>
      </c>
      <c r="N2192" s="107" t="str">
        <f t="shared" si="245"/>
        <v/>
      </c>
    </row>
    <row r="2193" spans="2:14" x14ac:dyDescent="0.25">
      <c r="B2193" s="82">
        <f>SUBTOTAL(103,$D$8:D2193)</f>
        <v>2186</v>
      </c>
      <c r="C2193" s="83" t="s">
        <v>2191</v>
      </c>
      <c r="D2193" s="84">
        <v>0</v>
      </c>
      <c r="E2193" s="85" t="str">
        <f t="shared" si="240"/>
        <v/>
      </c>
      <c r="F2193" s="106" t="str">
        <f t="shared" si="246"/>
        <v/>
      </c>
      <c r="G2193" s="86"/>
      <c r="H2193" s="107">
        <f t="shared" si="241"/>
        <v>0</v>
      </c>
      <c r="I2193" s="107">
        <f t="shared" si="242"/>
        <v>0</v>
      </c>
      <c r="J2193" s="87">
        <f>IF($D2193&gt;0,IFERROR(Параметры!$D$42*$H2193/$H$2408,0),0)</f>
        <v>0</v>
      </c>
      <c r="K2193" s="87">
        <f>IFERROR(ROUND($N2193*Параметры!$D$36,2),0)</f>
        <v>0</v>
      </c>
      <c r="L2193" s="87">
        <f t="shared" si="243"/>
        <v>0</v>
      </c>
      <c r="M2193" s="87">
        <f t="shared" si="244"/>
        <v>0</v>
      </c>
      <c r="N2193" s="107" t="str">
        <f t="shared" si="245"/>
        <v/>
      </c>
    </row>
    <row r="2194" spans="2:14" x14ac:dyDescent="0.25">
      <c r="B2194" s="82">
        <f>SUBTOTAL(103,$D$8:D2194)</f>
        <v>2187</v>
      </c>
      <c r="C2194" s="83" t="s">
        <v>2192</v>
      </c>
      <c r="D2194" s="84">
        <v>0</v>
      </c>
      <c r="E2194" s="85" t="str">
        <f t="shared" si="240"/>
        <v/>
      </c>
      <c r="F2194" s="106" t="str">
        <f t="shared" si="246"/>
        <v/>
      </c>
      <c r="G2194" s="86"/>
      <c r="H2194" s="107">
        <f t="shared" si="241"/>
        <v>0</v>
      </c>
      <c r="I2194" s="107">
        <f t="shared" si="242"/>
        <v>0</v>
      </c>
      <c r="J2194" s="87">
        <f>IF($D2194&gt;0,IFERROR(Параметры!$D$42*$H2194/$H$2408,0),0)</f>
        <v>0</v>
      </c>
      <c r="K2194" s="87">
        <f>IFERROR(ROUND($N2194*Параметры!$D$36,2),0)</f>
        <v>0</v>
      </c>
      <c r="L2194" s="87">
        <f t="shared" si="243"/>
        <v>0</v>
      </c>
      <c r="M2194" s="87">
        <f t="shared" si="244"/>
        <v>0</v>
      </c>
      <c r="N2194" s="107" t="str">
        <f t="shared" si="245"/>
        <v/>
      </c>
    </row>
    <row r="2195" spans="2:14" x14ac:dyDescent="0.25">
      <c r="B2195" s="82">
        <f>SUBTOTAL(103,$D$8:D2195)</f>
        <v>2188</v>
      </c>
      <c r="C2195" s="83" t="s">
        <v>2193</v>
      </c>
      <c r="D2195" s="84">
        <v>0</v>
      </c>
      <c r="E2195" s="85" t="str">
        <f t="shared" si="240"/>
        <v/>
      </c>
      <c r="F2195" s="106" t="str">
        <f t="shared" si="246"/>
        <v/>
      </c>
      <c r="G2195" s="86"/>
      <c r="H2195" s="107">
        <f t="shared" si="241"/>
        <v>0</v>
      </c>
      <c r="I2195" s="107">
        <f t="shared" si="242"/>
        <v>0</v>
      </c>
      <c r="J2195" s="87">
        <f>IF($D2195&gt;0,IFERROR(Параметры!$D$42*$H2195/$H$2408,0),0)</f>
        <v>0</v>
      </c>
      <c r="K2195" s="87">
        <f>IFERROR(ROUND($N2195*Параметры!$D$36,2),0)</f>
        <v>0</v>
      </c>
      <c r="L2195" s="87">
        <f t="shared" si="243"/>
        <v>0</v>
      </c>
      <c r="M2195" s="87">
        <f t="shared" si="244"/>
        <v>0</v>
      </c>
      <c r="N2195" s="107" t="str">
        <f t="shared" si="245"/>
        <v/>
      </c>
    </row>
    <row r="2196" spans="2:14" x14ac:dyDescent="0.25">
      <c r="B2196" s="82">
        <f>SUBTOTAL(103,$D$8:D2196)</f>
        <v>2189</v>
      </c>
      <c r="C2196" s="83" t="s">
        <v>2194</v>
      </c>
      <c r="D2196" s="84">
        <v>0</v>
      </c>
      <c r="E2196" s="85" t="str">
        <f t="shared" si="240"/>
        <v/>
      </c>
      <c r="F2196" s="106" t="str">
        <f t="shared" si="246"/>
        <v/>
      </c>
      <c r="G2196" s="86"/>
      <c r="H2196" s="107">
        <f t="shared" si="241"/>
        <v>0</v>
      </c>
      <c r="I2196" s="107">
        <f t="shared" si="242"/>
        <v>0</v>
      </c>
      <c r="J2196" s="87">
        <f>IF($D2196&gt;0,IFERROR(Параметры!$D$42*$H2196/$H$2408,0),0)</f>
        <v>0</v>
      </c>
      <c r="K2196" s="87">
        <f>IFERROR(ROUND($N2196*Параметры!$D$36,2),0)</f>
        <v>0</v>
      </c>
      <c r="L2196" s="87">
        <f t="shared" si="243"/>
        <v>0</v>
      </c>
      <c r="M2196" s="87">
        <f t="shared" si="244"/>
        <v>0</v>
      </c>
      <c r="N2196" s="107" t="str">
        <f t="shared" si="245"/>
        <v/>
      </c>
    </row>
    <row r="2197" spans="2:14" x14ac:dyDescent="0.25">
      <c r="B2197" s="82">
        <f>SUBTOTAL(103,$D$8:D2197)</f>
        <v>2190</v>
      </c>
      <c r="C2197" s="83" t="s">
        <v>2195</v>
      </c>
      <c r="D2197" s="84">
        <v>0</v>
      </c>
      <c r="E2197" s="85" t="str">
        <f t="shared" si="240"/>
        <v/>
      </c>
      <c r="F2197" s="106" t="str">
        <f t="shared" si="246"/>
        <v/>
      </c>
      <c r="G2197" s="86"/>
      <c r="H2197" s="107">
        <f t="shared" si="241"/>
        <v>0</v>
      </c>
      <c r="I2197" s="107">
        <f t="shared" si="242"/>
        <v>0</v>
      </c>
      <c r="J2197" s="87">
        <f>IF($D2197&gt;0,IFERROR(Параметры!$D$42*$H2197/$H$2408,0),0)</f>
        <v>0</v>
      </c>
      <c r="K2197" s="87">
        <f>IFERROR(ROUND($N2197*Параметры!$D$36,2),0)</f>
        <v>0</v>
      </c>
      <c r="L2197" s="87">
        <f t="shared" si="243"/>
        <v>0</v>
      </c>
      <c r="M2197" s="87">
        <f t="shared" si="244"/>
        <v>0</v>
      </c>
      <c r="N2197" s="107" t="str">
        <f t="shared" si="245"/>
        <v/>
      </c>
    </row>
    <row r="2198" spans="2:14" x14ac:dyDescent="0.25">
      <c r="B2198" s="82">
        <f>SUBTOTAL(103,$D$8:D2198)</f>
        <v>2191</v>
      </c>
      <c r="C2198" s="83" t="s">
        <v>2196</v>
      </c>
      <c r="D2198" s="84">
        <v>0</v>
      </c>
      <c r="E2198" s="85" t="str">
        <f t="shared" si="240"/>
        <v/>
      </c>
      <c r="F2198" s="106" t="str">
        <f t="shared" si="246"/>
        <v/>
      </c>
      <c r="G2198" s="86"/>
      <c r="H2198" s="107">
        <f t="shared" si="241"/>
        <v>0</v>
      </c>
      <c r="I2198" s="107">
        <f t="shared" si="242"/>
        <v>0</v>
      </c>
      <c r="J2198" s="87">
        <f>IF($D2198&gt;0,IFERROR(Параметры!$D$42*$H2198/$H$2408,0),0)</f>
        <v>0</v>
      </c>
      <c r="K2198" s="87">
        <f>IFERROR(ROUND($N2198*Параметры!$D$36,2),0)</f>
        <v>0</v>
      </c>
      <c r="L2198" s="87">
        <f t="shared" si="243"/>
        <v>0</v>
      </c>
      <c r="M2198" s="87">
        <f t="shared" si="244"/>
        <v>0</v>
      </c>
      <c r="N2198" s="107" t="str">
        <f t="shared" si="245"/>
        <v/>
      </c>
    </row>
    <row r="2199" spans="2:14" x14ac:dyDescent="0.25">
      <c r="B2199" s="82">
        <f>SUBTOTAL(103,$D$8:D2199)</f>
        <v>2192</v>
      </c>
      <c r="C2199" s="83" t="s">
        <v>2197</v>
      </c>
      <c r="D2199" s="84">
        <v>0</v>
      </c>
      <c r="E2199" s="85" t="str">
        <f t="shared" si="240"/>
        <v/>
      </c>
      <c r="F2199" s="106" t="str">
        <f t="shared" si="246"/>
        <v/>
      </c>
      <c r="G2199" s="86"/>
      <c r="H2199" s="107">
        <f t="shared" si="241"/>
        <v>0</v>
      </c>
      <c r="I2199" s="107">
        <f t="shared" si="242"/>
        <v>0</v>
      </c>
      <c r="J2199" s="87">
        <f>IF($D2199&gt;0,IFERROR(Параметры!$D$42*$H2199/$H$2408,0),0)</f>
        <v>0</v>
      </c>
      <c r="K2199" s="87">
        <f>IFERROR(ROUND($N2199*Параметры!$D$36,2),0)</f>
        <v>0</v>
      </c>
      <c r="L2199" s="87">
        <f t="shared" si="243"/>
        <v>0</v>
      </c>
      <c r="M2199" s="87">
        <f t="shared" si="244"/>
        <v>0</v>
      </c>
      <c r="N2199" s="107" t="str">
        <f t="shared" si="245"/>
        <v/>
      </c>
    </row>
    <row r="2200" spans="2:14" x14ac:dyDescent="0.25">
      <c r="B2200" s="82">
        <f>SUBTOTAL(103,$D$8:D2200)</f>
        <v>2193</v>
      </c>
      <c r="C2200" s="83" t="s">
        <v>2198</v>
      </c>
      <c r="D2200" s="84">
        <v>0</v>
      </c>
      <c r="E2200" s="85" t="str">
        <f t="shared" si="240"/>
        <v/>
      </c>
      <c r="F2200" s="106" t="str">
        <f t="shared" si="246"/>
        <v/>
      </c>
      <c r="G2200" s="86"/>
      <c r="H2200" s="107">
        <f t="shared" si="241"/>
        <v>0</v>
      </c>
      <c r="I2200" s="107">
        <f t="shared" si="242"/>
        <v>0</v>
      </c>
      <c r="J2200" s="87">
        <f>IF($D2200&gt;0,IFERROR(Параметры!$D$42*$H2200/$H$2408,0),0)</f>
        <v>0</v>
      </c>
      <c r="K2200" s="87">
        <f>IFERROR(ROUND($N2200*Параметры!$D$36,2),0)</f>
        <v>0</v>
      </c>
      <c r="L2200" s="87">
        <f t="shared" si="243"/>
        <v>0</v>
      </c>
      <c r="M2200" s="87">
        <f t="shared" si="244"/>
        <v>0</v>
      </c>
      <c r="N2200" s="107" t="str">
        <f t="shared" si="245"/>
        <v/>
      </c>
    </row>
    <row r="2201" spans="2:14" x14ac:dyDescent="0.25">
      <c r="B2201" s="82">
        <f>SUBTOTAL(103,$D$8:D2201)</f>
        <v>2194</v>
      </c>
      <c r="C2201" s="83" t="s">
        <v>2199</v>
      </c>
      <c r="D2201" s="84">
        <v>0</v>
      </c>
      <c r="E2201" s="85" t="str">
        <f t="shared" si="240"/>
        <v/>
      </c>
      <c r="F2201" s="106" t="str">
        <f t="shared" si="246"/>
        <v/>
      </c>
      <c r="G2201" s="86"/>
      <c r="H2201" s="107">
        <f t="shared" si="241"/>
        <v>0</v>
      </c>
      <c r="I2201" s="107">
        <f t="shared" si="242"/>
        <v>0</v>
      </c>
      <c r="J2201" s="87">
        <f>IF($D2201&gt;0,IFERROR(Параметры!$D$42*$H2201/$H$2408,0),0)</f>
        <v>0</v>
      </c>
      <c r="K2201" s="87">
        <f>IFERROR(ROUND($N2201*Параметры!$D$36,2),0)</f>
        <v>0</v>
      </c>
      <c r="L2201" s="87">
        <f t="shared" si="243"/>
        <v>0</v>
      </c>
      <c r="M2201" s="87">
        <f t="shared" si="244"/>
        <v>0</v>
      </c>
      <c r="N2201" s="107" t="str">
        <f t="shared" si="245"/>
        <v/>
      </c>
    </row>
    <row r="2202" spans="2:14" x14ac:dyDescent="0.25">
      <c r="B2202" s="82">
        <f>SUBTOTAL(103,$D$8:D2202)</f>
        <v>2195</v>
      </c>
      <c r="C2202" s="83" t="s">
        <v>2200</v>
      </c>
      <c r="D2202" s="84">
        <v>0</v>
      </c>
      <c r="E2202" s="85" t="str">
        <f t="shared" si="240"/>
        <v/>
      </c>
      <c r="F2202" s="106" t="str">
        <f t="shared" si="246"/>
        <v/>
      </c>
      <c r="G2202" s="86"/>
      <c r="H2202" s="107">
        <f t="shared" si="241"/>
        <v>0</v>
      </c>
      <c r="I2202" s="107">
        <f t="shared" si="242"/>
        <v>0</v>
      </c>
      <c r="J2202" s="87">
        <f>IF($D2202&gt;0,IFERROR(Параметры!$D$42*$H2202/$H$2408,0),0)</f>
        <v>0</v>
      </c>
      <c r="K2202" s="87">
        <f>IFERROR(ROUND($N2202*Параметры!$D$36,2),0)</f>
        <v>0</v>
      </c>
      <c r="L2202" s="87">
        <f t="shared" si="243"/>
        <v>0</v>
      </c>
      <c r="M2202" s="87">
        <f t="shared" si="244"/>
        <v>0</v>
      </c>
      <c r="N2202" s="107" t="str">
        <f t="shared" si="245"/>
        <v/>
      </c>
    </row>
    <row r="2203" spans="2:14" x14ac:dyDescent="0.25">
      <c r="B2203" s="82">
        <f>SUBTOTAL(103,$D$8:D2203)</f>
        <v>2196</v>
      </c>
      <c r="C2203" s="83" t="s">
        <v>2201</v>
      </c>
      <c r="D2203" s="84">
        <v>0</v>
      </c>
      <c r="E2203" s="85" t="str">
        <f t="shared" si="240"/>
        <v/>
      </c>
      <c r="F2203" s="106" t="str">
        <f t="shared" si="246"/>
        <v/>
      </c>
      <c r="G2203" s="86"/>
      <c r="H2203" s="107">
        <f t="shared" si="241"/>
        <v>0</v>
      </c>
      <c r="I2203" s="107">
        <f t="shared" si="242"/>
        <v>0</v>
      </c>
      <c r="J2203" s="87">
        <f>IF($D2203&gt;0,IFERROR(Параметры!$D$42*$H2203/$H$2408,0),0)</f>
        <v>0</v>
      </c>
      <c r="K2203" s="87">
        <f>IFERROR(ROUND($N2203*Параметры!$D$36,2),0)</f>
        <v>0</v>
      </c>
      <c r="L2203" s="87">
        <f t="shared" si="243"/>
        <v>0</v>
      </c>
      <c r="M2203" s="87">
        <f t="shared" si="244"/>
        <v>0</v>
      </c>
      <c r="N2203" s="107" t="str">
        <f t="shared" si="245"/>
        <v/>
      </c>
    </row>
    <row r="2204" spans="2:14" x14ac:dyDescent="0.25">
      <c r="B2204" s="82">
        <f>SUBTOTAL(103,$D$8:D2204)</f>
        <v>2197</v>
      </c>
      <c r="C2204" s="83" t="s">
        <v>2202</v>
      </c>
      <c r="D2204" s="84">
        <v>0</v>
      </c>
      <c r="E2204" s="85" t="str">
        <f t="shared" si="240"/>
        <v/>
      </c>
      <c r="F2204" s="106" t="str">
        <f t="shared" si="246"/>
        <v/>
      </c>
      <c r="G2204" s="86"/>
      <c r="H2204" s="107">
        <f t="shared" si="241"/>
        <v>0</v>
      </c>
      <c r="I2204" s="107">
        <f t="shared" si="242"/>
        <v>0</v>
      </c>
      <c r="J2204" s="87">
        <f>IF($D2204&gt;0,IFERROR(Параметры!$D$42*$H2204/$H$2408,0),0)</f>
        <v>0</v>
      </c>
      <c r="K2204" s="87">
        <f>IFERROR(ROUND($N2204*Параметры!$D$36,2),0)</f>
        <v>0</v>
      </c>
      <c r="L2204" s="87">
        <f t="shared" si="243"/>
        <v>0</v>
      </c>
      <c r="M2204" s="87">
        <f t="shared" si="244"/>
        <v>0</v>
      </c>
      <c r="N2204" s="107" t="str">
        <f t="shared" si="245"/>
        <v/>
      </c>
    </row>
    <row r="2205" spans="2:14" x14ac:dyDescent="0.25">
      <c r="B2205" s="82">
        <f>SUBTOTAL(103,$D$8:D2205)</f>
        <v>2198</v>
      </c>
      <c r="C2205" s="83" t="s">
        <v>2203</v>
      </c>
      <c r="D2205" s="84">
        <v>0</v>
      </c>
      <c r="E2205" s="85" t="str">
        <f t="shared" si="240"/>
        <v/>
      </c>
      <c r="F2205" s="106" t="str">
        <f t="shared" si="246"/>
        <v/>
      </c>
      <c r="G2205" s="86"/>
      <c r="H2205" s="107">
        <f t="shared" si="241"/>
        <v>0</v>
      </c>
      <c r="I2205" s="107">
        <f t="shared" si="242"/>
        <v>0</v>
      </c>
      <c r="J2205" s="87">
        <f>IF($D2205&gt;0,IFERROR(Параметры!$D$42*$H2205/$H$2408,0),0)</f>
        <v>0</v>
      </c>
      <c r="K2205" s="87">
        <f>IFERROR(ROUND($N2205*Параметры!$D$36,2),0)</f>
        <v>0</v>
      </c>
      <c r="L2205" s="87">
        <f t="shared" si="243"/>
        <v>0</v>
      </c>
      <c r="M2205" s="87">
        <f t="shared" si="244"/>
        <v>0</v>
      </c>
      <c r="N2205" s="107" t="str">
        <f t="shared" si="245"/>
        <v/>
      </c>
    </row>
    <row r="2206" spans="2:14" x14ac:dyDescent="0.25">
      <c r="B2206" s="82">
        <f>SUBTOTAL(103,$D$8:D2206)</f>
        <v>2199</v>
      </c>
      <c r="C2206" s="83" t="s">
        <v>2204</v>
      </c>
      <c r="D2206" s="84">
        <v>0</v>
      </c>
      <c r="E2206" s="85" t="str">
        <f t="shared" si="240"/>
        <v/>
      </c>
      <c r="F2206" s="106" t="str">
        <f t="shared" si="246"/>
        <v/>
      </c>
      <c r="G2206" s="86"/>
      <c r="H2206" s="107">
        <f t="shared" si="241"/>
        <v>0</v>
      </c>
      <c r="I2206" s="107">
        <f t="shared" si="242"/>
        <v>0</v>
      </c>
      <c r="J2206" s="87">
        <f>IF($D2206&gt;0,IFERROR(Параметры!$D$42*$H2206/$H$2408,0),0)</f>
        <v>0</v>
      </c>
      <c r="K2206" s="87">
        <f>IFERROR(ROUND($N2206*Параметры!$D$36,2),0)</f>
        <v>0</v>
      </c>
      <c r="L2206" s="87">
        <f t="shared" si="243"/>
        <v>0</v>
      </c>
      <c r="M2206" s="87">
        <f t="shared" si="244"/>
        <v>0</v>
      </c>
      <c r="N2206" s="107" t="str">
        <f t="shared" si="245"/>
        <v/>
      </c>
    </row>
    <row r="2207" spans="2:14" x14ac:dyDescent="0.25">
      <c r="B2207" s="82">
        <f>SUBTOTAL(103,$D$8:D2207)</f>
        <v>2200</v>
      </c>
      <c r="C2207" s="83" t="s">
        <v>2205</v>
      </c>
      <c r="D2207" s="84">
        <v>0</v>
      </c>
      <c r="E2207" s="85" t="str">
        <f t="shared" si="240"/>
        <v/>
      </c>
      <c r="F2207" s="106" t="str">
        <f t="shared" si="246"/>
        <v/>
      </c>
      <c r="G2207" s="86"/>
      <c r="H2207" s="107">
        <f t="shared" si="241"/>
        <v>0</v>
      </c>
      <c r="I2207" s="107">
        <f t="shared" si="242"/>
        <v>0</v>
      </c>
      <c r="J2207" s="87">
        <f>IF($D2207&gt;0,IFERROR(Параметры!$D$42*$H2207/$H$2408,0),0)</f>
        <v>0</v>
      </c>
      <c r="K2207" s="87">
        <f>IFERROR(ROUND($N2207*Параметры!$D$36,2),0)</f>
        <v>0</v>
      </c>
      <c r="L2207" s="87">
        <f t="shared" si="243"/>
        <v>0</v>
      </c>
      <c r="M2207" s="87">
        <f t="shared" si="244"/>
        <v>0</v>
      </c>
      <c r="N2207" s="107" t="str">
        <f t="shared" si="245"/>
        <v/>
      </c>
    </row>
    <row r="2208" spans="2:14" x14ac:dyDescent="0.25">
      <c r="B2208" s="82">
        <f>SUBTOTAL(103,$D$8:D2208)</f>
        <v>2201</v>
      </c>
      <c r="C2208" s="83" t="s">
        <v>2206</v>
      </c>
      <c r="D2208" s="84">
        <v>0</v>
      </c>
      <c r="E2208" s="85" t="str">
        <f t="shared" si="240"/>
        <v/>
      </c>
      <c r="F2208" s="106" t="str">
        <f t="shared" si="246"/>
        <v/>
      </c>
      <c r="G2208" s="86"/>
      <c r="H2208" s="107">
        <f t="shared" si="241"/>
        <v>0</v>
      </c>
      <c r="I2208" s="107">
        <f t="shared" si="242"/>
        <v>0</v>
      </c>
      <c r="J2208" s="87">
        <f>IF($D2208&gt;0,IFERROR(Параметры!$D$42*$H2208/$H$2408,0),0)</f>
        <v>0</v>
      </c>
      <c r="K2208" s="87">
        <f>IFERROR(ROUND($N2208*Параметры!$D$36,2),0)</f>
        <v>0</v>
      </c>
      <c r="L2208" s="87">
        <f t="shared" si="243"/>
        <v>0</v>
      </c>
      <c r="M2208" s="87">
        <f t="shared" si="244"/>
        <v>0</v>
      </c>
      <c r="N2208" s="107" t="str">
        <f t="shared" si="245"/>
        <v/>
      </c>
    </row>
    <row r="2209" spans="2:14" x14ac:dyDescent="0.25">
      <c r="B2209" s="82">
        <f>SUBTOTAL(103,$D$8:D2209)</f>
        <v>2202</v>
      </c>
      <c r="C2209" s="83" t="s">
        <v>2207</v>
      </c>
      <c r="D2209" s="84">
        <v>0</v>
      </c>
      <c r="E2209" s="85" t="str">
        <f t="shared" si="240"/>
        <v/>
      </c>
      <c r="F2209" s="106" t="str">
        <f t="shared" si="246"/>
        <v/>
      </c>
      <c r="G2209" s="86"/>
      <c r="H2209" s="107">
        <f t="shared" si="241"/>
        <v>0</v>
      </c>
      <c r="I2209" s="107">
        <f t="shared" si="242"/>
        <v>0</v>
      </c>
      <c r="J2209" s="87">
        <f>IF($D2209&gt;0,IFERROR(Параметры!$D$42*$H2209/$H$2408,0),0)</f>
        <v>0</v>
      </c>
      <c r="K2209" s="87">
        <f>IFERROR(ROUND($N2209*Параметры!$D$36,2),0)</f>
        <v>0</v>
      </c>
      <c r="L2209" s="87">
        <f t="shared" si="243"/>
        <v>0</v>
      </c>
      <c r="M2209" s="87">
        <f t="shared" si="244"/>
        <v>0</v>
      </c>
      <c r="N2209" s="107" t="str">
        <f t="shared" si="245"/>
        <v/>
      </c>
    </row>
    <row r="2210" spans="2:14" x14ac:dyDescent="0.25">
      <c r="B2210" s="82">
        <f>SUBTOTAL(103,$D$8:D2210)</f>
        <v>2203</v>
      </c>
      <c r="C2210" s="83" t="s">
        <v>2208</v>
      </c>
      <c r="D2210" s="84">
        <v>0</v>
      </c>
      <c r="E2210" s="85" t="str">
        <f t="shared" si="240"/>
        <v/>
      </c>
      <c r="F2210" s="106" t="str">
        <f t="shared" si="246"/>
        <v/>
      </c>
      <c r="G2210" s="86"/>
      <c r="H2210" s="107">
        <f t="shared" si="241"/>
        <v>0</v>
      </c>
      <c r="I2210" s="107">
        <f t="shared" si="242"/>
        <v>0</v>
      </c>
      <c r="J2210" s="87">
        <f>IF($D2210&gt;0,IFERROR(Параметры!$D$42*$H2210/$H$2408,0),0)</f>
        <v>0</v>
      </c>
      <c r="K2210" s="87">
        <f>IFERROR(ROUND($N2210*Параметры!$D$36,2),0)</f>
        <v>0</v>
      </c>
      <c r="L2210" s="87">
        <f t="shared" si="243"/>
        <v>0</v>
      </c>
      <c r="M2210" s="87">
        <f t="shared" si="244"/>
        <v>0</v>
      </c>
      <c r="N2210" s="107" t="str">
        <f t="shared" si="245"/>
        <v/>
      </c>
    </row>
    <row r="2211" spans="2:14" x14ac:dyDescent="0.25">
      <c r="B2211" s="82">
        <f>SUBTOTAL(103,$D$8:D2211)</f>
        <v>2204</v>
      </c>
      <c r="C2211" s="83" t="s">
        <v>2209</v>
      </c>
      <c r="D2211" s="84">
        <v>0</v>
      </c>
      <c r="E2211" s="85" t="str">
        <f t="shared" si="240"/>
        <v/>
      </c>
      <c r="F2211" s="106" t="str">
        <f t="shared" si="246"/>
        <v/>
      </c>
      <c r="G2211" s="86"/>
      <c r="H2211" s="107">
        <f t="shared" si="241"/>
        <v>0</v>
      </c>
      <c r="I2211" s="107">
        <f t="shared" si="242"/>
        <v>0</v>
      </c>
      <c r="J2211" s="87">
        <f>IF($D2211&gt;0,IFERROR(Параметры!$D$42*$H2211/$H$2408,0),0)</f>
        <v>0</v>
      </c>
      <c r="K2211" s="87">
        <f>IFERROR(ROUND($N2211*Параметры!$D$36,2),0)</f>
        <v>0</v>
      </c>
      <c r="L2211" s="87">
        <f t="shared" si="243"/>
        <v>0</v>
      </c>
      <c r="M2211" s="87">
        <f t="shared" si="244"/>
        <v>0</v>
      </c>
      <c r="N2211" s="107" t="str">
        <f t="shared" si="245"/>
        <v/>
      </c>
    </row>
    <row r="2212" spans="2:14" x14ac:dyDescent="0.25">
      <c r="B2212" s="82">
        <f>SUBTOTAL(103,$D$8:D2212)</f>
        <v>2205</v>
      </c>
      <c r="C2212" s="83" t="s">
        <v>2210</v>
      </c>
      <c r="D2212" s="84">
        <v>0</v>
      </c>
      <c r="E2212" s="85" t="str">
        <f t="shared" si="240"/>
        <v/>
      </c>
      <c r="F2212" s="106" t="str">
        <f t="shared" si="246"/>
        <v/>
      </c>
      <c r="G2212" s="86"/>
      <c r="H2212" s="107">
        <f t="shared" si="241"/>
        <v>0</v>
      </c>
      <c r="I2212" s="107">
        <f t="shared" si="242"/>
        <v>0</v>
      </c>
      <c r="J2212" s="87">
        <f>IF($D2212&gt;0,IFERROR(Параметры!$D$42*$H2212/$H$2408,0),0)</f>
        <v>0</v>
      </c>
      <c r="K2212" s="87">
        <f>IFERROR(ROUND($N2212*Параметры!$D$36,2),0)</f>
        <v>0</v>
      </c>
      <c r="L2212" s="87">
        <f t="shared" si="243"/>
        <v>0</v>
      </c>
      <c r="M2212" s="87">
        <f t="shared" si="244"/>
        <v>0</v>
      </c>
      <c r="N2212" s="107" t="str">
        <f t="shared" si="245"/>
        <v/>
      </c>
    </row>
    <row r="2213" spans="2:14" x14ac:dyDescent="0.25">
      <c r="B2213" s="82">
        <f>SUBTOTAL(103,$D$8:D2213)</f>
        <v>2206</v>
      </c>
      <c r="C2213" s="83" t="s">
        <v>2211</v>
      </c>
      <c r="D2213" s="84">
        <v>0</v>
      </c>
      <c r="E2213" s="85" t="str">
        <f t="shared" si="240"/>
        <v/>
      </c>
      <c r="F2213" s="106" t="str">
        <f t="shared" si="246"/>
        <v/>
      </c>
      <c r="G2213" s="86"/>
      <c r="H2213" s="107">
        <f t="shared" si="241"/>
        <v>0</v>
      </c>
      <c r="I2213" s="107">
        <f t="shared" si="242"/>
        <v>0</v>
      </c>
      <c r="J2213" s="87">
        <f>IF($D2213&gt;0,IFERROR(Параметры!$D$42*$H2213/$H$2408,0),0)</f>
        <v>0</v>
      </c>
      <c r="K2213" s="87">
        <f>IFERROR(ROUND($N2213*Параметры!$D$36,2),0)</f>
        <v>0</v>
      </c>
      <c r="L2213" s="87">
        <f t="shared" si="243"/>
        <v>0</v>
      </c>
      <c r="M2213" s="87">
        <f t="shared" si="244"/>
        <v>0</v>
      </c>
      <c r="N2213" s="107" t="str">
        <f t="shared" si="245"/>
        <v/>
      </c>
    </row>
    <row r="2214" spans="2:14" x14ac:dyDescent="0.25">
      <c r="B2214" s="82">
        <f>SUBTOTAL(103,$D$8:D2214)</f>
        <v>2207</v>
      </c>
      <c r="C2214" s="83" t="s">
        <v>2212</v>
      </c>
      <c r="D2214" s="84">
        <v>0</v>
      </c>
      <c r="E2214" s="85" t="str">
        <f t="shared" si="240"/>
        <v/>
      </c>
      <c r="F2214" s="106" t="str">
        <f t="shared" si="246"/>
        <v/>
      </c>
      <c r="G2214" s="86"/>
      <c r="H2214" s="107">
        <f t="shared" si="241"/>
        <v>0</v>
      </c>
      <c r="I2214" s="107">
        <f t="shared" si="242"/>
        <v>0</v>
      </c>
      <c r="J2214" s="87">
        <f>IF($D2214&gt;0,IFERROR(Параметры!$D$42*$H2214/$H$2408,0),0)</f>
        <v>0</v>
      </c>
      <c r="K2214" s="87">
        <f>IFERROR(ROUND($N2214*Параметры!$D$36,2),0)</f>
        <v>0</v>
      </c>
      <c r="L2214" s="87">
        <f t="shared" si="243"/>
        <v>0</v>
      </c>
      <c r="M2214" s="87">
        <f t="shared" si="244"/>
        <v>0</v>
      </c>
      <c r="N2214" s="107" t="str">
        <f t="shared" si="245"/>
        <v/>
      </c>
    </row>
    <row r="2215" spans="2:14" x14ac:dyDescent="0.25">
      <c r="B2215" s="82">
        <f>SUBTOTAL(103,$D$8:D2215)</f>
        <v>2208</v>
      </c>
      <c r="C2215" s="83" t="s">
        <v>2213</v>
      </c>
      <c r="D2215" s="84">
        <v>0</v>
      </c>
      <c r="E2215" s="85" t="str">
        <f t="shared" si="240"/>
        <v/>
      </c>
      <c r="F2215" s="106" t="str">
        <f t="shared" si="246"/>
        <v/>
      </c>
      <c r="G2215" s="86"/>
      <c r="H2215" s="107">
        <f t="shared" si="241"/>
        <v>0</v>
      </c>
      <c r="I2215" s="107">
        <f t="shared" si="242"/>
        <v>0</v>
      </c>
      <c r="J2215" s="87">
        <f>IF($D2215&gt;0,IFERROR(Параметры!$D$42*$H2215/$H$2408,0),0)</f>
        <v>0</v>
      </c>
      <c r="K2215" s="87">
        <f>IFERROR(ROUND($N2215*Параметры!$D$36,2),0)</f>
        <v>0</v>
      </c>
      <c r="L2215" s="87">
        <f t="shared" si="243"/>
        <v>0</v>
      </c>
      <c r="M2215" s="87">
        <f t="shared" si="244"/>
        <v>0</v>
      </c>
      <c r="N2215" s="107" t="str">
        <f t="shared" si="245"/>
        <v/>
      </c>
    </row>
    <row r="2216" spans="2:14" x14ac:dyDescent="0.25">
      <c r="B2216" s="82">
        <f>SUBTOTAL(103,$D$8:D2216)</f>
        <v>2209</v>
      </c>
      <c r="C2216" s="83" t="s">
        <v>2214</v>
      </c>
      <c r="D2216" s="84">
        <v>0</v>
      </c>
      <c r="E2216" s="85" t="str">
        <f t="shared" si="240"/>
        <v/>
      </c>
      <c r="F2216" s="106" t="str">
        <f t="shared" si="246"/>
        <v/>
      </c>
      <c r="G2216" s="86"/>
      <c r="H2216" s="107">
        <f t="shared" si="241"/>
        <v>0</v>
      </c>
      <c r="I2216" s="107">
        <f t="shared" si="242"/>
        <v>0</v>
      </c>
      <c r="J2216" s="87">
        <f>IF($D2216&gt;0,IFERROR(Параметры!$D$42*$H2216/$H$2408,0),0)</f>
        <v>0</v>
      </c>
      <c r="K2216" s="87">
        <f>IFERROR(ROUND($N2216*Параметры!$D$36,2),0)</f>
        <v>0</v>
      </c>
      <c r="L2216" s="87">
        <f t="shared" si="243"/>
        <v>0</v>
      </c>
      <c r="M2216" s="87">
        <f t="shared" si="244"/>
        <v>0</v>
      </c>
      <c r="N2216" s="107" t="str">
        <f t="shared" si="245"/>
        <v/>
      </c>
    </row>
    <row r="2217" spans="2:14" x14ac:dyDescent="0.25">
      <c r="B2217" s="82">
        <f>SUBTOTAL(103,$D$8:D2217)</f>
        <v>2210</v>
      </c>
      <c r="C2217" s="83" t="s">
        <v>2215</v>
      </c>
      <c r="D2217" s="84">
        <v>0</v>
      </c>
      <c r="E2217" s="85" t="str">
        <f t="shared" si="240"/>
        <v/>
      </c>
      <c r="F2217" s="106" t="str">
        <f t="shared" si="246"/>
        <v/>
      </c>
      <c r="G2217" s="86"/>
      <c r="H2217" s="107">
        <f t="shared" si="241"/>
        <v>0</v>
      </c>
      <c r="I2217" s="107">
        <f t="shared" si="242"/>
        <v>0</v>
      </c>
      <c r="J2217" s="87">
        <f>IF($D2217&gt;0,IFERROR(Параметры!$D$42*$H2217/$H$2408,0),0)</f>
        <v>0</v>
      </c>
      <c r="K2217" s="87">
        <f>IFERROR(ROUND($N2217*Параметры!$D$36,2),0)</f>
        <v>0</v>
      </c>
      <c r="L2217" s="87">
        <f t="shared" si="243"/>
        <v>0</v>
      </c>
      <c r="M2217" s="87">
        <f t="shared" si="244"/>
        <v>0</v>
      </c>
      <c r="N2217" s="107" t="str">
        <f t="shared" si="245"/>
        <v/>
      </c>
    </row>
    <row r="2218" spans="2:14" x14ac:dyDescent="0.25">
      <c r="B2218" s="82">
        <f>SUBTOTAL(103,$D$8:D2218)</f>
        <v>2211</v>
      </c>
      <c r="C2218" s="83" t="s">
        <v>2216</v>
      </c>
      <c r="D2218" s="84">
        <v>0</v>
      </c>
      <c r="E2218" s="85" t="str">
        <f t="shared" si="240"/>
        <v/>
      </c>
      <c r="F2218" s="106" t="str">
        <f t="shared" si="246"/>
        <v/>
      </c>
      <c r="G2218" s="86"/>
      <c r="H2218" s="107">
        <f t="shared" si="241"/>
        <v>0</v>
      </c>
      <c r="I2218" s="107">
        <f t="shared" si="242"/>
        <v>0</v>
      </c>
      <c r="J2218" s="87">
        <f>IF($D2218&gt;0,IFERROR(Параметры!$D$42*$H2218/$H$2408,0),0)</f>
        <v>0</v>
      </c>
      <c r="K2218" s="87">
        <f>IFERROR(ROUND($N2218*Параметры!$D$36,2),0)</f>
        <v>0</v>
      </c>
      <c r="L2218" s="87">
        <f t="shared" si="243"/>
        <v>0</v>
      </c>
      <c r="M2218" s="87">
        <f t="shared" si="244"/>
        <v>0</v>
      </c>
      <c r="N2218" s="107" t="str">
        <f t="shared" si="245"/>
        <v/>
      </c>
    </row>
    <row r="2219" spans="2:14" x14ac:dyDescent="0.25">
      <c r="B2219" s="82">
        <f>SUBTOTAL(103,$D$8:D2219)</f>
        <v>2212</v>
      </c>
      <c r="C2219" s="83" t="s">
        <v>2217</v>
      </c>
      <c r="D2219" s="84">
        <v>0</v>
      </c>
      <c r="E2219" s="85" t="str">
        <f t="shared" si="240"/>
        <v/>
      </c>
      <c r="F2219" s="106" t="str">
        <f t="shared" si="246"/>
        <v/>
      </c>
      <c r="G2219" s="86"/>
      <c r="H2219" s="107">
        <f t="shared" si="241"/>
        <v>0</v>
      </c>
      <c r="I2219" s="107">
        <f t="shared" si="242"/>
        <v>0</v>
      </c>
      <c r="J2219" s="87">
        <f>IF($D2219&gt;0,IFERROR(Параметры!$D$42*$H2219/$H$2408,0),0)</f>
        <v>0</v>
      </c>
      <c r="K2219" s="87">
        <f>IFERROR(ROUND($N2219*Параметры!$D$36,2),0)</f>
        <v>0</v>
      </c>
      <c r="L2219" s="87">
        <f t="shared" si="243"/>
        <v>0</v>
      </c>
      <c r="M2219" s="87">
        <f t="shared" si="244"/>
        <v>0</v>
      </c>
      <c r="N2219" s="107" t="str">
        <f t="shared" si="245"/>
        <v/>
      </c>
    </row>
    <row r="2220" spans="2:14" x14ac:dyDescent="0.25">
      <c r="B2220" s="82">
        <f>SUBTOTAL(103,$D$8:D2220)</f>
        <v>2213</v>
      </c>
      <c r="C2220" s="83" t="s">
        <v>2218</v>
      </c>
      <c r="D2220" s="84">
        <v>0</v>
      </c>
      <c r="E2220" s="85" t="str">
        <f t="shared" si="240"/>
        <v/>
      </c>
      <c r="F2220" s="106" t="str">
        <f t="shared" si="246"/>
        <v/>
      </c>
      <c r="G2220" s="86"/>
      <c r="H2220" s="107">
        <f t="shared" si="241"/>
        <v>0</v>
      </c>
      <c r="I2220" s="107">
        <f t="shared" si="242"/>
        <v>0</v>
      </c>
      <c r="J2220" s="87">
        <f>IF($D2220&gt;0,IFERROR(Параметры!$D$42*$H2220/$H$2408,0),0)</f>
        <v>0</v>
      </c>
      <c r="K2220" s="87">
        <f>IFERROR(ROUND($N2220*Параметры!$D$36,2),0)</f>
        <v>0</v>
      </c>
      <c r="L2220" s="87">
        <f t="shared" si="243"/>
        <v>0</v>
      </c>
      <c r="M2220" s="87">
        <f t="shared" si="244"/>
        <v>0</v>
      </c>
      <c r="N2220" s="107" t="str">
        <f t="shared" si="245"/>
        <v/>
      </c>
    </row>
    <row r="2221" spans="2:14" x14ac:dyDescent="0.25">
      <c r="B2221" s="82">
        <f>SUBTOTAL(103,$D$8:D2221)</f>
        <v>2214</v>
      </c>
      <c r="C2221" s="83" t="s">
        <v>2219</v>
      </c>
      <c r="D2221" s="84">
        <v>0</v>
      </c>
      <c r="E2221" s="85" t="str">
        <f t="shared" si="240"/>
        <v/>
      </c>
      <c r="F2221" s="106" t="str">
        <f t="shared" si="246"/>
        <v/>
      </c>
      <c r="G2221" s="86"/>
      <c r="H2221" s="107">
        <f t="shared" si="241"/>
        <v>0</v>
      </c>
      <c r="I2221" s="107">
        <f t="shared" si="242"/>
        <v>0</v>
      </c>
      <c r="J2221" s="87">
        <f>IF($D2221&gt;0,IFERROR(Параметры!$D$42*$H2221/$H$2408,0),0)</f>
        <v>0</v>
      </c>
      <c r="K2221" s="87">
        <f>IFERROR(ROUND($N2221*Параметры!$D$36,2),0)</f>
        <v>0</v>
      </c>
      <c r="L2221" s="87">
        <f t="shared" si="243"/>
        <v>0</v>
      </c>
      <c r="M2221" s="87">
        <f t="shared" si="244"/>
        <v>0</v>
      </c>
      <c r="N2221" s="107" t="str">
        <f t="shared" si="245"/>
        <v/>
      </c>
    </row>
    <row r="2222" spans="2:14" x14ac:dyDescent="0.25">
      <c r="B2222" s="82">
        <f>SUBTOTAL(103,$D$8:D2222)</f>
        <v>2215</v>
      </c>
      <c r="C2222" s="83" t="s">
        <v>2220</v>
      </c>
      <c r="D2222" s="84">
        <v>0</v>
      </c>
      <c r="E2222" s="85" t="str">
        <f t="shared" si="240"/>
        <v/>
      </c>
      <c r="F2222" s="106" t="str">
        <f t="shared" si="246"/>
        <v/>
      </c>
      <c r="G2222" s="86"/>
      <c r="H2222" s="107">
        <f t="shared" si="241"/>
        <v>0</v>
      </c>
      <c r="I2222" s="107">
        <f t="shared" si="242"/>
        <v>0</v>
      </c>
      <c r="J2222" s="87">
        <f>IF($D2222&gt;0,IFERROR(Параметры!$D$42*$H2222/$H$2408,0),0)</f>
        <v>0</v>
      </c>
      <c r="K2222" s="87">
        <f>IFERROR(ROUND($N2222*Параметры!$D$36,2),0)</f>
        <v>0</v>
      </c>
      <c r="L2222" s="87">
        <f t="shared" si="243"/>
        <v>0</v>
      </c>
      <c r="M2222" s="87">
        <f t="shared" si="244"/>
        <v>0</v>
      </c>
      <c r="N2222" s="107" t="str">
        <f t="shared" si="245"/>
        <v/>
      </c>
    </row>
    <row r="2223" spans="2:14" x14ac:dyDescent="0.25">
      <c r="B2223" s="82">
        <f>SUBTOTAL(103,$D$8:D2223)</f>
        <v>2216</v>
      </c>
      <c r="C2223" s="83" t="s">
        <v>2221</v>
      </c>
      <c r="D2223" s="84">
        <v>0</v>
      </c>
      <c r="E2223" s="85" t="str">
        <f t="shared" si="240"/>
        <v/>
      </c>
      <c r="F2223" s="106" t="str">
        <f t="shared" si="246"/>
        <v/>
      </c>
      <c r="G2223" s="86"/>
      <c r="H2223" s="107">
        <f t="shared" si="241"/>
        <v>0</v>
      </c>
      <c r="I2223" s="107">
        <f t="shared" si="242"/>
        <v>0</v>
      </c>
      <c r="J2223" s="87">
        <f>IF($D2223&gt;0,IFERROR(Параметры!$D$42*$H2223/$H$2408,0),0)</f>
        <v>0</v>
      </c>
      <c r="K2223" s="87">
        <f>IFERROR(ROUND($N2223*Параметры!$D$36,2),0)</f>
        <v>0</v>
      </c>
      <c r="L2223" s="87">
        <f t="shared" si="243"/>
        <v>0</v>
      </c>
      <c r="M2223" s="87">
        <f t="shared" si="244"/>
        <v>0</v>
      </c>
      <c r="N2223" s="107" t="str">
        <f t="shared" si="245"/>
        <v/>
      </c>
    </row>
    <row r="2224" spans="2:14" x14ac:dyDescent="0.25">
      <c r="B2224" s="82">
        <f>SUBTOTAL(103,$D$8:D2224)</f>
        <v>2217</v>
      </c>
      <c r="C2224" s="83" t="s">
        <v>2222</v>
      </c>
      <c r="D2224" s="84">
        <v>0</v>
      </c>
      <c r="E2224" s="85" t="str">
        <f t="shared" si="240"/>
        <v/>
      </c>
      <c r="F2224" s="106" t="str">
        <f t="shared" si="246"/>
        <v/>
      </c>
      <c r="G2224" s="86"/>
      <c r="H2224" s="107">
        <f t="shared" si="241"/>
        <v>0</v>
      </c>
      <c r="I2224" s="107">
        <f t="shared" si="242"/>
        <v>0</v>
      </c>
      <c r="J2224" s="87">
        <f>IF($D2224&gt;0,IFERROR(Параметры!$D$42*$H2224/$H$2408,0),0)</f>
        <v>0</v>
      </c>
      <c r="K2224" s="87">
        <f>IFERROR(ROUND($N2224*Параметры!$D$36,2),0)</f>
        <v>0</v>
      </c>
      <c r="L2224" s="87">
        <f t="shared" si="243"/>
        <v>0</v>
      </c>
      <c r="M2224" s="87">
        <f t="shared" si="244"/>
        <v>0</v>
      </c>
      <c r="N2224" s="107" t="str">
        <f t="shared" si="245"/>
        <v/>
      </c>
    </row>
    <row r="2225" spans="2:14" x14ac:dyDescent="0.25">
      <c r="B2225" s="82">
        <f>SUBTOTAL(103,$D$8:D2225)</f>
        <v>2218</v>
      </c>
      <c r="C2225" s="83" t="s">
        <v>2223</v>
      </c>
      <c r="D2225" s="84">
        <v>0</v>
      </c>
      <c r="E2225" s="85" t="str">
        <f t="shared" si="240"/>
        <v/>
      </c>
      <c r="F2225" s="106" t="str">
        <f t="shared" si="246"/>
        <v/>
      </c>
      <c r="G2225" s="86"/>
      <c r="H2225" s="107">
        <f t="shared" si="241"/>
        <v>0</v>
      </c>
      <c r="I2225" s="107">
        <f t="shared" si="242"/>
        <v>0</v>
      </c>
      <c r="J2225" s="87">
        <f>IF($D2225&gt;0,IFERROR(Параметры!$D$42*$H2225/$H$2408,0),0)</f>
        <v>0</v>
      </c>
      <c r="K2225" s="87">
        <f>IFERROR(ROUND($N2225*Параметры!$D$36,2),0)</f>
        <v>0</v>
      </c>
      <c r="L2225" s="87">
        <f t="shared" si="243"/>
        <v>0</v>
      </c>
      <c r="M2225" s="87">
        <f t="shared" si="244"/>
        <v>0</v>
      </c>
      <c r="N2225" s="107" t="str">
        <f t="shared" si="245"/>
        <v/>
      </c>
    </row>
    <row r="2226" spans="2:14" x14ac:dyDescent="0.25">
      <c r="B2226" s="82">
        <f>SUBTOTAL(103,$D$8:D2226)</f>
        <v>2219</v>
      </c>
      <c r="C2226" s="83" t="s">
        <v>2224</v>
      </c>
      <c r="D2226" s="84">
        <v>0</v>
      </c>
      <c r="E2226" s="85" t="str">
        <f t="shared" si="240"/>
        <v/>
      </c>
      <c r="F2226" s="106" t="str">
        <f t="shared" si="246"/>
        <v/>
      </c>
      <c r="G2226" s="86"/>
      <c r="H2226" s="107">
        <f t="shared" si="241"/>
        <v>0</v>
      </c>
      <c r="I2226" s="107">
        <f t="shared" si="242"/>
        <v>0</v>
      </c>
      <c r="J2226" s="87">
        <f>IF($D2226&gt;0,IFERROR(Параметры!$D$42*$H2226/$H$2408,0),0)</f>
        <v>0</v>
      </c>
      <c r="K2226" s="87">
        <f>IFERROR(ROUND($N2226*Параметры!$D$36,2),0)</f>
        <v>0</v>
      </c>
      <c r="L2226" s="87">
        <f t="shared" si="243"/>
        <v>0</v>
      </c>
      <c r="M2226" s="87">
        <f t="shared" si="244"/>
        <v>0</v>
      </c>
      <c r="N2226" s="107" t="str">
        <f t="shared" si="245"/>
        <v/>
      </c>
    </row>
    <row r="2227" spans="2:14" x14ac:dyDescent="0.25">
      <c r="B2227" s="82">
        <f>SUBTOTAL(103,$D$8:D2227)</f>
        <v>2220</v>
      </c>
      <c r="C2227" s="83" t="s">
        <v>2225</v>
      </c>
      <c r="D2227" s="84">
        <v>0</v>
      </c>
      <c r="E2227" s="85" t="str">
        <f t="shared" si="240"/>
        <v/>
      </c>
      <c r="F2227" s="106" t="str">
        <f t="shared" si="246"/>
        <v/>
      </c>
      <c r="G2227" s="86"/>
      <c r="H2227" s="107">
        <f t="shared" si="241"/>
        <v>0</v>
      </c>
      <c r="I2227" s="107">
        <f t="shared" si="242"/>
        <v>0</v>
      </c>
      <c r="J2227" s="87">
        <f>IF($D2227&gt;0,IFERROR(Параметры!$D$42*$H2227/$H$2408,0),0)</f>
        <v>0</v>
      </c>
      <c r="K2227" s="87">
        <f>IFERROR(ROUND($N2227*Параметры!$D$36,2),0)</f>
        <v>0</v>
      </c>
      <c r="L2227" s="87">
        <f t="shared" si="243"/>
        <v>0</v>
      </c>
      <c r="M2227" s="87">
        <f t="shared" si="244"/>
        <v>0</v>
      </c>
      <c r="N2227" s="107" t="str">
        <f t="shared" si="245"/>
        <v/>
      </c>
    </row>
    <row r="2228" spans="2:14" x14ac:dyDescent="0.25">
      <c r="B2228" s="82">
        <f>SUBTOTAL(103,$D$8:D2228)</f>
        <v>2221</v>
      </c>
      <c r="C2228" s="83" t="s">
        <v>2226</v>
      </c>
      <c r="D2228" s="84">
        <f t="array" ref="D2228:D2287">TRANSPOSE('Зарядная карта'!$C$42:$BJ$42)</f>
        <v>0</v>
      </c>
      <c r="E2228" s="85" t="str">
        <f t="shared" si="240"/>
        <v/>
      </c>
      <c r="F2228" s="106" t="str">
        <f t="shared" si="246"/>
        <v/>
      </c>
      <c r="G2228" s="86"/>
      <c r="H2228" s="107">
        <f t="shared" si="241"/>
        <v>0</v>
      </c>
      <c r="I2228" s="107">
        <f t="shared" si="242"/>
        <v>0</v>
      </c>
      <c r="J2228" s="87">
        <f>IF($D2228&gt;0,IFERROR(Параметры!$D$42*$H2228/$H$2408,0),0)</f>
        <v>0</v>
      </c>
      <c r="K2228" s="87">
        <f>IFERROR(ROUND($N2228*Параметры!$D$36,2),0)</f>
        <v>0</v>
      </c>
      <c r="L2228" s="87">
        <f t="shared" si="243"/>
        <v>0</v>
      </c>
      <c r="M2228" s="87">
        <f t="shared" si="244"/>
        <v>0</v>
      </c>
      <c r="N2228" s="107" t="str">
        <f t="shared" si="245"/>
        <v/>
      </c>
    </row>
    <row r="2229" spans="2:14" x14ac:dyDescent="0.25">
      <c r="B2229" s="82">
        <f>SUBTOTAL(103,$D$8:D2229)</f>
        <v>2222</v>
      </c>
      <c r="C2229" s="83" t="s">
        <v>2227</v>
      </c>
      <c r="D2229" s="84">
        <v>0</v>
      </c>
      <c r="E2229" s="85" t="str">
        <f t="shared" si="240"/>
        <v/>
      </c>
      <c r="F2229" s="106" t="str">
        <f t="shared" si="246"/>
        <v/>
      </c>
      <c r="G2229" s="86"/>
      <c r="H2229" s="107">
        <f t="shared" si="241"/>
        <v>0</v>
      </c>
      <c r="I2229" s="107">
        <f t="shared" si="242"/>
        <v>0</v>
      </c>
      <c r="J2229" s="87">
        <f>IF($D2229&gt;0,IFERROR(Параметры!$D$42*$H2229/$H$2408,0),0)</f>
        <v>0</v>
      </c>
      <c r="K2229" s="87">
        <f>IFERROR(ROUND($N2229*Параметры!$D$36,2),0)</f>
        <v>0</v>
      </c>
      <c r="L2229" s="87">
        <f t="shared" si="243"/>
        <v>0</v>
      </c>
      <c r="M2229" s="87">
        <f t="shared" si="244"/>
        <v>0</v>
      </c>
      <c r="N2229" s="107" t="str">
        <f t="shared" si="245"/>
        <v/>
      </c>
    </row>
    <row r="2230" spans="2:14" x14ac:dyDescent="0.25">
      <c r="B2230" s="82">
        <f>SUBTOTAL(103,$D$8:D2230)</f>
        <v>2223</v>
      </c>
      <c r="C2230" s="83" t="s">
        <v>2228</v>
      </c>
      <c r="D2230" s="84">
        <v>0</v>
      </c>
      <c r="E2230" s="85" t="str">
        <f t="shared" si="240"/>
        <v/>
      </c>
      <c r="F2230" s="106" t="str">
        <f t="shared" si="246"/>
        <v/>
      </c>
      <c r="G2230" s="86"/>
      <c r="H2230" s="107">
        <f t="shared" si="241"/>
        <v>0</v>
      </c>
      <c r="I2230" s="107">
        <f t="shared" si="242"/>
        <v>0</v>
      </c>
      <c r="J2230" s="87">
        <f>IF($D2230&gt;0,IFERROR(Параметры!$D$42*$H2230/$H$2408,0),0)</f>
        <v>0</v>
      </c>
      <c r="K2230" s="87">
        <f>IFERROR(ROUND($N2230*Параметры!$D$36,2),0)</f>
        <v>0</v>
      </c>
      <c r="L2230" s="87">
        <f t="shared" si="243"/>
        <v>0</v>
      </c>
      <c r="M2230" s="87">
        <f t="shared" si="244"/>
        <v>0</v>
      </c>
      <c r="N2230" s="107" t="str">
        <f t="shared" si="245"/>
        <v/>
      </c>
    </row>
    <row r="2231" spans="2:14" x14ac:dyDescent="0.25">
      <c r="B2231" s="82">
        <f>SUBTOTAL(103,$D$8:D2231)</f>
        <v>2224</v>
      </c>
      <c r="C2231" s="83" t="s">
        <v>2229</v>
      </c>
      <c r="D2231" s="84">
        <v>0</v>
      </c>
      <c r="E2231" s="85" t="str">
        <f t="shared" si="240"/>
        <v/>
      </c>
      <c r="F2231" s="106" t="str">
        <f t="shared" si="246"/>
        <v/>
      </c>
      <c r="G2231" s="86"/>
      <c r="H2231" s="107">
        <f t="shared" si="241"/>
        <v>0</v>
      </c>
      <c r="I2231" s="107">
        <f t="shared" si="242"/>
        <v>0</v>
      </c>
      <c r="J2231" s="87">
        <f>IF($D2231&gt;0,IFERROR(Параметры!$D$42*$H2231/$H$2408,0),0)</f>
        <v>0</v>
      </c>
      <c r="K2231" s="87">
        <f>IFERROR(ROUND($N2231*Параметры!$D$36,2),0)</f>
        <v>0</v>
      </c>
      <c r="L2231" s="87">
        <f t="shared" si="243"/>
        <v>0</v>
      </c>
      <c r="M2231" s="87">
        <f t="shared" si="244"/>
        <v>0</v>
      </c>
      <c r="N2231" s="107" t="str">
        <f t="shared" si="245"/>
        <v/>
      </c>
    </row>
    <row r="2232" spans="2:14" x14ac:dyDescent="0.25">
      <c r="B2232" s="82">
        <f>SUBTOTAL(103,$D$8:D2232)</f>
        <v>2225</v>
      </c>
      <c r="C2232" s="83" t="s">
        <v>2230</v>
      </c>
      <c r="D2232" s="84">
        <v>0</v>
      </c>
      <c r="E2232" s="85" t="str">
        <f t="shared" si="240"/>
        <v/>
      </c>
      <c r="F2232" s="106" t="str">
        <f t="shared" si="246"/>
        <v/>
      </c>
      <c r="G2232" s="86"/>
      <c r="H2232" s="107">
        <f t="shared" si="241"/>
        <v>0</v>
      </c>
      <c r="I2232" s="107">
        <f t="shared" si="242"/>
        <v>0</v>
      </c>
      <c r="J2232" s="87">
        <f>IF($D2232&gt;0,IFERROR(Параметры!$D$42*$H2232/$H$2408,0),0)</f>
        <v>0</v>
      </c>
      <c r="K2232" s="87">
        <f>IFERROR(ROUND($N2232*Параметры!$D$36,2),0)</f>
        <v>0</v>
      </c>
      <c r="L2232" s="87">
        <f t="shared" si="243"/>
        <v>0</v>
      </c>
      <c r="M2232" s="87">
        <f t="shared" si="244"/>
        <v>0</v>
      </c>
      <c r="N2232" s="107" t="str">
        <f t="shared" si="245"/>
        <v/>
      </c>
    </row>
    <row r="2233" spans="2:14" x14ac:dyDescent="0.25">
      <c r="B2233" s="82">
        <f>SUBTOTAL(103,$D$8:D2233)</f>
        <v>2226</v>
      </c>
      <c r="C2233" s="83" t="s">
        <v>2231</v>
      </c>
      <c r="D2233" s="84">
        <v>0</v>
      </c>
      <c r="E2233" s="85" t="str">
        <f t="shared" si="240"/>
        <v/>
      </c>
      <c r="F2233" s="106" t="str">
        <f t="shared" si="246"/>
        <v/>
      </c>
      <c r="G2233" s="86"/>
      <c r="H2233" s="107">
        <f t="shared" si="241"/>
        <v>0</v>
      </c>
      <c r="I2233" s="107">
        <f t="shared" si="242"/>
        <v>0</v>
      </c>
      <c r="J2233" s="87">
        <f>IF($D2233&gt;0,IFERROR(Параметры!$D$42*$H2233/$H$2408,0),0)</f>
        <v>0</v>
      </c>
      <c r="K2233" s="87">
        <f>IFERROR(ROUND($N2233*Параметры!$D$36,2),0)</f>
        <v>0</v>
      </c>
      <c r="L2233" s="87">
        <f t="shared" si="243"/>
        <v>0</v>
      </c>
      <c r="M2233" s="87">
        <f t="shared" si="244"/>
        <v>0</v>
      </c>
      <c r="N2233" s="107" t="str">
        <f t="shared" si="245"/>
        <v/>
      </c>
    </row>
    <row r="2234" spans="2:14" x14ac:dyDescent="0.25">
      <c r="B2234" s="82">
        <f>SUBTOTAL(103,$D$8:D2234)</f>
        <v>2227</v>
      </c>
      <c r="C2234" s="83" t="s">
        <v>2232</v>
      </c>
      <c r="D2234" s="84">
        <v>0</v>
      </c>
      <c r="E2234" s="85" t="str">
        <f t="shared" si="240"/>
        <v/>
      </c>
      <c r="F2234" s="106" t="str">
        <f t="shared" si="246"/>
        <v/>
      </c>
      <c r="G2234" s="86"/>
      <c r="H2234" s="107">
        <f t="shared" si="241"/>
        <v>0</v>
      </c>
      <c r="I2234" s="107">
        <f t="shared" si="242"/>
        <v>0</v>
      </c>
      <c r="J2234" s="87">
        <f>IF($D2234&gt;0,IFERROR(Параметры!$D$42*$H2234/$H$2408,0),0)</f>
        <v>0</v>
      </c>
      <c r="K2234" s="87">
        <f>IFERROR(ROUND($N2234*Параметры!$D$36,2),0)</f>
        <v>0</v>
      </c>
      <c r="L2234" s="87">
        <f t="shared" si="243"/>
        <v>0</v>
      </c>
      <c r="M2234" s="87">
        <f t="shared" si="244"/>
        <v>0</v>
      </c>
      <c r="N2234" s="107" t="str">
        <f t="shared" si="245"/>
        <v/>
      </c>
    </row>
    <row r="2235" spans="2:14" x14ac:dyDescent="0.25">
      <c r="B2235" s="82">
        <f>SUBTOTAL(103,$D$8:D2235)</f>
        <v>2228</v>
      </c>
      <c r="C2235" s="83" t="s">
        <v>2233</v>
      </c>
      <c r="D2235" s="84">
        <v>0</v>
      </c>
      <c r="E2235" s="85" t="str">
        <f t="shared" si="240"/>
        <v/>
      </c>
      <c r="F2235" s="106" t="str">
        <f t="shared" si="246"/>
        <v/>
      </c>
      <c r="G2235" s="86"/>
      <c r="H2235" s="107">
        <f t="shared" si="241"/>
        <v>0</v>
      </c>
      <c r="I2235" s="107">
        <f t="shared" si="242"/>
        <v>0</v>
      </c>
      <c r="J2235" s="87">
        <f>IF($D2235&gt;0,IFERROR(Параметры!$D$42*$H2235/$H$2408,0),0)</f>
        <v>0</v>
      </c>
      <c r="K2235" s="87">
        <f>IFERROR(ROUND($N2235*Параметры!$D$36,2),0)</f>
        <v>0</v>
      </c>
      <c r="L2235" s="87">
        <f t="shared" si="243"/>
        <v>0</v>
      </c>
      <c r="M2235" s="87">
        <f t="shared" si="244"/>
        <v>0</v>
      </c>
      <c r="N2235" s="107" t="str">
        <f t="shared" si="245"/>
        <v/>
      </c>
    </row>
    <row r="2236" spans="2:14" x14ac:dyDescent="0.25">
      <c r="B2236" s="82">
        <f>SUBTOTAL(103,$D$8:D2236)</f>
        <v>2229</v>
      </c>
      <c r="C2236" s="83" t="s">
        <v>2234</v>
      </c>
      <c r="D2236" s="84">
        <v>0</v>
      </c>
      <c r="E2236" s="85" t="str">
        <f t="shared" si="240"/>
        <v/>
      </c>
      <c r="F2236" s="106" t="str">
        <f t="shared" si="246"/>
        <v/>
      </c>
      <c r="G2236" s="86"/>
      <c r="H2236" s="107">
        <f t="shared" si="241"/>
        <v>0</v>
      </c>
      <c r="I2236" s="107">
        <f t="shared" si="242"/>
        <v>0</v>
      </c>
      <c r="J2236" s="87">
        <f>IF($D2236&gt;0,IFERROR(Параметры!$D$42*$H2236/$H$2408,0),0)</f>
        <v>0</v>
      </c>
      <c r="K2236" s="87">
        <f>IFERROR(ROUND($N2236*Параметры!$D$36,2),0)</f>
        <v>0</v>
      </c>
      <c r="L2236" s="87">
        <f t="shared" si="243"/>
        <v>0</v>
      </c>
      <c r="M2236" s="87">
        <f t="shared" si="244"/>
        <v>0</v>
      </c>
      <c r="N2236" s="107" t="str">
        <f t="shared" si="245"/>
        <v/>
      </c>
    </row>
    <row r="2237" spans="2:14" x14ac:dyDescent="0.25">
      <c r="B2237" s="82">
        <f>SUBTOTAL(103,$D$8:D2237)</f>
        <v>2230</v>
      </c>
      <c r="C2237" s="83" t="s">
        <v>2235</v>
      </c>
      <c r="D2237" s="84">
        <v>0</v>
      </c>
      <c r="E2237" s="85" t="str">
        <f t="shared" si="240"/>
        <v/>
      </c>
      <c r="F2237" s="106" t="str">
        <f t="shared" si="246"/>
        <v/>
      </c>
      <c r="G2237" s="86"/>
      <c r="H2237" s="107">
        <f t="shared" si="241"/>
        <v>0</v>
      </c>
      <c r="I2237" s="107">
        <f t="shared" si="242"/>
        <v>0</v>
      </c>
      <c r="J2237" s="87">
        <f>IF($D2237&gt;0,IFERROR(Параметры!$D$42*$H2237/$H$2408,0),0)</f>
        <v>0</v>
      </c>
      <c r="K2237" s="87">
        <f>IFERROR(ROUND($N2237*Параметры!$D$36,2),0)</f>
        <v>0</v>
      </c>
      <c r="L2237" s="87">
        <f t="shared" si="243"/>
        <v>0</v>
      </c>
      <c r="M2237" s="87">
        <f t="shared" si="244"/>
        <v>0</v>
      </c>
      <c r="N2237" s="107" t="str">
        <f t="shared" si="245"/>
        <v/>
      </c>
    </row>
    <row r="2238" spans="2:14" x14ac:dyDescent="0.25">
      <c r="B2238" s="82">
        <f>SUBTOTAL(103,$D$8:D2238)</f>
        <v>2231</v>
      </c>
      <c r="C2238" s="83" t="s">
        <v>2236</v>
      </c>
      <c r="D2238" s="84">
        <v>0</v>
      </c>
      <c r="E2238" s="85" t="str">
        <f t="shared" si="240"/>
        <v/>
      </c>
      <c r="F2238" s="106" t="str">
        <f t="shared" si="246"/>
        <v/>
      </c>
      <c r="G2238" s="86"/>
      <c r="H2238" s="107">
        <f t="shared" si="241"/>
        <v>0</v>
      </c>
      <c r="I2238" s="107">
        <f t="shared" si="242"/>
        <v>0</v>
      </c>
      <c r="J2238" s="87">
        <f>IF($D2238&gt;0,IFERROR(Параметры!$D$42*$H2238/$H$2408,0),0)</f>
        <v>0</v>
      </c>
      <c r="K2238" s="87">
        <f>IFERROR(ROUND($N2238*Параметры!$D$36,2),0)</f>
        <v>0</v>
      </c>
      <c r="L2238" s="87">
        <f t="shared" si="243"/>
        <v>0</v>
      </c>
      <c r="M2238" s="87">
        <f t="shared" si="244"/>
        <v>0</v>
      </c>
      <c r="N2238" s="107" t="str">
        <f t="shared" si="245"/>
        <v/>
      </c>
    </row>
    <row r="2239" spans="2:14" x14ac:dyDescent="0.25">
      <c r="B2239" s="82">
        <f>SUBTOTAL(103,$D$8:D2239)</f>
        <v>2232</v>
      </c>
      <c r="C2239" s="83" t="s">
        <v>2237</v>
      </c>
      <c r="D2239" s="84">
        <v>0</v>
      </c>
      <c r="E2239" s="85" t="str">
        <f t="shared" si="240"/>
        <v/>
      </c>
      <c r="F2239" s="106" t="str">
        <f t="shared" si="246"/>
        <v/>
      </c>
      <c r="G2239" s="86"/>
      <c r="H2239" s="107">
        <f t="shared" si="241"/>
        <v>0</v>
      </c>
      <c r="I2239" s="107">
        <f t="shared" si="242"/>
        <v>0</v>
      </c>
      <c r="J2239" s="87">
        <f>IF($D2239&gt;0,IFERROR(Параметры!$D$42*$H2239/$H$2408,0),0)</f>
        <v>0</v>
      </c>
      <c r="K2239" s="87">
        <f>IFERROR(ROUND($N2239*Параметры!$D$36,2),0)</f>
        <v>0</v>
      </c>
      <c r="L2239" s="87">
        <f t="shared" si="243"/>
        <v>0</v>
      </c>
      <c r="M2239" s="87">
        <f t="shared" si="244"/>
        <v>0</v>
      </c>
      <c r="N2239" s="107" t="str">
        <f t="shared" si="245"/>
        <v/>
      </c>
    </row>
    <row r="2240" spans="2:14" x14ac:dyDescent="0.25">
      <c r="B2240" s="82">
        <f>SUBTOTAL(103,$D$8:D2240)</f>
        <v>2233</v>
      </c>
      <c r="C2240" s="83" t="s">
        <v>2238</v>
      </c>
      <c r="D2240" s="84">
        <v>0</v>
      </c>
      <c r="E2240" s="85" t="str">
        <f t="shared" si="240"/>
        <v/>
      </c>
      <c r="F2240" s="106" t="str">
        <f t="shared" si="246"/>
        <v/>
      </c>
      <c r="G2240" s="86"/>
      <c r="H2240" s="107">
        <f t="shared" si="241"/>
        <v>0</v>
      </c>
      <c r="I2240" s="107">
        <f t="shared" si="242"/>
        <v>0</v>
      </c>
      <c r="J2240" s="87">
        <f>IF($D2240&gt;0,IFERROR(Параметры!$D$42*$H2240/$H$2408,0),0)</f>
        <v>0</v>
      </c>
      <c r="K2240" s="87">
        <f>IFERROR(ROUND($N2240*Параметры!$D$36,2),0)</f>
        <v>0</v>
      </c>
      <c r="L2240" s="87">
        <f t="shared" si="243"/>
        <v>0</v>
      </c>
      <c r="M2240" s="87">
        <f t="shared" si="244"/>
        <v>0</v>
      </c>
      <c r="N2240" s="107" t="str">
        <f t="shared" si="245"/>
        <v/>
      </c>
    </row>
    <row r="2241" spans="2:14" x14ac:dyDescent="0.25">
      <c r="B2241" s="82">
        <f>SUBTOTAL(103,$D$8:D2241)</f>
        <v>2234</v>
      </c>
      <c r="C2241" s="83" t="s">
        <v>2239</v>
      </c>
      <c r="D2241" s="84">
        <v>0</v>
      </c>
      <c r="E2241" s="85" t="str">
        <f t="shared" si="240"/>
        <v/>
      </c>
      <c r="F2241" s="106" t="str">
        <f t="shared" si="246"/>
        <v/>
      </c>
      <c r="G2241" s="86"/>
      <c r="H2241" s="107">
        <f t="shared" si="241"/>
        <v>0</v>
      </c>
      <c r="I2241" s="107">
        <f t="shared" si="242"/>
        <v>0</v>
      </c>
      <c r="J2241" s="87">
        <f>IF($D2241&gt;0,IFERROR(Параметры!$D$42*$H2241/$H$2408,0),0)</f>
        <v>0</v>
      </c>
      <c r="K2241" s="87">
        <f>IFERROR(ROUND($N2241*Параметры!$D$36,2),0)</f>
        <v>0</v>
      </c>
      <c r="L2241" s="87">
        <f t="shared" si="243"/>
        <v>0</v>
      </c>
      <c r="M2241" s="87">
        <f t="shared" si="244"/>
        <v>0</v>
      </c>
      <c r="N2241" s="107" t="str">
        <f t="shared" si="245"/>
        <v/>
      </c>
    </row>
    <row r="2242" spans="2:14" x14ac:dyDescent="0.25">
      <c r="B2242" s="82">
        <f>SUBTOTAL(103,$D$8:D2242)</f>
        <v>2235</v>
      </c>
      <c r="C2242" s="83" t="s">
        <v>2240</v>
      </c>
      <c r="D2242" s="84">
        <v>0</v>
      </c>
      <c r="E2242" s="85" t="str">
        <f t="shared" si="240"/>
        <v/>
      </c>
      <c r="F2242" s="106" t="str">
        <f t="shared" si="246"/>
        <v/>
      </c>
      <c r="G2242" s="86"/>
      <c r="H2242" s="107">
        <f t="shared" si="241"/>
        <v>0</v>
      </c>
      <c r="I2242" s="107">
        <f t="shared" si="242"/>
        <v>0</v>
      </c>
      <c r="J2242" s="87">
        <f>IF($D2242&gt;0,IFERROR(Параметры!$D$42*$H2242/$H$2408,0),0)</f>
        <v>0</v>
      </c>
      <c r="K2242" s="87">
        <f>IFERROR(ROUND($N2242*Параметры!$D$36,2),0)</f>
        <v>0</v>
      </c>
      <c r="L2242" s="87">
        <f t="shared" si="243"/>
        <v>0</v>
      </c>
      <c r="M2242" s="87">
        <f t="shared" si="244"/>
        <v>0</v>
      </c>
      <c r="N2242" s="107" t="str">
        <f t="shared" si="245"/>
        <v/>
      </c>
    </row>
    <row r="2243" spans="2:14" x14ac:dyDescent="0.25">
      <c r="B2243" s="82">
        <f>SUBTOTAL(103,$D$8:D2243)</f>
        <v>2236</v>
      </c>
      <c r="C2243" s="83" t="s">
        <v>2241</v>
      </c>
      <c r="D2243" s="84">
        <v>0</v>
      </c>
      <c r="E2243" s="85" t="str">
        <f t="shared" si="240"/>
        <v/>
      </c>
      <c r="F2243" s="106" t="str">
        <f t="shared" si="246"/>
        <v/>
      </c>
      <c r="G2243" s="86"/>
      <c r="H2243" s="107">
        <f t="shared" si="241"/>
        <v>0</v>
      </c>
      <c r="I2243" s="107">
        <f t="shared" si="242"/>
        <v>0</v>
      </c>
      <c r="J2243" s="87">
        <f>IF($D2243&gt;0,IFERROR(Параметры!$D$42*$H2243/$H$2408,0),0)</f>
        <v>0</v>
      </c>
      <c r="K2243" s="87">
        <f>IFERROR(ROUND($N2243*Параметры!$D$36,2),0)</f>
        <v>0</v>
      </c>
      <c r="L2243" s="87">
        <f t="shared" si="243"/>
        <v>0</v>
      </c>
      <c r="M2243" s="87">
        <f t="shared" si="244"/>
        <v>0</v>
      </c>
      <c r="N2243" s="107" t="str">
        <f t="shared" si="245"/>
        <v/>
      </c>
    </row>
    <row r="2244" spans="2:14" x14ac:dyDescent="0.25">
      <c r="B2244" s="82">
        <f>SUBTOTAL(103,$D$8:D2244)</f>
        <v>2237</v>
      </c>
      <c r="C2244" s="83" t="s">
        <v>2242</v>
      </c>
      <c r="D2244" s="84">
        <v>0</v>
      </c>
      <c r="E2244" s="85" t="str">
        <f t="shared" si="240"/>
        <v/>
      </c>
      <c r="F2244" s="106" t="str">
        <f t="shared" si="246"/>
        <v/>
      </c>
      <c r="G2244" s="86"/>
      <c r="H2244" s="107">
        <f t="shared" si="241"/>
        <v>0</v>
      </c>
      <c r="I2244" s="107">
        <f t="shared" si="242"/>
        <v>0</v>
      </c>
      <c r="J2244" s="87">
        <f>IF($D2244&gt;0,IFERROR(Параметры!$D$42*$H2244/$H$2408,0),0)</f>
        <v>0</v>
      </c>
      <c r="K2244" s="87">
        <f>IFERROR(ROUND($N2244*Параметры!$D$36,2),0)</f>
        <v>0</v>
      </c>
      <c r="L2244" s="87">
        <f t="shared" si="243"/>
        <v>0</v>
      </c>
      <c r="M2244" s="87">
        <f t="shared" si="244"/>
        <v>0</v>
      </c>
      <c r="N2244" s="107" t="str">
        <f t="shared" si="245"/>
        <v/>
      </c>
    </row>
    <row r="2245" spans="2:14" x14ac:dyDescent="0.25">
      <c r="B2245" s="82">
        <f>SUBTOTAL(103,$D$8:D2245)</f>
        <v>2238</v>
      </c>
      <c r="C2245" s="83" t="s">
        <v>2243</v>
      </c>
      <c r="D2245" s="84">
        <v>0</v>
      </c>
      <c r="E2245" s="85" t="str">
        <f t="shared" si="240"/>
        <v/>
      </c>
      <c r="F2245" s="106" t="str">
        <f t="shared" si="246"/>
        <v/>
      </c>
      <c r="G2245" s="86"/>
      <c r="H2245" s="107">
        <f t="shared" si="241"/>
        <v>0</v>
      </c>
      <c r="I2245" s="107">
        <f t="shared" si="242"/>
        <v>0</v>
      </c>
      <c r="J2245" s="87">
        <f>IF($D2245&gt;0,IFERROR(Параметры!$D$42*$H2245/$H$2408,0),0)</f>
        <v>0</v>
      </c>
      <c r="K2245" s="87">
        <f>IFERROR(ROUND($N2245*Параметры!$D$36,2),0)</f>
        <v>0</v>
      </c>
      <c r="L2245" s="87">
        <f t="shared" si="243"/>
        <v>0</v>
      </c>
      <c r="M2245" s="87">
        <f t="shared" si="244"/>
        <v>0</v>
      </c>
      <c r="N2245" s="107" t="str">
        <f t="shared" si="245"/>
        <v/>
      </c>
    </row>
    <row r="2246" spans="2:14" x14ac:dyDescent="0.25">
      <c r="B2246" s="82">
        <f>SUBTOTAL(103,$D$8:D2246)</f>
        <v>2239</v>
      </c>
      <c r="C2246" s="83" t="s">
        <v>2244</v>
      </c>
      <c r="D2246" s="84">
        <v>0</v>
      </c>
      <c r="E2246" s="85" t="str">
        <f t="shared" si="240"/>
        <v/>
      </c>
      <c r="F2246" s="106" t="str">
        <f t="shared" si="246"/>
        <v/>
      </c>
      <c r="G2246" s="86"/>
      <c r="H2246" s="107">
        <f t="shared" si="241"/>
        <v>0</v>
      </c>
      <c r="I2246" s="107">
        <f t="shared" si="242"/>
        <v>0</v>
      </c>
      <c r="J2246" s="87">
        <f>IF($D2246&gt;0,IFERROR(Параметры!$D$42*$H2246/$H$2408,0),0)</f>
        <v>0</v>
      </c>
      <c r="K2246" s="87">
        <f>IFERROR(ROUND($N2246*Параметры!$D$36,2),0)</f>
        <v>0</v>
      </c>
      <c r="L2246" s="87">
        <f t="shared" si="243"/>
        <v>0</v>
      </c>
      <c r="M2246" s="87">
        <f t="shared" si="244"/>
        <v>0</v>
      </c>
      <c r="N2246" s="107" t="str">
        <f t="shared" si="245"/>
        <v/>
      </c>
    </row>
    <row r="2247" spans="2:14" x14ac:dyDescent="0.25">
      <c r="B2247" s="82">
        <f>SUBTOTAL(103,$D$8:D2247)</f>
        <v>2240</v>
      </c>
      <c r="C2247" s="83" t="s">
        <v>2245</v>
      </c>
      <c r="D2247" s="84">
        <v>0</v>
      </c>
      <c r="E2247" s="85" t="str">
        <f t="shared" si="240"/>
        <v/>
      </c>
      <c r="F2247" s="106" t="str">
        <f t="shared" si="246"/>
        <v/>
      </c>
      <c r="G2247" s="86"/>
      <c r="H2247" s="107">
        <f t="shared" si="241"/>
        <v>0</v>
      </c>
      <c r="I2247" s="107">
        <f t="shared" si="242"/>
        <v>0</v>
      </c>
      <c r="J2247" s="87">
        <f>IF($D2247&gt;0,IFERROR(Параметры!$D$42*$H2247/$H$2408,0),0)</f>
        <v>0</v>
      </c>
      <c r="K2247" s="87">
        <f>IFERROR(ROUND($N2247*Параметры!$D$36,2),0)</f>
        <v>0</v>
      </c>
      <c r="L2247" s="87">
        <f t="shared" si="243"/>
        <v>0</v>
      </c>
      <c r="M2247" s="87">
        <f t="shared" si="244"/>
        <v>0</v>
      </c>
      <c r="N2247" s="107" t="str">
        <f t="shared" si="245"/>
        <v/>
      </c>
    </row>
    <row r="2248" spans="2:14" x14ac:dyDescent="0.25">
      <c r="B2248" s="82">
        <f>SUBTOTAL(103,$D$8:D2248)</f>
        <v>2241</v>
      </c>
      <c r="C2248" s="83" t="s">
        <v>2246</v>
      </c>
      <c r="D2248" s="84">
        <v>0</v>
      </c>
      <c r="E2248" s="85" t="str">
        <f t="shared" ref="E2248:E2311" si="247">IF($D2248&lt;1,"",$K2248+$L2248)</f>
        <v/>
      </c>
      <c r="F2248" s="106" t="str">
        <f t="shared" si="246"/>
        <v/>
      </c>
      <c r="G2248" s="86"/>
      <c r="H2248" s="107">
        <f t="shared" ref="H2248:H2311" si="248">IF($D2248&gt;0,$D2248*КИС,0)</f>
        <v>0</v>
      </c>
      <c r="I2248" s="107">
        <f t="shared" ref="I2248:I2311" si="249">IF($D2248&gt;0,$D2248-$H2248,0)</f>
        <v>0</v>
      </c>
      <c r="J2248" s="87">
        <f>IF($D2248&gt;0,IFERROR(Параметры!$D$42*$H2248/$H$2408,0),0)</f>
        <v>0</v>
      </c>
      <c r="K2248" s="87">
        <f>IFERROR(ROUND($N2248*Параметры!$D$36,2),0)</f>
        <v>0</v>
      </c>
      <c r="L2248" s="87">
        <f t="shared" ref="L2248:L2311" si="250">IF($K2248&gt;0,$K2248*0.055,0)</f>
        <v>0</v>
      </c>
      <c r="M2248" s="87">
        <f t="shared" ref="M2248:M2311" si="251">IFERROR($L2248/Плотность_ДТ,0)</f>
        <v>0</v>
      </c>
      <c r="N2248" s="107" t="str">
        <f t="shared" ref="N2248:N2311" si="252">IF($D2248&gt;0,MAX(0,$D2248-IF($F2248="",0,$F2248)),"")</f>
        <v/>
      </c>
    </row>
    <row r="2249" spans="2:14" x14ac:dyDescent="0.25">
      <c r="B2249" s="82">
        <f>SUBTOTAL(103,$D$8:D2249)</f>
        <v>2242</v>
      </c>
      <c r="C2249" s="83" t="s">
        <v>2247</v>
      </c>
      <c r="D2249" s="84">
        <v>0</v>
      </c>
      <c r="E2249" s="85" t="str">
        <f t="shared" si="247"/>
        <v/>
      </c>
      <c r="F2249" s="106" t="str">
        <f t="shared" si="246"/>
        <v/>
      </c>
      <c r="G2249" s="86"/>
      <c r="H2249" s="107">
        <f t="shared" si="248"/>
        <v>0</v>
      </c>
      <c r="I2249" s="107">
        <f t="shared" si="249"/>
        <v>0</v>
      </c>
      <c r="J2249" s="87">
        <f>IF($D2249&gt;0,IFERROR(Параметры!$D$42*$H2249/$H$2408,0),0)</f>
        <v>0</v>
      </c>
      <c r="K2249" s="87">
        <f>IFERROR(ROUND($N2249*Параметры!$D$36,2),0)</f>
        <v>0</v>
      </c>
      <c r="L2249" s="87">
        <f t="shared" si="250"/>
        <v>0</v>
      </c>
      <c r="M2249" s="87">
        <f t="shared" si="251"/>
        <v>0</v>
      </c>
      <c r="N2249" s="107" t="str">
        <f t="shared" si="252"/>
        <v/>
      </c>
    </row>
    <row r="2250" spans="2:14" x14ac:dyDescent="0.25">
      <c r="B2250" s="82">
        <f>SUBTOTAL(103,$D$8:D2250)</f>
        <v>2243</v>
      </c>
      <c r="C2250" s="83" t="s">
        <v>2248</v>
      </c>
      <c r="D2250" s="84">
        <v>0</v>
      </c>
      <c r="E2250" s="85" t="str">
        <f t="shared" si="247"/>
        <v/>
      </c>
      <c r="F2250" s="106" t="str">
        <f t="shared" si="246"/>
        <v/>
      </c>
      <c r="G2250" s="86"/>
      <c r="H2250" s="107">
        <f t="shared" si="248"/>
        <v>0</v>
      </c>
      <c r="I2250" s="107">
        <f t="shared" si="249"/>
        <v>0</v>
      </c>
      <c r="J2250" s="87">
        <f>IF($D2250&gt;0,IFERROR(Параметры!$D$42*$H2250/$H$2408,0),0)</f>
        <v>0</v>
      </c>
      <c r="K2250" s="87">
        <f>IFERROR(ROUND($N2250*Параметры!$D$36,2),0)</f>
        <v>0</v>
      </c>
      <c r="L2250" s="87">
        <f t="shared" si="250"/>
        <v>0</v>
      </c>
      <c r="M2250" s="87">
        <f t="shared" si="251"/>
        <v>0</v>
      </c>
      <c r="N2250" s="107" t="str">
        <f t="shared" si="252"/>
        <v/>
      </c>
    </row>
    <row r="2251" spans="2:14" x14ac:dyDescent="0.25">
      <c r="B2251" s="82">
        <f>SUBTOTAL(103,$D$8:D2251)</f>
        <v>2244</v>
      </c>
      <c r="C2251" s="83" t="s">
        <v>2249</v>
      </c>
      <c r="D2251" s="84">
        <v>0</v>
      </c>
      <c r="E2251" s="85" t="str">
        <f t="shared" si="247"/>
        <v/>
      </c>
      <c r="F2251" s="106" t="str">
        <f t="shared" ref="F2251:F2314" si="253">IF(D2251&gt;0,2,"")</f>
        <v/>
      </c>
      <c r="G2251" s="86"/>
      <c r="H2251" s="107">
        <f t="shared" si="248"/>
        <v>0</v>
      </c>
      <c r="I2251" s="107">
        <f t="shared" si="249"/>
        <v>0</v>
      </c>
      <c r="J2251" s="87">
        <f>IF($D2251&gt;0,IFERROR(Параметры!$D$42*$H2251/$H$2408,0),0)</f>
        <v>0</v>
      </c>
      <c r="K2251" s="87">
        <f>IFERROR(ROUND($N2251*Параметры!$D$36,2),0)</f>
        <v>0</v>
      </c>
      <c r="L2251" s="87">
        <f t="shared" si="250"/>
        <v>0</v>
      </c>
      <c r="M2251" s="87">
        <f t="shared" si="251"/>
        <v>0</v>
      </c>
      <c r="N2251" s="107" t="str">
        <f t="shared" si="252"/>
        <v/>
      </c>
    </row>
    <row r="2252" spans="2:14" x14ac:dyDescent="0.25">
      <c r="B2252" s="82">
        <f>SUBTOTAL(103,$D$8:D2252)</f>
        <v>2245</v>
      </c>
      <c r="C2252" s="83" t="s">
        <v>2250</v>
      </c>
      <c r="D2252" s="84">
        <v>0</v>
      </c>
      <c r="E2252" s="85" t="str">
        <f t="shared" si="247"/>
        <v/>
      </c>
      <c r="F2252" s="106" t="str">
        <f t="shared" si="253"/>
        <v/>
      </c>
      <c r="G2252" s="86"/>
      <c r="H2252" s="107">
        <f t="shared" si="248"/>
        <v>0</v>
      </c>
      <c r="I2252" s="107">
        <f t="shared" si="249"/>
        <v>0</v>
      </c>
      <c r="J2252" s="87">
        <f>IF($D2252&gt;0,IFERROR(Параметры!$D$42*$H2252/$H$2408,0),0)</f>
        <v>0</v>
      </c>
      <c r="K2252" s="87">
        <f>IFERROR(ROUND($N2252*Параметры!$D$36,2),0)</f>
        <v>0</v>
      </c>
      <c r="L2252" s="87">
        <f t="shared" si="250"/>
        <v>0</v>
      </c>
      <c r="M2252" s="87">
        <f t="shared" si="251"/>
        <v>0</v>
      </c>
      <c r="N2252" s="107" t="str">
        <f t="shared" si="252"/>
        <v/>
      </c>
    </row>
    <row r="2253" spans="2:14" x14ac:dyDescent="0.25">
      <c r="B2253" s="82">
        <f>SUBTOTAL(103,$D$8:D2253)</f>
        <v>2246</v>
      </c>
      <c r="C2253" s="83" t="s">
        <v>2251</v>
      </c>
      <c r="D2253" s="84">
        <v>0</v>
      </c>
      <c r="E2253" s="85" t="str">
        <f t="shared" si="247"/>
        <v/>
      </c>
      <c r="F2253" s="106" t="str">
        <f t="shared" si="253"/>
        <v/>
      </c>
      <c r="G2253" s="86"/>
      <c r="H2253" s="107">
        <f t="shared" si="248"/>
        <v>0</v>
      </c>
      <c r="I2253" s="107">
        <f t="shared" si="249"/>
        <v>0</v>
      </c>
      <c r="J2253" s="87">
        <f>IF($D2253&gt;0,IFERROR(Параметры!$D$42*$H2253/$H$2408,0),0)</f>
        <v>0</v>
      </c>
      <c r="K2253" s="87">
        <f>IFERROR(ROUND($N2253*Параметры!$D$36,2),0)</f>
        <v>0</v>
      </c>
      <c r="L2253" s="87">
        <f t="shared" si="250"/>
        <v>0</v>
      </c>
      <c r="M2253" s="87">
        <f t="shared" si="251"/>
        <v>0</v>
      </c>
      <c r="N2253" s="107" t="str">
        <f t="shared" si="252"/>
        <v/>
      </c>
    </row>
    <row r="2254" spans="2:14" x14ac:dyDescent="0.25">
      <c r="B2254" s="82">
        <f>SUBTOTAL(103,$D$8:D2254)</f>
        <v>2247</v>
      </c>
      <c r="C2254" s="83" t="s">
        <v>2252</v>
      </c>
      <c r="D2254" s="84">
        <v>0</v>
      </c>
      <c r="E2254" s="85" t="str">
        <f t="shared" si="247"/>
        <v/>
      </c>
      <c r="F2254" s="106" t="str">
        <f t="shared" si="253"/>
        <v/>
      </c>
      <c r="G2254" s="86"/>
      <c r="H2254" s="107">
        <f t="shared" si="248"/>
        <v>0</v>
      </c>
      <c r="I2254" s="107">
        <f t="shared" si="249"/>
        <v>0</v>
      </c>
      <c r="J2254" s="87">
        <f>IF($D2254&gt;0,IFERROR(Параметры!$D$42*$H2254/$H$2408,0),0)</f>
        <v>0</v>
      </c>
      <c r="K2254" s="87">
        <f>IFERROR(ROUND($N2254*Параметры!$D$36,2),0)</f>
        <v>0</v>
      </c>
      <c r="L2254" s="87">
        <f t="shared" si="250"/>
        <v>0</v>
      </c>
      <c r="M2254" s="87">
        <f t="shared" si="251"/>
        <v>0</v>
      </c>
      <c r="N2254" s="107" t="str">
        <f t="shared" si="252"/>
        <v/>
      </c>
    </row>
    <row r="2255" spans="2:14" x14ac:dyDescent="0.25">
      <c r="B2255" s="82">
        <f>SUBTOTAL(103,$D$8:D2255)</f>
        <v>2248</v>
      </c>
      <c r="C2255" s="83" t="s">
        <v>2253</v>
      </c>
      <c r="D2255" s="84">
        <v>0</v>
      </c>
      <c r="E2255" s="85" t="str">
        <f t="shared" si="247"/>
        <v/>
      </c>
      <c r="F2255" s="106" t="str">
        <f t="shared" si="253"/>
        <v/>
      </c>
      <c r="G2255" s="86"/>
      <c r="H2255" s="107">
        <f t="shared" si="248"/>
        <v>0</v>
      </c>
      <c r="I2255" s="107">
        <f t="shared" si="249"/>
        <v>0</v>
      </c>
      <c r="J2255" s="87">
        <f>IF($D2255&gt;0,IFERROR(Параметры!$D$42*$H2255/$H$2408,0),0)</f>
        <v>0</v>
      </c>
      <c r="K2255" s="87">
        <f>IFERROR(ROUND($N2255*Параметры!$D$36,2),0)</f>
        <v>0</v>
      </c>
      <c r="L2255" s="87">
        <f t="shared" si="250"/>
        <v>0</v>
      </c>
      <c r="M2255" s="87">
        <f t="shared" si="251"/>
        <v>0</v>
      </c>
      <c r="N2255" s="107" t="str">
        <f t="shared" si="252"/>
        <v/>
      </c>
    </row>
    <row r="2256" spans="2:14" x14ac:dyDescent="0.25">
      <c r="B2256" s="82">
        <f>SUBTOTAL(103,$D$8:D2256)</f>
        <v>2249</v>
      </c>
      <c r="C2256" s="83" t="s">
        <v>2254</v>
      </c>
      <c r="D2256" s="84">
        <v>0</v>
      </c>
      <c r="E2256" s="85" t="str">
        <f t="shared" si="247"/>
        <v/>
      </c>
      <c r="F2256" s="106" t="str">
        <f t="shared" si="253"/>
        <v/>
      </c>
      <c r="G2256" s="86"/>
      <c r="H2256" s="107">
        <f t="shared" si="248"/>
        <v>0</v>
      </c>
      <c r="I2256" s="107">
        <f t="shared" si="249"/>
        <v>0</v>
      </c>
      <c r="J2256" s="87">
        <f>IF($D2256&gt;0,IFERROR(Параметры!$D$42*$H2256/$H$2408,0),0)</f>
        <v>0</v>
      </c>
      <c r="K2256" s="87">
        <f>IFERROR(ROUND($N2256*Параметры!$D$36,2),0)</f>
        <v>0</v>
      </c>
      <c r="L2256" s="87">
        <f t="shared" si="250"/>
        <v>0</v>
      </c>
      <c r="M2256" s="87">
        <f t="shared" si="251"/>
        <v>0</v>
      </c>
      <c r="N2256" s="107" t="str">
        <f t="shared" si="252"/>
        <v/>
      </c>
    </row>
    <row r="2257" spans="2:14" x14ac:dyDescent="0.25">
      <c r="B2257" s="82">
        <f>SUBTOTAL(103,$D$8:D2257)</f>
        <v>2250</v>
      </c>
      <c r="C2257" s="83" t="s">
        <v>2255</v>
      </c>
      <c r="D2257" s="84">
        <v>0</v>
      </c>
      <c r="E2257" s="85" t="str">
        <f t="shared" si="247"/>
        <v/>
      </c>
      <c r="F2257" s="106" t="str">
        <f t="shared" si="253"/>
        <v/>
      </c>
      <c r="G2257" s="86"/>
      <c r="H2257" s="107">
        <f t="shared" si="248"/>
        <v>0</v>
      </c>
      <c r="I2257" s="107">
        <f t="shared" si="249"/>
        <v>0</v>
      </c>
      <c r="J2257" s="87">
        <f>IF($D2257&gt;0,IFERROR(Параметры!$D$42*$H2257/$H$2408,0),0)</f>
        <v>0</v>
      </c>
      <c r="K2257" s="87">
        <f>IFERROR(ROUND($N2257*Параметры!$D$36,2),0)</f>
        <v>0</v>
      </c>
      <c r="L2257" s="87">
        <f t="shared" si="250"/>
        <v>0</v>
      </c>
      <c r="M2257" s="87">
        <f t="shared" si="251"/>
        <v>0</v>
      </c>
      <c r="N2257" s="107" t="str">
        <f t="shared" si="252"/>
        <v/>
      </c>
    </row>
    <row r="2258" spans="2:14" x14ac:dyDescent="0.25">
      <c r="B2258" s="82">
        <f>SUBTOTAL(103,$D$8:D2258)</f>
        <v>2251</v>
      </c>
      <c r="C2258" s="83" t="s">
        <v>2256</v>
      </c>
      <c r="D2258" s="84">
        <v>0</v>
      </c>
      <c r="E2258" s="85" t="str">
        <f t="shared" si="247"/>
        <v/>
      </c>
      <c r="F2258" s="106" t="str">
        <f t="shared" si="253"/>
        <v/>
      </c>
      <c r="G2258" s="86"/>
      <c r="H2258" s="107">
        <f t="shared" si="248"/>
        <v>0</v>
      </c>
      <c r="I2258" s="107">
        <f t="shared" si="249"/>
        <v>0</v>
      </c>
      <c r="J2258" s="87">
        <f>IF($D2258&gt;0,IFERROR(Параметры!$D$42*$H2258/$H$2408,0),0)</f>
        <v>0</v>
      </c>
      <c r="K2258" s="87">
        <f>IFERROR(ROUND($N2258*Параметры!$D$36,2),0)</f>
        <v>0</v>
      </c>
      <c r="L2258" s="87">
        <f t="shared" si="250"/>
        <v>0</v>
      </c>
      <c r="M2258" s="87">
        <f t="shared" si="251"/>
        <v>0</v>
      </c>
      <c r="N2258" s="107" t="str">
        <f t="shared" si="252"/>
        <v/>
      </c>
    </row>
    <row r="2259" spans="2:14" x14ac:dyDescent="0.25">
      <c r="B2259" s="82">
        <f>SUBTOTAL(103,$D$8:D2259)</f>
        <v>2252</v>
      </c>
      <c r="C2259" s="83" t="s">
        <v>2257</v>
      </c>
      <c r="D2259" s="84">
        <v>0</v>
      </c>
      <c r="E2259" s="85" t="str">
        <f t="shared" si="247"/>
        <v/>
      </c>
      <c r="F2259" s="106" t="str">
        <f t="shared" si="253"/>
        <v/>
      </c>
      <c r="G2259" s="86"/>
      <c r="H2259" s="107">
        <f t="shared" si="248"/>
        <v>0</v>
      </c>
      <c r="I2259" s="107">
        <f t="shared" si="249"/>
        <v>0</v>
      </c>
      <c r="J2259" s="87">
        <f>IF($D2259&gt;0,IFERROR(Параметры!$D$42*$H2259/$H$2408,0),0)</f>
        <v>0</v>
      </c>
      <c r="K2259" s="87">
        <f>IFERROR(ROUND($N2259*Параметры!$D$36,2),0)</f>
        <v>0</v>
      </c>
      <c r="L2259" s="87">
        <f t="shared" si="250"/>
        <v>0</v>
      </c>
      <c r="M2259" s="87">
        <f t="shared" si="251"/>
        <v>0</v>
      </c>
      <c r="N2259" s="107" t="str">
        <f t="shared" si="252"/>
        <v/>
      </c>
    </row>
    <row r="2260" spans="2:14" x14ac:dyDescent="0.25">
      <c r="B2260" s="82">
        <f>SUBTOTAL(103,$D$8:D2260)</f>
        <v>2253</v>
      </c>
      <c r="C2260" s="83" t="s">
        <v>2258</v>
      </c>
      <c r="D2260" s="84">
        <v>0</v>
      </c>
      <c r="E2260" s="85" t="str">
        <f t="shared" si="247"/>
        <v/>
      </c>
      <c r="F2260" s="106" t="str">
        <f t="shared" si="253"/>
        <v/>
      </c>
      <c r="G2260" s="86"/>
      <c r="H2260" s="107">
        <f t="shared" si="248"/>
        <v>0</v>
      </c>
      <c r="I2260" s="107">
        <f t="shared" si="249"/>
        <v>0</v>
      </c>
      <c r="J2260" s="87">
        <f>IF($D2260&gt;0,IFERROR(Параметры!$D$42*$H2260/$H$2408,0),0)</f>
        <v>0</v>
      </c>
      <c r="K2260" s="87">
        <f>IFERROR(ROUND($N2260*Параметры!$D$36,2),0)</f>
        <v>0</v>
      </c>
      <c r="L2260" s="87">
        <f t="shared" si="250"/>
        <v>0</v>
      </c>
      <c r="M2260" s="87">
        <f t="shared" si="251"/>
        <v>0</v>
      </c>
      <c r="N2260" s="107" t="str">
        <f t="shared" si="252"/>
        <v/>
      </c>
    </row>
    <row r="2261" spans="2:14" x14ac:dyDescent="0.25">
      <c r="B2261" s="82">
        <f>SUBTOTAL(103,$D$8:D2261)</f>
        <v>2254</v>
      </c>
      <c r="C2261" s="83" t="s">
        <v>2259</v>
      </c>
      <c r="D2261" s="84">
        <v>0</v>
      </c>
      <c r="E2261" s="85" t="str">
        <f t="shared" si="247"/>
        <v/>
      </c>
      <c r="F2261" s="106" t="str">
        <f t="shared" si="253"/>
        <v/>
      </c>
      <c r="G2261" s="86"/>
      <c r="H2261" s="107">
        <f t="shared" si="248"/>
        <v>0</v>
      </c>
      <c r="I2261" s="107">
        <f t="shared" si="249"/>
        <v>0</v>
      </c>
      <c r="J2261" s="87">
        <f>IF($D2261&gt;0,IFERROR(Параметры!$D$42*$H2261/$H$2408,0),0)</f>
        <v>0</v>
      </c>
      <c r="K2261" s="87">
        <f>IFERROR(ROUND($N2261*Параметры!$D$36,2),0)</f>
        <v>0</v>
      </c>
      <c r="L2261" s="87">
        <f t="shared" si="250"/>
        <v>0</v>
      </c>
      <c r="M2261" s="87">
        <f t="shared" si="251"/>
        <v>0</v>
      </c>
      <c r="N2261" s="107" t="str">
        <f t="shared" si="252"/>
        <v/>
      </c>
    </row>
    <row r="2262" spans="2:14" x14ac:dyDescent="0.25">
      <c r="B2262" s="82">
        <f>SUBTOTAL(103,$D$8:D2262)</f>
        <v>2255</v>
      </c>
      <c r="C2262" s="83" t="s">
        <v>2260</v>
      </c>
      <c r="D2262" s="84">
        <v>0</v>
      </c>
      <c r="E2262" s="85" t="str">
        <f t="shared" si="247"/>
        <v/>
      </c>
      <c r="F2262" s="106" t="str">
        <f t="shared" si="253"/>
        <v/>
      </c>
      <c r="G2262" s="86"/>
      <c r="H2262" s="107">
        <f t="shared" si="248"/>
        <v>0</v>
      </c>
      <c r="I2262" s="107">
        <f t="shared" si="249"/>
        <v>0</v>
      </c>
      <c r="J2262" s="87">
        <f>IF($D2262&gt;0,IFERROR(Параметры!$D$42*$H2262/$H$2408,0),0)</f>
        <v>0</v>
      </c>
      <c r="K2262" s="87">
        <f>IFERROR(ROUND($N2262*Параметры!$D$36,2),0)</f>
        <v>0</v>
      </c>
      <c r="L2262" s="87">
        <f t="shared" si="250"/>
        <v>0</v>
      </c>
      <c r="M2262" s="87">
        <f t="shared" si="251"/>
        <v>0</v>
      </c>
      <c r="N2262" s="107" t="str">
        <f t="shared" si="252"/>
        <v/>
      </c>
    </row>
    <row r="2263" spans="2:14" x14ac:dyDescent="0.25">
      <c r="B2263" s="82">
        <f>SUBTOTAL(103,$D$8:D2263)</f>
        <v>2256</v>
      </c>
      <c r="C2263" s="83" t="s">
        <v>2261</v>
      </c>
      <c r="D2263" s="84">
        <v>0</v>
      </c>
      <c r="E2263" s="85" t="str">
        <f t="shared" si="247"/>
        <v/>
      </c>
      <c r="F2263" s="106" t="str">
        <f t="shared" si="253"/>
        <v/>
      </c>
      <c r="G2263" s="86"/>
      <c r="H2263" s="107">
        <f t="shared" si="248"/>
        <v>0</v>
      </c>
      <c r="I2263" s="107">
        <f t="shared" si="249"/>
        <v>0</v>
      </c>
      <c r="J2263" s="87">
        <f>IF($D2263&gt;0,IFERROR(Параметры!$D$42*$H2263/$H$2408,0),0)</f>
        <v>0</v>
      </c>
      <c r="K2263" s="87">
        <f>IFERROR(ROUND($N2263*Параметры!$D$36,2),0)</f>
        <v>0</v>
      </c>
      <c r="L2263" s="87">
        <f t="shared" si="250"/>
        <v>0</v>
      </c>
      <c r="M2263" s="87">
        <f t="shared" si="251"/>
        <v>0</v>
      </c>
      <c r="N2263" s="107" t="str">
        <f t="shared" si="252"/>
        <v/>
      </c>
    </row>
    <row r="2264" spans="2:14" x14ac:dyDescent="0.25">
      <c r="B2264" s="82">
        <f>SUBTOTAL(103,$D$8:D2264)</f>
        <v>2257</v>
      </c>
      <c r="C2264" s="83" t="s">
        <v>2262</v>
      </c>
      <c r="D2264" s="84">
        <v>0</v>
      </c>
      <c r="E2264" s="85" t="str">
        <f t="shared" si="247"/>
        <v/>
      </c>
      <c r="F2264" s="106" t="str">
        <f t="shared" si="253"/>
        <v/>
      </c>
      <c r="G2264" s="86"/>
      <c r="H2264" s="107">
        <f t="shared" si="248"/>
        <v>0</v>
      </c>
      <c r="I2264" s="107">
        <f t="shared" si="249"/>
        <v>0</v>
      </c>
      <c r="J2264" s="87">
        <f>IF($D2264&gt;0,IFERROR(Параметры!$D$42*$H2264/$H$2408,0),0)</f>
        <v>0</v>
      </c>
      <c r="K2264" s="87">
        <f>IFERROR(ROUND($N2264*Параметры!$D$36,2),0)</f>
        <v>0</v>
      </c>
      <c r="L2264" s="87">
        <f t="shared" si="250"/>
        <v>0</v>
      </c>
      <c r="M2264" s="87">
        <f t="shared" si="251"/>
        <v>0</v>
      </c>
      <c r="N2264" s="107" t="str">
        <f t="shared" si="252"/>
        <v/>
      </c>
    </row>
    <row r="2265" spans="2:14" x14ac:dyDescent="0.25">
      <c r="B2265" s="82">
        <f>SUBTOTAL(103,$D$8:D2265)</f>
        <v>2258</v>
      </c>
      <c r="C2265" s="83" t="s">
        <v>2263</v>
      </c>
      <c r="D2265" s="84">
        <v>0</v>
      </c>
      <c r="E2265" s="85" t="str">
        <f t="shared" si="247"/>
        <v/>
      </c>
      <c r="F2265" s="106" t="str">
        <f t="shared" si="253"/>
        <v/>
      </c>
      <c r="G2265" s="86"/>
      <c r="H2265" s="107">
        <f t="shared" si="248"/>
        <v>0</v>
      </c>
      <c r="I2265" s="107">
        <f t="shared" si="249"/>
        <v>0</v>
      </c>
      <c r="J2265" s="87">
        <f>IF($D2265&gt;0,IFERROR(Параметры!$D$42*$H2265/$H$2408,0),0)</f>
        <v>0</v>
      </c>
      <c r="K2265" s="87">
        <f>IFERROR(ROUND($N2265*Параметры!$D$36,2),0)</f>
        <v>0</v>
      </c>
      <c r="L2265" s="87">
        <f t="shared" si="250"/>
        <v>0</v>
      </c>
      <c r="M2265" s="87">
        <f t="shared" si="251"/>
        <v>0</v>
      </c>
      <c r="N2265" s="107" t="str">
        <f t="shared" si="252"/>
        <v/>
      </c>
    </row>
    <row r="2266" spans="2:14" x14ac:dyDescent="0.25">
      <c r="B2266" s="82">
        <f>SUBTOTAL(103,$D$8:D2266)</f>
        <v>2259</v>
      </c>
      <c r="C2266" s="83" t="s">
        <v>2264</v>
      </c>
      <c r="D2266" s="84">
        <v>0</v>
      </c>
      <c r="E2266" s="85" t="str">
        <f t="shared" si="247"/>
        <v/>
      </c>
      <c r="F2266" s="106" t="str">
        <f t="shared" si="253"/>
        <v/>
      </c>
      <c r="G2266" s="86"/>
      <c r="H2266" s="107">
        <f t="shared" si="248"/>
        <v>0</v>
      </c>
      <c r="I2266" s="107">
        <f t="shared" si="249"/>
        <v>0</v>
      </c>
      <c r="J2266" s="87">
        <f>IF($D2266&gt;0,IFERROR(Параметры!$D$42*$H2266/$H$2408,0),0)</f>
        <v>0</v>
      </c>
      <c r="K2266" s="87">
        <f>IFERROR(ROUND($N2266*Параметры!$D$36,2),0)</f>
        <v>0</v>
      </c>
      <c r="L2266" s="87">
        <f t="shared" si="250"/>
        <v>0</v>
      </c>
      <c r="M2266" s="87">
        <f t="shared" si="251"/>
        <v>0</v>
      </c>
      <c r="N2266" s="107" t="str">
        <f t="shared" si="252"/>
        <v/>
      </c>
    </row>
    <row r="2267" spans="2:14" x14ac:dyDescent="0.25">
      <c r="B2267" s="82">
        <f>SUBTOTAL(103,$D$8:D2267)</f>
        <v>2260</v>
      </c>
      <c r="C2267" s="83" t="s">
        <v>2265</v>
      </c>
      <c r="D2267" s="84">
        <v>0</v>
      </c>
      <c r="E2267" s="85" t="str">
        <f t="shared" si="247"/>
        <v/>
      </c>
      <c r="F2267" s="106" t="str">
        <f t="shared" si="253"/>
        <v/>
      </c>
      <c r="G2267" s="86"/>
      <c r="H2267" s="107">
        <f t="shared" si="248"/>
        <v>0</v>
      </c>
      <c r="I2267" s="107">
        <f t="shared" si="249"/>
        <v>0</v>
      </c>
      <c r="J2267" s="87">
        <f>IF($D2267&gt;0,IFERROR(Параметры!$D$42*$H2267/$H$2408,0),0)</f>
        <v>0</v>
      </c>
      <c r="K2267" s="87">
        <f>IFERROR(ROUND($N2267*Параметры!$D$36,2),0)</f>
        <v>0</v>
      </c>
      <c r="L2267" s="87">
        <f t="shared" si="250"/>
        <v>0</v>
      </c>
      <c r="M2267" s="87">
        <f t="shared" si="251"/>
        <v>0</v>
      </c>
      <c r="N2267" s="107" t="str">
        <f t="shared" si="252"/>
        <v/>
      </c>
    </row>
    <row r="2268" spans="2:14" x14ac:dyDescent="0.25">
      <c r="B2268" s="82">
        <f>SUBTOTAL(103,$D$8:D2268)</f>
        <v>2261</v>
      </c>
      <c r="C2268" s="83" t="s">
        <v>2266</v>
      </c>
      <c r="D2268" s="84">
        <v>0</v>
      </c>
      <c r="E2268" s="85" t="str">
        <f t="shared" si="247"/>
        <v/>
      </c>
      <c r="F2268" s="106" t="str">
        <f t="shared" si="253"/>
        <v/>
      </c>
      <c r="G2268" s="86"/>
      <c r="H2268" s="107">
        <f t="shared" si="248"/>
        <v>0</v>
      </c>
      <c r="I2268" s="107">
        <f t="shared" si="249"/>
        <v>0</v>
      </c>
      <c r="J2268" s="87">
        <f>IF($D2268&gt;0,IFERROR(Параметры!$D$42*$H2268/$H$2408,0),0)</f>
        <v>0</v>
      </c>
      <c r="K2268" s="87">
        <f>IFERROR(ROUND($N2268*Параметры!$D$36,2),0)</f>
        <v>0</v>
      </c>
      <c r="L2268" s="87">
        <f t="shared" si="250"/>
        <v>0</v>
      </c>
      <c r="M2268" s="87">
        <f t="shared" si="251"/>
        <v>0</v>
      </c>
      <c r="N2268" s="107" t="str">
        <f t="shared" si="252"/>
        <v/>
      </c>
    </row>
    <row r="2269" spans="2:14" x14ac:dyDescent="0.25">
      <c r="B2269" s="82">
        <f>SUBTOTAL(103,$D$8:D2269)</f>
        <v>2262</v>
      </c>
      <c r="C2269" s="83" t="s">
        <v>2267</v>
      </c>
      <c r="D2269" s="84">
        <v>0</v>
      </c>
      <c r="E2269" s="85" t="str">
        <f t="shared" si="247"/>
        <v/>
      </c>
      <c r="F2269" s="106" t="str">
        <f t="shared" si="253"/>
        <v/>
      </c>
      <c r="G2269" s="86"/>
      <c r="H2269" s="107">
        <f t="shared" si="248"/>
        <v>0</v>
      </c>
      <c r="I2269" s="107">
        <f t="shared" si="249"/>
        <v>0</v>
      </c>
      <c r="J2269" s="87">
        <f>IF($D2269&gt;0,IFERROR(Параметры!$D$42*$H2269/$H$2408,0),0)</f>
        <v>0</v>
      </c>
      <c r="K2269" s="87">
        <f>IFERROR(ROUND($N2269*Параметры!$D$36,2),0)</f>
        <v>0</v>
      </c>
      <c r="L2269" s="87">
        <f t="shared" si="250"/>
        <v>0</v>
      </c>
      <c r="M2269" s="87">
        <f t="shared" si="251"/>
        <v>0</v>
      </c>
      <c r="N2269" s="107" t="str">
        <f t="shared" si="252"/>
        <v/>
      </c>
    </row>
    <row r="2270" spans="2:14" x14ac:dyDescent="0.25">
      <c r="B2270" s="82">
        <f>SUBTOTAL(103,$D$8:D2270)</f>
        <v>2263</v>
      </c>
      <c r="C2270" s="83" t="s">
        <v>2268</v>
      </c>
      <c r="D2270" s="84">
        <v>0</v>
      </c>
      <c r="E2270" s="85" t="str">
        <f t="shared" si="247"/>
        <v/>
      </c>
      <c r="F2270" s="106" t="str">
        <f t="shared" si="253"/>
        <v/>
      </c>
      <c r="G2270" s="86"/>
      <c r="H2270" s="107">
        <f t="shared" si="248"/>
        <v>0</v>
      </c>
      <c r="I2270" s="107">
        <f t="shared" si="249"/>
        <v>0</v>
      </c>
      <c r="J2270" s="87">
        <f>IF($D2270&gt;0,IFERROR(Параметры!$D$42*$H2270/$H$2408,0),0)</f>
        <v>0</v>
      </c>
      <c r="K2270" s="87">
        <f>IFERROR(ROUND($N2270*Параметры!$D$36,2),0)</f>
        <v>0</v>
      </c>
      <c r="L2270" s="87">
        <f t="shared" si="250"/>
        <v>0</v>
      </c>
      <c r="M2270" s="87">
        <f t="shared" si="251"/>
        <v>0</v>
      </c>
      <c r="N2270" s="107" t="str">
        <f t="shared" si="252"/>
        <v/>
      </c>
    </row>
    <row r="2271" spans="2:14" x14ac:dyDescent="0.25">
      <c r="B2271" s="82">
        <f>SUBTOTAL(103,$D$8:D2271)</f>
        <v>2264</v>
      </c>
      <c r="C2271" s="83" t="s">
        <v>2269</v>
      </c>
      <c r="D2271" s="84">
        <v>0</v>
      </c>
      <c r="E2271" s="85" t="str">
        <f t="shared" si="247"/>
        <v/>
      </c>
      <c r="F2271" s="106" t="str">
        <f t="shared" si="253"/>
        <v/>
      </c>
      <c r="G2271" s="86"/>
      <c r="H2271" s="107">
        <f t="shared" si="248"/>
        <v>0</v>
      </c>
      <c r="I2271" s="107">
        <f t="shared" si="249"/>
        <v>0</v>
      </c>
      <c r="J2271" s="87">
        <f>IF($D2271&gt;0,IFERROR(Параметры!$D$42*$H2271/$H$2408,0),0)</f>
        <v>0</v>
      </c>
      <c r="K2271" s="87">
        <f>IFERROR(ROUND($N2271*Параметры!$D$36,2),0)</f>
        <v>0</v>
      </c>
      <c r="L2271" s="87">
        <f t="shared" si="250"/>
        <v>0</v>
      </c>
      <c r="M2271" s="87">
        <f t="shared" si="251"/>
        <v>0</v>
      </c>
      <c r="N2271" s="107" t="str">
        <f t="shared" si="252"/>
        <v/>
      </c>
    </row>
    <row r="2272" spans="2:14" x14ac:dyDescent="0.25">
      <c r="B2272" s="82">
        <f>SUBTOTAL(103,$D$8:D2272)</f>
        <v>2265</v>
      </c>
      <c r="C2272" s="83" t="s">
        <v>2270</v>
      </c>
      <c r="D2272" s="84">
        <v>0</v>
      </c>
      <c r="E2272" s="85" t="str">
        <f t="shared" si="247"/>
        <v/>
      </c>
      <c r="F2272" s="106" t="str">
        <f t="shared" si="253"/>
        <v/>
      </c>
      <c r="G2272" s="86"/>
      <c r="H2272" s="107">
        <f t="shared" si="248"/>
        <v>0</v>
      </c>
      <c r="I2272" s="107">
        <f t="shared" si="249"/>
        <v>0</v>
      </c>
      <c r="J2272" s="87">
        <f>IF($D2272&gt;0,IFERROR(Параметры!$D$42*$H2272/$H$2408,0),0)</f>
        <v>0</v>
      </c>
      <c r="K2272" s="87">
        <f>IFERROR(ROUND($N2272*Параметры!$D$36,2),0)</f>
        <v>0</v>
      </c>
      <c r="L2272" s="87">
        <f t="shared" si="250"/>
        <v>0</v>
      </c>
      <c r="M2272" s="87">
        <f t="shared" si="251"/>
        <v>0</v>
      </c>
      <c r="N2272" s="107" t="str">
        <f t="shared" si="252"/>
        <v/>
      </c>
    </row>
    <row r="2273" spans="2:14" x14ac:dyDescent="0.25">
      <c r="B2273" s="82">
        <f>SUBTOTAL(103,$D$8:D2273)</f>
        <v>2266</v>
      </c>
      <c r="C2273" s="83" t="s">
        <v>2271</v>
      </c>
      <c r="D2273" s="84">
        <v>0</v>
      </c>
      <c r="E2273" s="85" t="str">
        <f t="shared" si="247"/>
        <v/>
      </c>
      <c r="F2273" s="106" t="str">
        <f t="shared" si="253"/>
        <v/>
      </c>
      <c r="G2273" s="86"/>
      <c r="H2273" s="107">
        <f t="shared" si="248"/>
        <v>0</v>
      </c>
      <c r="I2273" s="107">
        <f t="shared" si="249"/>
        <v>0</v>
      </c>
      <c r="J2273" s="87">
        <f>IF($D2273&gt;0,IFERROR(Параметры!$D$42*$H2273/$H$2408,0),0)</f>
        <v>0</v>
      </c>
      <c r="K2273" s="87">
        <f>IFERROR(ROUND($N2273*Параметры!$D$36,2),0)</f>
        <v>0</v>
      </c>
      <c r="L2273" s="87">
        <f t="shared" si="250"/>
        <v>0</v>
      </c>
      <c r="M2273" s="87">
        <f t="shared" si="251"/>
        <v>0</v>
      </c>
      <c r="N2273" s="107" t="str">
        <f t="shared" si="252"/>
        <v/>
      </c>
    </row>
    <row r="2274" spans="2:14" x14ac:dyDescent="0.25">
      <c r="B2274" s="82">
        <f>SUBTOTAL(103,$D$8:D2274)</f>
        <v>2267</v>
      </c>
      <c r="C2274" s="83" t="s">
        <v>2272</v>
      </c>
      <c r="D2274" s="84">
        <v>0</v>
      </c>
      <c r="E2274" s="85" t="str">
        <f t="shared" si="247"/>
        <v/>
      </c>
      <c r="F2274" s="106" t="str">
        <f t="shared" si="253"/>
        <v/>
      </c>
      <c r="G2274" s="86"/>
      <c r="H2274" s="107">
        <f t="shared" si="248"/>
        <v>0</v>
      </c>
      <c r="I2274" s="107">
        <f t="shared" si="249"/>
        <v>0</v>
      </c>
      <c r="J2274" s="87">
        <f>IF($D2274&gt;0,IFERROR(Параметры!$D$42*$H2274/$H$2408,0),0)</f>
        <v>0</v>
      </c>
      <c r="K2274" s="87">
        <f>IFERROR(ROUND($N2274*Параметры!$D$36,2),0)</f>
        <v>0</v>
      </c>
      <c r="L2274" s="87">
        <f t="shared" si="250"/>
        <v>0</v>
      </c>
      <c r="M2274" s="87">
        <f t="shared" si="251"/>
        <v>0</v>
      </c>
      <c r="N2274" s="107" t="str">
        <f t="shared" si="252"/>
        <v/>
      </c>
    </row>
    <row r="2275" spans="2:14" x14ac:dyDescent="0.25">
      <c r="B2275" s="82">
        <f>SUBTOTAL(103,$D$8:D2275)</f>
        <v>2268</v>
      </c>
      <c r="C2275" s="83" t="s">
        <v>2273</v>
      </c>
      <c r="D2275" s="84">
        <v>0</v>
      </c>
      <c r="E2275" s="85" t="str">
        <f t="shared" si="247"/>
        <v/>
      </c>
      <c r="F2275" s="106" t="str">
        <f t="shared" si="253"/>
        <v/>
      </c>
      <c r="G2275" s="86"/>
      <c r="H2275" s="107">
        <f t="shared" si="248"/>
        <v>0</v>
      </c>
      <c r="I2275" s="107">
        <f t="shared" si="249"/>
        <v>0</v>
      </c>
      <c r="J2275" s="87">
        <f>IF($D2275&gt;0,IFERROR(Параметры!$D$42*$H2275/$H$2408,0),0)</f>
        <v>0</v>
      </c>
      <c r="K2275" s="87">
        <f>IFERROR(ROUND($N2275*Параметры!$D$36,2),0)</f>
        <v>0</v>
      </c>
      <c r="L2275" s="87">
        <f t="shared" si="250"/>
        <v>0</v>
      </c>
      <c r="M2275" s="87">
        <f t="shared" si="251"/>
        <v>0</v>
      </c>
      <c r="N2275" s="107" t="str">
        <f t="shared" si="252"/>
        <v/>
      </c>
    </row>
    <row r="2276" spans="2:14" x14ac:dyDescent="0.25">
      <c r="B2276" s="82">
        <f>SUBTOTAL(103,$D$8:D2276)</f>
        <v>2269</v>
      </c>
      <c r="C2276" s="83" t="s">
        <v>2274</v>
      </c>
      <c r="D2276" s="84">
        <v>0</v>
      </c>
      <c r="E2276" s="85" t="str">
        <f t="shared" si="247"/>
        <v/>
      </c>
      <c r="F2276" s="106" t="str">
        <f t="shared" si="253"/>
        <v/>
      </c>
      <c r="G2276" s="86"/>
      <c r="H2276" s="107">
        <f t="shared" si="248"/>
        <v>0</v>
      </c>
      <c r="I2276" s="107">
        <f t="shared" si="249"/>
        <v>0</v>
      </c>
      <c r="J2276" s="87">
        <f>IF($D2276&gt;0,IFERROR(Параметры!$D$42*$H2276/$H$2408,0),0)</f>
        <v>0</v>
      </c>
      <c r="K2276" s="87">
        <f>IFERROR(ROUND($N2276*Параметры!$D$36,2),0)</f>
        <v>0</v>
      </c>
      <c r="L2276" s="87">
        <f t="shared" si="250"/>
        <v>0</v>
      </c>
      <c r="M2276" s="87">
        <f t="shared" si="251"/>
        <v>0</v>
      </c>
      <c r="N2276" s="107" t="str">
        <f t="shared" si="252"/>
        <v/>
      </c>
    </row>
    <row r="2277" spans="2:14" x14ac:dyDescent="0.25">
      <c r="B2277" s="82">
        <f>SUBTOTAL(103,$D$8:D2277)</f>
        <v>2270</v>
      </c>
      <c r="C2277" s="83" t="s">
        <v>2275</v>
      </c>
      <c r="D2277" s="84">
        <v>0</v>
      </c>
      <c r="E2277" s="85" t="str">
        <f t="shared" si="247"/>
        <v/>
      </c>
      <c r="F2277" s="106" t="str">
        <f t="shared" si="253"/>
        <v/>
      </c>
      <c r="G2277" s="86"/>
      <c r="H2277" s="107">
        <f t="shared" si="248"/>
        <v>0</v>
      </c>
      <c r="I2277" s="107">
        <f t="shared" si="249"/>
        <v>0</v>
      </c>
      <c r="J2277" s="87">
        <f>IF($D2277&gt;0,IFERROR(Параметры!$D$42*$H2277/$H$2408,0),0)</f>
        <v>0</v>
      </c>
      <c r="K2277" s="87">
        <f>IFERROR(ROUND($N2277*Параметры!$D$36,2),0)</f>
        <v>0</v>
      </c>
      <c r="L2277" s="87">
        <f t="shared" si="250"/>
        <v>0</v>
      </c>
      <c r="M2277" s="87">
        <f t="shared" si="251"/>
        <v>0</v>
      </c>
      <c r="N2277" s="107" t="str">
        <f t="shared" si="252"/>
        <v/>
      </c>
    </row>
    <row r="2278" spans="2:14" x14ac:dyDescent="0.25">
      <c r="B2278" s="82">
        <f>SUBTOTAL(103,$D$8:D2278)</f>
        <v>2271</v>
      </c>
      <c r="C2278" s="83" t="s">
        <v>2276</v>
      </c>
      <c r="D2278" s="84">
        <v>0</v>
      </c>
      <c r="E2278" s="85" t="str">
        <f t="shared" si="247"/>
        <v/>
      </c>
      <c r="F2278" s="106" t="str">
        <f t="shared" si="253"/>
        <v/>
      </c>
      <c r="G2278" s="86"/>
      <c r="H2278" s="107">
        <f t="shared" si="248"/>
        <v>0</v>
      </c>
      <c r="I2278" s="107">
        <f t="shared" si="249"/>
        <v>0</v>
      </c>
      <c r="J2278" s="87">
        <f>IF($D2278&gt;0,IFERROR(Параметры!$D$42*$H2278/$H$2408,0),0)</f>
        <v>0</v>
      </c>
      <c r="K2278" s="87">
        <f>IFERROR(ROUND($N2278*Параметры!$D$36,2),0)</f>
        <v>0</v>
      </c>
      <c r="L2278" s="87">
        <f t="shared" si="250"/>
        <v>0</v>
      </c>
      <c r="M2278" s="87">
        <f t="shared" si="251"/>
        <v>0</v>
      </c>
      <c r="N2278" s="107" t="str">
        <f t="shared" si="252"/>
        <v/>
      </c>
    </row>
    <row r="2279" spans="2:14" x14ac:dyDescent="0.25">
      <c r="B2279" s="82">
        <f>SUBTOTAL(103,$D$8:D2279)</f>
        <v>2272</v>
      </c>
      <c r="C2279" s="83" t="s">
        <v>2277</v>
      </c>
      <c r="D2279" s="84">
        <v>0</v>
      </c>
      <c r="E2279" s="85" t="str">
        <f t="shared" si="247"/>
        <v/>
      </c>
      <c r="F2279" s="106" t="str">
        <f t="shared" si="253"/>
        <v/>
      </c>
      <c r="G2279" s="86"/>
      <c r="H2279" s="107">
        <f t="shared" si="248"/>
        <v>0</v>
      </c>
      <c r="I2279" s="107">
        <f t="shared" si="249"/>
        <v>0</v>
      </c>
      <c r="J2279" s="87">
        <f>IF($D2279&gt;0,IFERROR(Параметры!$D$42*$H2279/$H$2408,0),0)</f>
        <v>0</v>
      </c>
      <c r="K2279" s="87">
        <f>IFERROR(ROUND($N2279*Параметры!$D$36,2),0)</f>
        <v>0</v>
      </c>
      <c r="L2279" s="87">
        <f t="shared" si="250"/>
        <v>0</v>
      </c>
      <c r="M2279" s="87">
        <f t="shared" si="251"/>
        <v>0</v>
      </c>
      <c r="N2279" s="107" t="str">
        <f t="shared" si="252"/>
        <v/>
      </c>
    </row>
    <row r="2280" spans="2:14" x14ac:dyDescent="0.25">
      <c r="B2280" s="82">
        <f>SUBTOTAL(103,$D$8:D2280)</f>
        <v>2273</v>
      </c>
      <c r="C2280" s="83" t="s">
        <v>2278</v>
      </c>
      <c r="D2280" s="84">
        <v>0</v>
      </c>
      <c r="E2280" s="85" t="str">
        <f t="shared" si="247"/>
        <v/>
      </c>
      <c r="F2280" s="106" t="str">
        <f t="shared" si="253"/>
        <v/>
      </c>
      <c r="G2280" s="86"/>
      <c r="H2280" s="107">
        <f t="shared" si="248"/>
        <v>0</v>
      </c>
      <c r="I2280" s="107">
        <f t="shared" si="249"/>
        <v>0</v>
      </c>
      <c r="J2280" s="87">
        <f>IF($D2280&gt;0,IFERROR(Параметры!$D$42*$H2280/$H$2408,0),0)</f>
        <v>0</v>
      </c>
      <c r="K2280" s="87">
        <f>IFERROR(ROUND($N2280*Параметры!$D$36,2),0)</f>
        <v>0</v>
      </c>
      <c r="L2280" s="87">
        <f t="shared" si="250"/>
        <v>0</v>
      </c>
      <c r="M2280" s="87">
        <f t="shared" si="251"/>
        <v>0</v>
      </c>
      <c r="N2280" s="107" t="str">
        <f t="shared" si="252"/>
        <v/>
      </c>
    </row>
    <row r="2281" spans="2:14" x14ac:dyDescent="0.25">
      <c r="B2281" s="82">
        <f>SUBTOTAL(103,$D$8:D2281)</f>
        <v>2274</v>
      </c>
      <c r="C2281" s="83" t="s">
        <v>2279</v>
      </c>
      <c r="D2281" s="84">
        <v>0</v>
      </c>
      <c r="E2281" s="85" t="str">
        <f t="shared" si="247"/>
        <v/>
      </c>
      <c r="F2281" s="106" t="str">
        <f t="shared" si="253"/>
        <v/>
      </c>
      <c r="G2281" s="86"/>
      <c r="H2281" s="107">
        <f t="shared" si="248"/>
        <v>0</v>
      </c>
      <c r="I2281" s="107">
        <f t="shared" si="249"/>
        <v>0</v>
      </c>
      <c r="J2281" s="87">
        <f>IF($D2281&gt;0,IFERROR(Параметры!$D$42*$H2281/$H$2408,0),0)</f>
        <v>0</v>
      </c>
      <c r="K2281" s="87">
        <f>IFERROR(ROUND($N2281*Параметры!$D$36,2),0)</f>
        <v>0</v>
      </c>
      <c r="L2281" s="87">
        <f t="shared" si="250"/>
        <v>0</v>
      </c>
      <c r="M2281" s="87">
        <f t="shared" si="251"/>
        <v>0</v>
      </c>
      <c r="N2281" s="107" t="str">
        <f t="shared" si="252"/>
        <v/>
      </c>
    </row>
    <row r="2282" spans="2:14" x14ac:dyDescent="0.25">
      <c r="B2282" s="82">
        <f>SUBTOTAL(103,$D$8:D2282)</f>
        <v>2275</v>
      </c>
      <c r="C2282" s="83" t="s">
        <v>2280</v>
      </c>
      <c r="D2282" s="84">
        <v>0</v>
      </c>
      <c r="E2282" s="85" t="str">
        <f t="shared" si="247"/>
        <v/>
      </c>
      <c r="F2282" s="106" t="str">
        <f t="shared" si="253"/>
        <v/>
      </c>
      <c r="G2282" s="86"/>
      <c r="H2282" s="107">
        <f t="shared" si="248"/>
        <v>0</v>
      </c>
      <c r="I2282" s="107">
        <f t="shared" si="249"/>
        <v>0</v>
      </c>
      <c r="J2282" s="87">
        <f>IF($D2282&gt;0,IFERROR(Параметры!$D$42*$H2282/$H$2408,0),0)</f>
        <v>0</v>
      </c>
      <c r="K2282" s="87">
        <f>IFERROR(ROUND($N2282*Параметры!$D$36,2),0)</f>
        <v>0</v>
      </c>
      <c r="L2282" s="87">
        <f t="shared" si="250"/>
        <v>0</v>
      </c>
      <c r="M2282" s="87">
        <f t="shared" si="251"/>
        <v>0</v>
      </c>
      <c r="N2282" s="107" t="str">
        <f t="shared" si="252"/>
        <v/>
      </c>
    </row>
    <row r="2283" spans="2:14" x14ac:dyDescent="0.25">
      <c r="B2283" s="82">
        <f>SUBTOTAL(103,$D$8:D2283)</f>
        <v>2276</v>
      </c>
      <c r="C2283" s="83" t="s">
        <v>2281</v>
      </c>
      <c r="D2283" s="84">
        <v>0</v>
      </c>
      <c r="E2283" s="85" t="str">
        <f t="shared" si="247"/>
        <v/>
      </c>
      <c r="F2283" s="106" t="str">
        <f t="shared" si="253"/>
        <v/>
      </c>
      <c r="G2283" s="86"/>
      <c r="H2283" s="107">
        <f t="shared" si="248"/>
        <v>0</v>
      </c>
      <c r="I2283" s="107">
        <f t="shared" si="249"/>
        <v>0</v>
      </c>
      <c r="J2283" s="87">
        <f>IF($D2283&gt;0,IFERROR(Параметры!$D$42*$H2283/$H$2408,0),0)</f>
        <v>0</v>
      </c>
      <c r="K2283" s="87">
        <f>IFERROR(ROUND($N2283*Параметры!$D$36,2),0)</f>
        <v>0</v>
      </c>
      <c r="L2283" s="87">
        <f t="shared" si="250"/>
        <v>0</v>
      </c>
      <c r="M2283" s="87">
        <f t="shared" si="251"/>
        <v>0</v>
      </c>
      <c r="N2283" s="107" t="str">
        <f t="shared" si="252"/>
        <v/>
      </c>
    </row>
    <row r="2284" spans="2:14" x14ac:dyDescent="0.25">
      <c r="B2284" s="82">
        <f>SUBTOTAL(103,$D$8:D2284)</f>
        <v>2277</v>
      </c>
      <c r="C2284" s="83" t="s">
        <v>2282</v>
      </c>
      <c r="D2284" s="84">
        <v>0</v>
      </c>
      <c r="E2284" s="85" t="str">
        <f t="shared" si="247"/>
        <v/>
      </c>
      <c r="F2284" s="106" t="str">
        <f t="shared" si="253"/>
        <v/>
      </c>
      <c r="G2284" s="86"/>
      <c r="H2284" s="107">
        <f t="shared" si="248"/>
        <v>0</v>
      </c>
      <c r="I2284" s="107">
        <f t="shared" si="249"/>
        <v>0</v>
      </c>
      <c r="J2284" s="87">
        <f>IF($D2284&gt;0,IFERROR(Параметры!$D$42*$H2284/$H$2408,0),0)</f>
        <v>0</v>
      </c>
      <c r="K2284" s="87">
        <f>IFERROR(ROUND($N2284*Параметры!$D$36,2),0)</f>
        <v>0</v>
      </c>
      <c r="L2284" s="87">
        <f t="shared" si="250"/>
        <v>0</v>
      </c>
      <c r="M2284" s="87">
        <f t="shared" si="251"/>
        <v>0</v>
      </c>
      <c r="N2284" s="107" t="str">
        <f t="shared" si="252"/>
        <v/>
      </c>
    </row>
    <row r="2285" spans="2:14" x14ac:dyDescent="0.25">
      <c r="B2285" s="82">
        <f>SUBTOTAL(103,$D$8:D2285)</f>
        <v>2278</v>
      </c>
      <c r="C2285" s="83" t="s">
        <v>2283</v>
      </c>
      <c r="D2285" s="84">
        <v>0</v>
      </c>
      <c r="E2285" s="85" t="str">
        <f t="shared" si="247"/>
        <v/>
      </c>
      <c r="F2285" s="106" t="str">
        <f t="shared" si="253"/>
        <v/>
      </c>
      <c r="G2285" s="86"/>
      <c r="H2285" s="107">
        <f t="shared" si="248"/>
        <v>0</v>
      </c>
      <c r="I2285" s="107">
        <f t="shared" si="249"/>
        <v>0</v>
      </c>
      <c r="J2285" s="87">
        <f>IF($D2285&gt;0,IFERROR(Параметры!$D$42*$H2285/$H$2408,0),0)</f>
        <v>0</v>
      </c>
      <c r="K2285" s="87">
        <f>IFERROR(ROUND($N2285*Параметры!$D$36,2),0)</f>
        <v>0</v>
      </c>
      <c r="L2285" s="87">
        <f t="shared" si="250"/>
        <v>0</v>
      </c>
      <c r="M2285" s="87">
        <f t="shared" si="251"/>
        <v>0</v>
      </c>
      <c r="N2285" s="107" t="str">
        <f t="shared" si="252"/>
        <v/>
      </c>
    </row>
    <row r="2286" spans="2:14" x14ac:dyDescent="0.25">
      <c r="B2286" s="82">
        <f>SUBTOTAL(103,$D$8:D2286)</f>
        <v>2279</v>
      </c>
      <c r="C2286" s="83" t="s">
        <v>2284</v>
      </c>
      <c r="D2286" s="84">
        <v>0</v>
      </c>
      <c r="E2286" s="85" t="str">
        <f t="shared" si="247"/>
        <v/>
      </c>
      <c r="F2286" s="106" t="str">
        <f t="shared" si="253"/>
        <v/>
      </c>
      <c r="G2286" s="86"/>
      <c r="H2286" s="107">
        <f t="shared" si="248"/>
        <v>0</v>
      </c>
      <c r="I2286" s="107">
        <f t="shared" si="249"/>
        <v>0</v>
      </c>
      <c r="J2286" s="87">
        <f>IF($D2286&gt;0,IFERROR(Параметры!$D$42*$H2286/$H$2408,0),0)</f>
        <v>0</v>
      </c>
      <c r="K2286" s="87">
        <f>IFERROR(ROUND($N2286*Параметры!$D$36,2),0)</f>
        <v>0</v>
      </c>
      <c r="L2286" s="87">
        <f t="shared" si="250"/>
        <v>0</v>
      </c>
      <c r="M2286" s="87">
        <f t="shared" si="251"/>
        <v>0</v>
      </c>
      <c r="N2286" s="107" t="str">
        <f t="shared" si="252"/>
        <v/>
      </c>
    </row>
    <row r="2287" spans="2:14" x14ac:dyDescent="0.25">
      <c r="B2287" s="82">
        <f>SUBTOTAL(103,$D$8:D2287)</f>
        <v>2280</v>
      </c>
      <c r="C2287" s="83" t="s">
        <v>2285</v>
      </c>
      <c r="D2287" s="84">
        <v>0</v>
      </c>
      <c r="E2287" s="85" t="str">
        <f t="shared" si="247"/>
        <v/>
      </c>
      <c r="F2287" s="106" t="str">
        <f t="shared" si="253"/>
        <v/>
      </c>
      <c r="G2287" s="86"/>
      <c r="H2287" s="107">
        <f t="shared" si="248"/>
        <v>0</v>
      </c>
      <c r="I2287" s="107">
        <f t="shared" si="249"/>
        <v>0</v>
      </c>
      <c r="J2287" s="87">
        <f>IF($D2287&gt;0,IFERROR(Параметры!$D$42*$H2287/$H$2408,0),0)</f>
        <v>0</v>
      </c>
      <c r="K2287" s="87">
        <f>IFERROR(ROUND($N2287*Параметры!$D$36,2),0)</f>
        <v>0</v>
      </c>
      <c r="L2287" s="87">
        <f t="shared" si="250"/>
        <v>0</v>
      </c>
      <c r="M2287" s="87">
        <f t="shared" si="251"/>
        <v>0</v>
      </c>
      <c r="N2287" s="107" t="str">
        <f t="shared" si="252"/>
        <v/>
      </c>
    </row>
    <row r="2288" spans="2:14" x14ac:dyDescent="0.25">
      <c r="B2288" s="82">
        <f>SUBTOTAL(103,$D$8:D2288)</f>
        <v>2281</v>
      </c>
      <c r="C2288" s="83" t="s">
        <v>2286</v>
      </c>
      <c r="D2288" s="84">
        <f t="array" ref="D2288:D2347">TRANSPOSE('Зарядная карта'!$C$43:$BJ$43)</f>
        <v>0</v>
      </c>
      <c r="E2288" s="85" t="str">
        <f t="shared" si="247"/>
        <v/>
      </c>
      <c r="F2288" s="106" t="str">
        <f t="shared" si="253"/>
        <v/>
      </c>
      <c r="G2288" s="86"/>
      <c r="H2288" s="107">
        <f t="shared" si="248"/>
        <v>0</v>
      </c>
      <c r="I2288" s="107">
        <f t="shared" si="249"/>
        <v>0</v>
      </c>
      <c r="J2288" s="87">
        <f>IF($D2288&gt;0,IFERROR(Параметры!$D$42*$H2288/$H$2408,0),0)</f>
        <v>0</v>
      </c>
      <c r="K2288" s="87">
        <f>IFERROR(ROUND($N2288*Параметры!$D$36,2),0)</f>
        <v>0</v>
      </c>
      <c r="L2288" s="87">
        <f t="shared" si="250"/>
        <v>0</v>
      </c>
      <c r="M2288" s="87">
        <f t="shared" si="251"/>
        <v>0</v>
      </c>
      <c r="N2288" s="107" t="str">
        <f t="shared" si="252"/>
        <v/>
      </c>
    </row>
    <row r="2289" spans="2:14" x14ac:dyDescent="0.25">
      <c r="B2289" s="82">
        <f>SUBTOTAL(103,$D$8:D2289)</f>
        <v>2282</v>
      </c>
      <c r="C2289" s="83" t="s">
        <v>2287</v>
      </c>
      <c r="D2289" s="84">
        <v>0</v>
      </c>
      <c r="E2289" s="85" t="str">
        <f t="shared" si="247"/>
        <v/>
      </c>
      <c r="F2289" s="106" t="str">
        <f t="shared" si="253"/>
        <v/>
      </c>
      <c r="G2289" s="86"/>
      <c r="H2289" s="107">
        <f t="shared" si="248"/>
        <v>0</v>
      </c>
      <c r="I2289" s="107">
        <f t="shared" si="249"/>
        <v>0</v>
      </c>
      <c r="J2289" s="87">
        <f>IF($D2289&gt;0,IFERROR(Параметры!$D$42*$H2289/$H$2408,0),0)</f>
        <v>0</v>
      </c>
      <c r="K2289" s="87">
        <f>IFERROR(ROUND($N2289*Параметры!$D$36,2),0)</f>
        <v>0</v>
      </c>
      <c r="L2289" s="87">
        <f t="shared" si="250"/>
        <v>0</v>
      </c>
      <c r="M2289" s="87">
        <f t="shared" si="251"/>
        <v>0</v>
      </c>
      <c r="N2289" s="107" t="str">
        <f t="shared" si="252"/>
        <v/>
      </c>
    </row>
    <row r="2290" spans="2:14" x14ac:dyDescent="0.25">
      <c r="B2290" s="82">
        <f>SUBTOTAL(103,$D$8:D2290)</f>
        <v>2283</v>
      </c>
      <c r="C2290" s="83" t="s">
        <v>2288</v>
      </c>
      <c r="D2290" s="84">
        <v>0</v>
      </c>
      <c r="E2290" s="85" t="str">
        <f t="shared" si="247"/>
        <v/>
      </c>
      <c r="F2290" s="106" t="str">
        <f t="shared" si="253"/>
        <v/>
      </c>
      <c r="G2290" s="86"/>
      <c r="H2290" s="107">
        <f t="shared" si="248"/>
        <v>0</v>
      </c>
      <c r="I2290" s="107">
        <f t="shared" si="249"/>
        <v>0</v>
      </c>
      <c r="J2290" s="87">
        <f>IF($D2290&gt;0,IFERROR(Параметры!$D$42*$H2290/$H$2408,0),0)</f>
        <v>0</v>
      </c>
      <c r="K2290" s="87">
        <f>IFERROR(ROUND($N2290*Параметры!$D$36,2),0)</f>
        <v>0</v>
      </c>
      <c r="L2290" s="87">
        <f t="shared" si="250"/>
        <v>0</v>
      </c>
      <c r="M2290" s="87">
        <f t="shared" si="251"/>
        <v>0</v>
      </c>
      <c r="N2290" s="107" t="str">
        <f t="shared" si="252"/>
        <v/>
      </c>
    </row>
    <row r="2291" spans="2:14" x14ac:dyDescent="0.25">
      <c r="B2291" s="82">
        <f>SUBTOTAL(103,$D$8:D2291)</f>
        <v>2284</v>
      </c>
      <c r="C2291" s="83" t="s">
        <v>2289</v>
      </c>
      <c r="D2291" s="84">
        <v>0</v>
      </c>
      <c r="E2291" s="85" t="str">
        <f t="shared" si="247"/>
        <v/>
      </c>
      <c r="F2291" s="106" t="str">
        <f t="shared" si="253"/>
        <v/>
      </c>
      <c r="G2291" s="86"/>
      <c r="H2291" s="107">
        <f t="shared" si="248"/>
        <v>0</v>
      </c>
      <c r="I2291" s="107">
        <f t="shared" si="249"/>
        <v>0</v>
      </c>
      <c r="J2291" s="87">
        <f>IF($D2291&gt;0,IFERROR(Параметры!$D$42*$H2291/$H$2408,0),0)</f>
        <v>0</v>
      </c>
      <c r="K2291" s="87">
        <f>IFERROR(ROUND($N2291*Параметры!$D$36,2),0)</f>
        <v>0</v>
      </c>
      <c r="L2291" s="87">
        <f t="shared" si="250"/>
        <v>0</v>
      </c>
      <c r="M2291" s="87">
        <f t="shared" si="251"/>
        <v>0</v>
      </c>
      <c r="N2291" s="107" t="str">
        <f t="shared" si="252"/>
        <v/>
      </c>
    </row>
    <row r="2292" spans="2:14" x14ac:dyDescent="0.25">
      <c r="B2292" s="82">
        <f>SUBTOTAL(103,$D$8:D2292)</f>
        <v>2285</v>
      </c>
      <c r="C2292" s="83" t="s">
        <v>2290</v>
      </c>
      <c r="D2292" s="84">
        <v>0</v>
      </c>
      <c r="E2292" s="85" t="str">
        <f t="shared" si="247"/>
        <v/>
      </c>
      <c r="F2292" s="106" t="str">
        <f t="shared" si="253"/>
        <v/>
      </c>
      <c r="G2292" s="86"/>
      <c r="H2292" s="107">
        <f t="shared" si="248"/>
        <v>0</v>
      </c>
      <c r="I2292" s="107">
        <f t="shared" si="249"/>
        <v>0</v>
      </c>
      <c r="J2292" s="87">
        <f>IF($D2292&gt;0,IFERROR(Параметры!$D$42*$H2292/$H$2408,0),0)</f>
        <v>0</v>
      </c>
      <c r="K2292" s="87">
        <f>IFERROR(ROUND($N2292*Параметры!$D$36,2),0)</f>
        <v>0</v>
      </c>
      <c r="L2292" s="87">
        <f t="shared" si="250"/>
        <v>0</v>
      </c>
      <c r="M2292" s="87">
        <f t="shared" si="251"/>
        <v>0</v>
      </c>
      <c r="N2292" s="107" t="str">
        <f t="shared" si="252"/>
        <v/>
      </c>
    </row>
    <row r="2293" spans="2:14" x14ac:dyDescent="0.25">
      <c r="B2293" s="82">
        <f>SUBTOTAL(103,$D$8:D2293)</f>
        <v>2286</v>
      </c>
      <c r="C2293" s="83" t="s">
        <v>2291</v>
      </c>
      <c r="D2293" s="84">
        <v>0</v>
      </c>
      <c r="E2293" s="85" t="str">
        <f t="shared" si="247"/>
        <v/>
      </c>
      <c r="F2293" s="106" t="str">
        <f t="shared" si="253"/>
        <v/>
      </c>
      <c r="G2293" s="86"/>
      <c r="H2293" s="107">
        <f t="shared" si="248"/>
        <v>0</v>
      </c>
      <c r="I2293" s="107">
        <f t="shared" si="249"/>
        <v>0</v>
      </c>
      <c r="J2293" s="87">
        <f>IF($D2293&gt;0,IFERROR(Параметры!$D$42*$H2293/$H$2408,0),0)</f>
        <v>0</v>
      </c>
      <c r="K2293" s="87">
        <f>IFERROR(ROUND($N2293*Параметры!$D$36,2),0)</f>
        <v>0</v>
      </c>
      <c r="L2293" s="87">
        <f t="shared" si="250"/>
        <v>0</v>
      </c>
      <c r="M2293" s="87">
        <f t="shared" si="251"/>
        <v>0</v>
      </c>
      <c r="N2293" s="107" t="str">
        <f t="shared" si="252"/>
        <v/>
      </c>
    </row>
    <row r="2294" spans="2:14" x14ac:dyDescent="0.25">
      <c r="B2294" s="82">
        <f>SUBTOTAL(103,$D$8:D2294)</f>
        <v>2287</v>
      </c>
      <c r="C2294" s="83" t="s">
        <v>2292</v>
      </c>
      <c r="D2294" s="84">
        <v>0</v>
      </c>
      <c r="E2294" s="85" t="str">
        <f t="shared" si="247"/>
        <v/>
      </c>
      <c r="F2294" s="106" t="str">
        <f t="shared" si="253"/>
        <v/>
      </c>
      <c r="G2294" s="86"/>
      <c r="H2294" s="107">
        <f t="shared" si="248"/>
        <v>0</v>
      </c>
      <c r="I2294" s="107">
        <f t="shared" si="249"/>
        <v>0</v>
      </c>
      <c r="J2294" s="87">
        <f>IF($D2294&gt;0,IFERROR(Параметры!$D$42*$H2294/$H$2408,0),0)</f>
        <v>0</v>
      </c>
      <c r="K2294" s="87">
        <f>IFERROR(ROUND($N2294*Параметры!$D$36,2),0)</f>
        <v>0</v>
      </c>
      <c r="L2294" s="87">
        <f t="shared" si="250"/>
        <v>0</v>
      </c>
      <c r="M2294" s="87">
        <f t="shared" si="251"/>
        <v>0</v>
      </c>
      <c r="N2294" s="107" t="str">
        <f t="shared" si="252"/>
        <v/>
      </c>
    </row>
    <row r="2295" spans="2:14" x14ac:dyDescent="0.25">
      <c r="B2295" s="82">
        <f>SUBTOTAL(103,$D$8:D2295)</f>
        <v>2288</v>
      </c>
      <c r="C2295" s="83" t="s">
        <v>2293</v>
      </c>
      <c r="D2295" s="84">
        <v>0</v>
      </c>
      <c r="E2295" s="85" t="str">
        <f t="shared" si="247"/>
        <v/>
      </c>
      <c r="F2295" s="106" t="str">
        <f t="shared" si="253"/>
        <v/>
      </c>
      <c r="G2295" s="86"/>
      <c r="H2295" s="107">
        <f t="shared" si="248"/>
        <v>0</v>
      </c>
      <c r="I2295" s="107">
        <f t="shared" si="249"/>
        <v>0</v>
      </c>
      <c r="J2295" s="87">
        <f>IF($D2295&gt;0,IFERROR(Параметры!$D$42*$H2295/$H$2408,0),0)</f>
        <v>0</v>
      </c>
      <c r="K2295" s="87">
        <f>IFERROR(ROUND($N2295*Параметры!$D$36,2),0)</f>
        <v>0</v>
      </c>
      <c r="L2295" s="87">
        <f t="shared" si="250"/>
        <v>0</v>
      </c>
      <c r="M2295" s="87">
        <f t="shared" si="251"/>
        <v>0</v>
      </c>
      <c r="N2295" s="107" t="str">
        <f t="shared" si="252"/>
        <v/>
      </c>
    </row>
    <row r="2296" spans="2:14" x14ac:dyDescent="0.25">
      <c r="B2296" s="82">
        <f>SUBTOTAL(103,$D$8:D2296)</f>
        <v>2289</v>
      </c>
      <c r="C2296" s="83" t="s">
        <v>2294</v>
      </c>
      <c r="D2296" s="84">
        <v>0</v>
      </c>
      <c r="E2296" s="85" t="str">
        <f t="shared" si="247"/>
        <v/>
      </c>
      <c r="F2296" s="106" t="str">
        <f t="shared" si="253"/>
        <v/>
      </c>
      <c r="G2296" s="86"/>
      <c r="H2296" s="107">
        <f t="shared" si="248"/>
        <v>0</v>
      </c>
      <c r="I2296" s="107">
        <f t="shared" si="249"/>
        <v>0</v>
      </c>
      <c r="J2296" s="87">
        <f>IF($D2296&gt;0,IFERROR(Параметры!$D$42*$H2296/$H$2408,0),0)</f>
        <v>0</v>
      </c>
      <c r="K2296" s="87">
        <f>IFERROR(ROUND($N2296*Параметры!$D$36,2),0)</f>
        <v>0</v>
      </c>
      <c r="L2296" s="87">
        <f t="shared" si="250"/>
        <v>0</v>
      </c>
      <c r="M2296" s="87">
        <f t="shared" si="251"/>
        <v>0</v>
      </c>
      <c r="N2296" s="107" t="str">
        <f t="shared" si="252"/>
        <v/>
      </c>
    </row>
    <row r="2297" spans="2:14" x14ac:dyDescent="0.25">
      <c r="B2297" s="82">
        <f>SUBTOTAL(103,$D$8:D2297)</f>
        <v>2290</v>
      </c>
      <c r="C2297" s="83" t="s">
        <v>2295</v>
      </c>
      <c r="D2297" s="84">
        <v>0</v>
      </c>
      <c r="E2297" s="85" t="str">
        <f t="shared" si="247"/>
        <v/>
      </c>
      <c r="F2297" s="106" t="str">
        <f t="shared" si="253"/>
        <v/>
      </c>
      <c r="G2297" s="86"/>
      <c r="H2297" s="107">
        <f t="shared" si="248"/>
        <v>0</v>
      </c>
      <c r="I2297" s="107">
        <f t="shared" si="249"/>
        <v>0</v>
      </c>
      <c r="J2297" s="87">
        <f>IF($D2297&gt;0,IFERROR(Параметры!$D$42*$H2297/$H$2408,0),0)</f>
        <v>0</v>
      </c>
      <c r="K2297" s="87">
        <f>IFERROR(ROUND($N2297*Параметры!$D$36,2),0)</f>
        <v>0</v>
      </c>
      <c r="L2297" s="87">
        <f t="shared" si="250"/>
        <v>0</v>
      </c>
      <c r="M2297" s="87">
        <f t="shared" si="251"/>
        <v>0</v>
      </c>
      <c r="N2297" s="107" t="str">
        <f t="shared" si="252"/>
        <v/>
      </c>
    </row>
    <row r="2298" spans="2:14" x14ac:dyDescent="0.25">
      <c r="B2298" s="82">
        <f>SUBTOTAL(103,$D$8:D2298)</f>
        <v>2291</v>
      </c>
      <c r="C2298" s="83" t="s">
        <v>2296</v>
      </c>
      <c r="D2298" s="84">
        <v>0</v>
      </c>
      <c r="E2298" s="85" t="str">
        <f t="shared" si="247"/>
        <v/>
      </c>
      <c r="F2298" s="106" t="str">
        <f t="shared" si="253"/>
        <v/>
      </c>
      <c r="G2298" s="86"/>
      <c r="H2298" s="107">
        <f t="shared" si="248"/>
        <v>0</v>
      </c>
      <c r="I2298" s="107">
        <f t="shared" si="249"/>
        <v>0</v>
      </c>
      <c r="J2298" s="87">
        <f>IF($D2298&gt;0,IFERROR(Параметры!$D$42*$H2298/$H$2408,0),0)</f>
        <v>0</v>
      </c>
      <c r="K2298" s="87">
        <f>IFERROR(ROUND($N2298*Параметры!$D$36,2),0)</f>
        <v>0</v>
      </c>
      <c r="L2298" s="87">
        <f t="shared" si="250"/>
        <v>0</v>
      </c>
      <c r="M2298" s="87">
        <f t="shared" si="251"/>
        <v>0</v>
      </c>
      <c r="N2298" s="107" t="str">
        <f t="shared" si="252"/>
        <v/>
      </c>
    </row>
    <row r="2299" spans="2:14" x14ac:dyDescent="0.25">
      <c r="B2299" s="82">
        <f>SUBTOTAL(103,$D$8:D2299)</f>
        <v>2292</v>
      </c>
      <c r="C2299" s="83" t="s">
        <v>2297</v>
      </c>
      <c r="D2299" s="84">
        <v>0</v>
      </c>
      <c r="E2299" s="85" t="str">
        <f t="shared" si="247"/>
        <v/>
      </c>
      <c r="F2299" s="106" t="str">
        <f t="shared" si="253"/>
        <v/>
      </c>
      <c r="G2299" s="86"/>
      <c r="H2299" s="107">
        <f t="shared" si="248"/>
        <v>0</v>
      </c>
      <c r="I2299" s="107">
        <f t="shared" si="249"/>
        <v>0</v>
      </c>
      <c r="J2299" s="87">
        <f>IF($D2299&gt;0,IFERROR(Параметры!$D$42*$H2299/$H$2408,0),0)</f>
        <v>0</v>
      </c>
      <c r="K2299" s="87">
        <f>IFERROR(ROUND($N2299*Параметры!$D$36,2),0)</f>
        <v>0</v>
      </c>
      <c r="L2299" s="87">
        <f t="shared" si="250"/>
        <v>0</v>
      </c>
      <c r="M2299" s="87">
        <f t="shared" si="251"/>
        <v>0</v>
      </c>
      <c r="N2299" s="107" t="str">
        <f t="shared" si="252"/>
        <v/>
      </c>
    </row>
    <row r="2300" spans="2:14" x14ac:dyDescent="0.25">
      <c r="B2300" s="82">
        <f>SUBTOTAL(103,$D$8:D2300)</f>
        <v>2293</v>
      </c>
      <c r="C2300" s="83" t="s">
        <v>2298</v>
      </c>
      <c r="D2300" s="84">
        <v>0</v>
      </c>
      <c r="E2300" s="85" t="str">
        <f t="shared" si="247"/>
        <v/>
      </c>
      <c r="F2300" s="106" t="str">
        <f t="shared" si="253"/>
        <v/>
      </c>
      <c r="G2300" s="86"/>
      <c r="H2300" s="107">
        <f t="shared" si="248"/>
        <v>0</v>
      </c>
      <c r="I2300" s="107">
        <f t="shared" si="249"/>
        <v>0</v>
      </c>
      <c r="J2300" s="87">
        <f>IF($D2300&gt;0,IFERROR(Параметры!$D$42*$H2300/$H$2408,0),0)</f>
        <v>0</v>
      </c>
      <c r="K2300" s="87">
        <f>IFERROR(ROUND($N2300*Параметры!$D$36,2),0)</f>
        <v>0</v>
      </c>
      <c r="L2300" s="87">
        <f t="shared" si="250"/>
        <v>0</v>
      </c>
      <c r="M2300" s="87">
        <f t="shared" si="251"/>
        <v>0</v>
      </c>
      <c r="N2300" s="107" t="str">
        <f t="shared" si="252"/>
        <v/>
      </c>
    </row>
    <row r="2301" spans="2:14" x14ac:dyDescent="0.25">
      <c r="B2301" s="82">
        <f>SUBTOTAL(103,$D$8:D2301)</f>
        <v>2294</v>
      </c>
      <c r="C2301" s="83" t="s">
        <v>2299</v>
      </c>
      <c r="D2301" s="84">
        <v>0</v>
      </c>
      <c r="E2301" s="85" t="str">
        <f t="shared" si="247"/>
        <v/>
      </c>
      <c r="F2301" s="106" t="str">
        <f t="shared" si="253"/>
        <v/>
      </c>
      <c r="G2301" s="86"/>
      <c r="H2301" s="107">
        <f t="shared" si="248"/>
        <v>0</v>
      </c>
      <c r="I2301" s="107">
        <f t="shared" si="249"/>
        <v>0</v>
      </c>
      <c r="J2301" s="87">
        <f>IF($D2301&gt;0,IFERROR(Параметры!$D$42*$H2301/$H$2408,0),0)</f>
        <v>0</v>
      </c>
      <c r="K2301" s="87">
        <f>IFERROR(ROUND($N2301*Параметры!$D$36,2),0)</f>
        <v>0</v>
      </c>
      <c r="L2301" s="87">
        <f t="shared" si="250"/>
        <v>0</v>
      </c>
      <c r="M2301" s="87">
        <f t="shared" si="251"/>
        <v>0</v>
      </c>
      <c r="N2301" s="107" t="str">
        <f t="shared" si="252"/>
        <v/>
      </c>
    </row>
    <row r="2302" spans="2:14" x14ac:dyDescent="0.25">
      <c r="B2302" s="82">
        <f>SUBTOTAL(103,$D$8:D2302)</f>
        <v>2295</v>
      </c>
      <c r="C2302" s="83" t="s">
        <v>2300</v>
      </c>
      <c r="D2302" s="84">
        <v>0</v>
      </c>
      <c r="E2302" s="85" t="str">
        <f t="shared" si="247"/>
        <v/>
      </c>
      <c r="F2302" s="106" t="str">
        <f t="shared" si="253"/>
        <v/>
      </c>
      <c r="G2302" s="86"/>
      <c r="H2302" s="107">
        <f t="shared" si="248"/>
        <v>0</v>
      </c>
      <c r="I2302" s="107">
        <f t="shared" si="249"/>
        <v>0</v>
      </c>
      <c r="J2302" s="87">
        <f>IF($D2302&gt;0,IFERROR(Параметры!$D$42*$H2302/$H$2408,0),0)</f>
        <v>0</v>
      </c>
      <c r="K2302" s="87">
        <f>IFERROR(ROUND($N2302*Параметры!$D$36,2),0)</f>
        <v>0</v>
      </c>
      <c r="L2302" s="87">
        <f t="shared" si="250"/>
        <v>0</v>
      </c>
      <c r="M2302" s="87">
        <f t="shared" si="251"/>
        <v>0</v>
      </c>
      <c r="N2302" s="107" t="str">
        <f t="shared" si="252"/>
        <v/>
      </c>
    </row>
    <row r="2303" spans="2:14" x14ac:dyDescent="0.25">
      <c r="B2303" s="82">
        <f>SUBTOTAL(103,$D$8:D2303)</f>
        <v>2296</v>
      </c>
      <c r="C2303" s="83" t="s">
        <v>2301</v>
      </c>
      <c r="D2303" s="84">
        <v>0</v>
      </c>
      <c r="E2303" s="85" t="str">
        <f t="shared" si="247"/>
        <v/>
      </c>
      <c r="F2303" s="106" t="str">
        <f t="shared" si="253"/>
        <v/>
      </c>
      <c r="G2303" s="86"/>
      <c r="H2303" s="107">
        <f t="shared" si="248"/>
        <v>0</v>
      </c>
      <c r="I2303" s="107">
        <f t="shared" si="249"/>
        <v>0</v>
      </c>
      <c r="J2303" s="87">
        <f>IF($D2303&gt;0,IFERROR(Параметры!$D$42*$H2303/$H$2408,0),0)</f>
        <v>0</v>
      </c>
      <c r="K2303" s="87">
        <f>IFERROR(ROUND($N2303*Параметры!$D$36,2),0)</f>
        <v>0</v>
      </c>
      <c r="L2303" s="87">
        <f t="shared" si="250"/>
        <v>0</v>
      </c>
      <c r="M2303" s="87">
        <f t="shared" si="251"/>
        <v>0</v>
      </c>
      <c r="N2303" s="107" t="str">
        <f t="shared" si="252"/>
        <v/>
      </c>
    </row>
    <row r="2304" spans="2:14" x14ac:dyDescent="0.25">
      <c r="B2304" s="82">
        <f>SUBTOTAL(103,$D$8:D2304)</f>
        <v>2297</v>
      </c>
      <c r="C2304" s="83" t="s">
        <v>2302</v>
      </c>
      <c r="D2304" s="84">
        <v>0</v>
      </c>
      <c r="E2304" s="85" t="str">
        <f t="shared" si="247"/>
        <v/>
      </c>
      <c r="F2304" s="106" t="str">
        <f t="shared" si="253"/>
        <v/>
      </c>
      <c r="G2304" s="86"/>
      <c r="H2304" s="107">
        <f t="shared" si="248"/>
        <v>0</v>
      </c>
      <c r="I2304" s="107">
        <f t="shared" si="249"/>
        <v>0</v>
      </c>
      <c r="J2304" s="87">
        <f>IF($D2304&gt;0,IFERROR(Параметры!$D$42*$H2304/$H$2408,0),0)</f>
        <v>0</v>
      </c>
      <c r="K2304" s="87">
        <f>IFERROR(ROUND($N2304*Параметры!$D$36,2),0)</f>
        <v>0</v>
      </c>
      <c r="L2304" s="87">
        <f t="shared" si="250"/>
        <v>0</v>
      </c>
      <c r="M2304" s="87">
        <f t="shared" si="251"/>
        <v>0</v>
      </c>
      <c r="N2304" s="107" t="str">
        <f t="shared" si="252"/>
        <v/>
      </c>
    </row>
    <row r="2305" spans="2:14" x14ac:dyDescent="0.25">
      <c r="B2305" s="82">
        <f>SUBTOTAL(103,$D$8:D2305)</f>
        <v>2298</v>
      </c>
      <c r="C2305" s="83" t="s">
        <v>2303</v>
      </c>
      <c r="D2305" s="84">
        <v>0</v>
      </c>
      <c r="E2305" s="85" t="str">
        <f t="shared" si="247"/>
        <v/>
      </c>
      <c r="F2305" s="106" t="str">
        <f t="shared" si="253"/>
        <v/>
      </c>
      <c r="G2305" s="86"/>
      <c r="H2305" s="107">
        <f t="shared" si="248"/>
        <v>0</v>
      </c>
      <c r="I2305" s="107">
        <f t="shared" si="249"/>
        <v>0</v>
      </c>
      <c r="J2305" s="87">
        <f>IF($D2305&gt;0,IFERROR(Параметры!$D$42*$H2305/$H$2408,0),0)</f>
        <v>0</v>
      </c>
      <c r="K2305" s="87">
        <f>IFERROR(ROUND($N2305*Параметры!$D$36,2),0)</f>
        <v>0</v>
      </c>
      <c r="L2305" s="87">
        <f t="shared" si="250"/>
        <v>0</v>
      </c>
      <c r="M2305" s="87">
        <f t="shared" si="251"/>
        <v>0</v>
      </c>
      <c r="N2305" s="107" t="str">
        <f t="shared" si="252"/>
        <v/>
      </c>
    </row>
    <row r="2306" spans="2:14" x14ac:dyDescent="0.25">
      <c r="B2306" s="82">
        <f>SUBTOTAL(103,$D$8:D2306)</f>
        <v>2299</v>
      </c>
      <c r="C2306" s="83" t="s">
        <v>2304</v>
      </c>
      <c r="D2306" s="84">
        <v>0</v>
      </c>
      <c r="E2306" s="85" t="str">
        <f t="shared" si="247"/>
        <v/>
      </c>
      <c r="F2306" s="106" t="str">
        <f t="shared" si="253"/>
        <v/>
      </c>
      <c r="G2306" s="86"/>
      <c r="H2306" s="107">
        <f t="shared" si="248"/>
        <v>0</v>
      </c>
      <c r="I2306" s="107">
        <f t="shared" si="249"/>
        <v>0</v>
      </c>
      <c r="J2306" s="87">
        <f>IF($D2306&gt;0,IFERROR(Параметры!$D$42*$H2306/$H$2408,0),0)</f>
        <v>0</v>
      </c>
      <c r="K2306" s="87">
        <f>IFERROR(ROUND($N2306*Параметры!$D$36,2),0)</f>
        <v>0</v>
      </c>
      <c r="L2306" s="87">
        <f t="shared" si="250"/>
        <v>0</v>
      </c>
      <c r="M2306" s="87">
        <f t="shared" si="251"/>
        <v>0</v>
      </c>
      <c r="N2306" s="107" t="str">
        <f t="shared" si="252"/>
        <v/>
      </c>
    </row>
    <row r="2307" spans="2:14" x14ac:dyDescent="0.25">
      <c r="B2307" s="82">
        <f>SUBTOTAL(103,$D$8:D2307)</f>
        <v>2300</v>
      </c>
      <c r="C2307" s="83" t="s">
        <v>2305</v>
      </c>
      <c r="D2307" s="84">
        <v>0</v>
      </c>
      <c r="E2307" s="85" t="str">
        <f t="shared" si="247"/>
        <v/>
      </c>
      <c r="F2307" s="106" t="str">
        <f t="shared" si="253"/>
        <v/>
      </c>
      <c r="G2307" s="86"/>
      <c r="H2307" s="107">
        <f t="shared" si="248"/>
        <v>0</v>
      </c>
      <c r="I2307" s="107">
        <f t="shared" si="249"/>
        <v>0</v>
      </c>
      <c r="J2307" s="87">
        <f>IF($D2307&gt;0,IFERROR(Параметры!$D$42*$H2307/$H$2408,0),0)</f>
        <v>0</v>
      </c>
      <c r="K2307" s="87">
        <f>IFERROR(ROUND($N2307*Параметры!$D$36,2),0)</f>
        <v>0</v>
      </c>
      <c r="L2307" s="87">
        <f t="shared" si="250"/>
        <v>0</v>
      </c>
      <c r="M2307" s="87">
        <f t="shared" si="251"/>
        <v>0</v>
      </c>
      <c r="N2307" s="107" t="str">
        <f t="shared" si="252"/>
        <v/>
      </c>
    </row>
    <row r="2308" spans="2:14" x14ac:dyDescent="0.25">
      <c r="B2308" s="82">
        <f>SUBTOTAL(103,$D$8:D2308)</f>
        <v>2301</v>
      </c>
      <c r="C2308" s="83" t="s">
        <v>2306</v>
      </c>
      <c r="D2308" s="84">
        <v>0</v>
      </c>
      <c r="E2308" s="85" t="str">
        <f t="shared" si="247"/>
        <v/>
      </c>
      <c r="F2308" s="106" t="str">
        <f t="shared" si="253"/>
        <v/>
      </c>
      <c r="G2308" s="86"/>
      <c r="H2308" s="107">
        <f t="shared" si="248"/>
        <v>0</v>
      </c>
      <c r="I2308" s="107">
        <f t="shared" si="249"/>
        <v>0</v>
      </c>
      <c r="J2308" s="87">
        <f>IF($D2308&gt;0,IFERROR(Параметры!$D$42*$H2308/$H$2408,0),0)</f>
        <v>0</v>
      </c>
      <c r="K2308" s="87">
        <f>IFERROR(ROUND($N2308*Параметры!$D$36,2),0)</f>
        <v>0</v>
      </c>
      <c r="L2308" s="87">
        <f t="shared" si="250"/>
        <v>0</v>
      </c>
      <c r="M2308" s="87">
        <f t="shared" si="251"/>
        <v>0</v>
      </c>
      <c r="N2308" s="107" t="str">
        <f t="shared" si="252"/>
        <v/>
      </c>
    </row>
    <row r="2309" spans="2:14" x14ac:dyDescent="0.25">
      <c r="B2309" s="82">
        <f>SUBTOTAL(103,$D$8:D2309)</f>
        <v>2302</v>
      </c>
      <c r="C2309" s="83" t="s">
        <v>2307</v>
      </c>
      <c r="D2309" s="84">
        <v>0</v>
      </c>
      <c r="E2309" s="85" t="str">
        <f t="shared" si="247"/>
        <v/>
      </c>
      <c r="F2309" s="106" t="str">
        <f t="shared" si="253"/>
        <v/>
      </c>
      <c r="G2309" s="86"/>
      <c r="H2309" s="107">
        <f t="shared" si="248"/>
        <v>0</v>
      </c>
      <c r="I2309" s="107">
        <f t="shared" si="249"/>
        <v>0</v>
      </c>
      <c r="J2309" s="87">
        <f>IF($D2309&gt;0,IFERROR(Параметры!$D$42*$H2309/$H$2408,0),0)</f>
        <v>0</v>
      </c>
      <c r="K2309" s="87">
        <f>IFERROR(ROUND($N2309*Параметры!$D$36,2),0)</f>
        <v>0</v>
      </c>
      <c r="L2309" s="87">
        <f t="shared" si="250"/>
        <v>0</v>
      </c>
      <c r="M2309" s="87">
        <f t="shared" si="251"/>
        <v>0</v>
      </c>
      <c r="N2309" s="107" t="str">
        <f t="shared" si="252"/>
        <v/>
      </c>
    </row>
    <row r="2310" spans="2:14" x14ac:dyDescent="0.25">
      <c r="B2310" s="82">
        <f>SUBTOTAL(103,$D$8:D2310)</f>
        <v>2303</v>
      </c>
      <c r="C2310" s="83" t="s">
        <v>2308</v>
      </c>
      <c r="D2310" s="84">
        <v>0</v>
      </c>
      <c r="E2310" s="85" t="str">
        <f t="shared" si="247"/>
        <v/>
      </c>
      <c r="F2310" s="106" t="str">
        <f t="shared" si="253"/>
        <v/>
      </c>
      <c r="G2310" s="86"/>
      <c r="H2310" s="107">
        <f t="shared" si="248"/>
        <v>0</v>
      </c>
      <c r="I2310" s="107">
        <f t="shared" si="249"/>
        <v>0</v>
      </c>
      <c r="J2310" s="87">
        <f>IF($D2310&gt;0,IFERROR(Параметры!$D$42*$H2310/$H$2408,0),0)</f>
        <v>0</v>
      </c>
      <c r="K2310" s="87">
        <f>IFERROR(ROUND($N2310*Параметры!$D$36,2),0)</f>
        <v>0</v>
      </c>
      <c r="L2310" s="87">
        <f t="shared" si="250"/>
        <v>0</v>
      </c>
      <c r="M2310" s="87">
        <f t="shared" si="251"/>
        <v>0</v>
      </c>
      <c r="N2310" s="107" t="str">
        <f t="shared" si="252"/>
        <v/>
      </c>
    </row>
    <row r="2311" spans="2:14" x14ac:dyDescent="0.25">
      <c r="B2311" s="82">
        <f>SUBTOTAL(103,$D$8:D2311)</f>
        <v>2304</v>
      </c>
      <c r="C2311" s="83" t="s">
        <v>2309</v>
      </c>
      <c r="D2311" s="84">
        <v>0</v>
      </c>
      <c r="E2311" s="85" t="str">
        <f t="shared" si="247"/>
        <v/>
      </c>
      <c r="F2311" s="106" t="str">
        <f t="shared" si="253"/>
        <v/>
      </c>
      <c r="G2311" s="86"/>
      <c r="H2311" s="107">
        <f t="shared" si="248"/>
        <v>0</v>
      </c>
      <c r="I2311" s="107">
        <f t="shared" si="249"/>
        <v>0</v>
      </c>
      <c r="J2311" s="87">
        <f>IF($D2311&gt;0,IFERROR(Параметры!$D$42*$H2311/$H$2408,0),0)</f>
        <v>0</v>
      </c>
      <c r="K2311" s="87">
        <f>IFERROR(ROUND($N2311*Параметры!$D$36,2),0)</f>
        <v>0</v>
      </c>
      <c r="L2311" s="87">
        <f t="shared" si="250"/>
        <v>0</v>
      </c>
      <c r="M2311" s="87">
        <f t="shared" si="251"/>
        <v>0</v>
      </c>
      <c r="N2311" s="107" t="str">
        <f t="shared" si="252"/>
        <v/>
      </c>
    </row>
    <row r="2312" spans="2:14" x14ac:dyDescent="0.25">
      <c r="B2312" s="82">
        <f>SUBTOTAL(103,$D$8:D2312)</f>
        <v>2305</v>
      </c>
      <c r="C2312" s="83" t="s">
        <v>2310</v>
      </c>
      <c r="D2312" s="84">
        <v>0</v>
      </c>
      <c r="E2312" s="85" t="str">
        <f t="shared" ref="E2312:E2375" si="254">IF($D2312&lt;1,"",$K2312+$L2312)</f>
        <v/>
      </c>
      <c r="F2312" s="106" t="str">
        <f t="shared" si="253"/>
        <v/>
      </c>
      <c r="G2312" s="86"/>
      <c r="H2312" s="107">
        <f t="shared" ref="H2312:H2375" si="255">IF($D2312&gt;0,$D2312*КИС,0)</f>
        <v>0</v>
      </c>
      <c r="I2312" s="107">
        <f t="shared" ref="I2312:I2375" si="256">IF($D2312&gt;0,$D2312-$H2312,0)</f>
        <v>0</v>
      </c>
      <c r="J2312" s="87">
        <f>IF($D2312&gt;0,IFERROR(Параметры!$D$42*$H2312/$H$2408,0),0)</f>
        <v>0</v>
      </c>
      <c r="K2312" s="87">
        <f>IFERROR(ROUND($N2312*Параметры!$D$36,2),0)</f>
        <v>0</v>
      </c>
      <c r="L2312" s="87">
        <f t="shared" ref="L2312:L2375" si="257">IF($K2312&gt;0,$K2312*0.055,0)</f>
        <v>0</v>
      </c>
      <c r="M2312" s="87">
        <f t="shared" ref="M2312:M2375" si="258">IFERROR($L2312/Плотность_ДТ,0)</f>
        <v>0</v>
      </c>
      <c r="N2312" s="107" t="str">
        <f t="shared" ref="N2312:N2375" si="259">IF($D2312&gt;0,MAX(0,$D2312-IF($F2312="",0,$F2312)),"")</f>
        <v/>
      </c>
    </row>
    <row r="2313" spans="2:14" x14ac:dyDescent="0.25">
      <c r="B2313" s="82">
        <f>SUBTOTAL(103,$D$8:D2313)</f>
        <v>2306</v>
      </c>
      <c r="C2313" s="83" t="s">
        <v>2311</v>
      </c>
      <c r="D2313" s="84">
        <v>0</v>
      </c>
      <c r="E2313" s="85" t="str">
        <f t="shared" si="254"/>
        <v/>
      </c>
      <c r="F2313" s="106" t="str">
        <f t="shared" si="253"/>
        <v/>
      </c>
      <c r="G2313" s="86"/>
      <c r="H2313" s="107">
        <f t="shared" si="255"/>
        <v>0</v>
      </c>
      <c r="I2313" s="107">
        <f t="shared" si="256"/>
        <v>0</v>
      </c>
      <c r="J2313" s="87">
        <f>IF($D2313&gt;0,IFERROR(Параметры!$D$42*$H2313/$H$2408,0),0)</f>
        <v>0</v>
      </c>
      <c r="K2313" s="87">
        <f>IFERROR(ROUND($N2313*Параметры!$D$36,2),0)</f>
        <v>0</v>
      </c>
      <c r="L2313" s="87">
        <f t="shared" si="257"/>
        <v>0</v>
      </c>
      <c r="M2313" s="87">
        <f t="shared" si="258"/>
        <v>0</v>
      </c>
      <c r="N2313" s="107" t="str">
        <f t="shared" si="259"/>
        <v/>
      </c>
    </row>
    <row r="2314" spans="2:14" x14ac:dyDescent="0.25">
      <c r="B2314" s="82">
        <f>SUBTOTAL(103,$D$8:D2314)</f>
        <v>2307</v>
      </c>
      <c r="C2314" s="83" t="s">
        <v>2312</v>
      </c>
      <c r="D2314" s="84">
        <v>0</v>
      </c>
      <c r="E2314" s="85" t="str">
        <f t="shared" si="254"/>
        <v/>
      </c>
      <c r="F2314" s="106" t="str">
        <f t="shared" si="253"/>
        <v/>
      </c>
      <c r="G2314" s="86"/>
      <c r="H2314" s="107">
        <f t="shared" si="255"/>
        <v>0</v>
      </c>
      <c r="I2314" s="107">
        <f t="shared" si="256"/>
        <v>0</v>
      </c>
      <c r="J2314" s="87">
        <f>IF($D2314&gt;0,IFERROR(Параметры!$D$42*$H2314/$H$2408,0),0)</f>
        <v>0</v>
      </c>
      <c r="K2314" s="87">
        <f>IFERROR(ROUND($N2314*Параметры!$D$36,2),0)</f>
        <v>0</v>
      </c>
      <c r="L2314" s="87">
        <f t="shared" si="257"/>
        <v>0</v>
      </c>
      <c r="M2314" s="87">
        <f t="shared" si="258"/>
        <v>0</v>
      </c>
      <c r="N2314" s="107" t="str">
        <f t="shared" si="259"/>
        <v/>
      </c>
    </row>
    <row r="2315" spans="2:14" x14ac:dyDescent="0.25">
      <c r="B2315" s="82">
        <f>SUBTOTAL(103,$D$8:D2315)</f>
        <v>2308</v>
      </c>
      <c r="C2315" s="83" t="s">
        <v>2313</v>
      </c>
      <c r="D2315" s="84">
        <v>0</v>
      </c>
      <c r="E2315" s="85" t="str">
        <f t="shared" si="254"/>
        <v/>
      </c>
      <c r="F2315" s="106" t="str">
        <f t="shared" ref="F2315:F2378" si="260">IF(D2315&gt;0,2,"")</f>
        <v/>
      </c>
      <c r="G2315" s="86"/>
      <c r="H2315" s="107">
        <f t="shared" si="255"/>
        <v>0</v>
      </c>
      <c r="I2315" s="107">
        <f t="shared" si="256"/>
        <v>0</v>
      </c>
      <c r="J2315" s="87">
        <f>IF($D2315&gt;0,IFERROR(Параметры!$D$42*$H2315/$H$2408,0),0)</f>
        <v>0</v>
      </c>
      <c r="K2315" s="87">
        <f>IFERROR(ROUND($N2315*Параметры!$D$36,2),0)</f>
        <v>0</v>
      </c>
      <c r="L2315" s="87">
        <f t="shared" si="257"/>
        <v>0</v>
      </c>
      <c r="M2315" s="87">
        <f t="shared" si="258"/>
        <v>0</v>
      </c>
      <c r="N2315" s="107" t="str">
        <f t="shared" si="259"/>
        <v/>
      </c>
    </row>
    <row r="2316" spans="2:14" x14ac:dyDescent="0.25">
      <c r="B2316" s="82">
        <f>SUBTOTAL(103,$D$8:D2316)</f>
        <v>2309</v>
      </c>
      <c r="C2316" s="83" t="s">
        <v>2314</v>
      </c>
      <c r="D2316" s="84">
        <v>0</v>
      </c>
      <c r="E2316" s="85" t="str">
        <f t="shared" si="254"/>
        <v/>
      </c>
      <c r="F2316" s="106" t="str">
        <f t="shared" si="260"/>
        <v/>
      </c>
      <c r="G2316" s="86"/>
      <c r="H2316" s="107">
        <f t="shared" si="255"/>
        <v>0</v>
      </c>
      <c r="I2316" s="107">
        <f t="shared" si="256"/>
        <v>0</v>
      </c>
      <c r="J2316" s="87">
        <f>IF($D2316&gt;0,IFERROR(Параметры!$D$42*$H2316/$H$2408,0),0)</f>
        <v>0</v>
      </c>
      <c r="K2316" s="87">
        <f>IFERROR(ROUND($N2316*Параметры!$D$36,2),0)</f>
        <v>0</v>
      </c>
      <c r="L2316" s="87">
        <f t="shared" si="257"/>
        <v>0</v>
      </c>
      <c r="M2316" s="87">
        <f t="shared" si="258"/>
        <v>0</v>
      </c>
      <c r="N2316" s="107" t="str">
        <f t="shared" si="259"/>
        <v/>
      </c>
    </row>
    <row r="2317" spans="2:14" x14ac:dyDescent="0.25">
      <c r="B2317" s="82">
        <f>SUBTOTAL(103,$D$8:D2317)</f>
        <v>2310</v>
      </c>
      <c r="C2317" s="83" t="s">
        <v>2315</v>
      </c>
      <c r="D2317" s="84">
        <v>0</v>
      </c>
      <c r="E2317" s="85" t="str">
        <f t="shared" si="254"/>
        <v/>
      </c>
      <c r="F2317" s="106" t="str">
        <f t="shared" si="260"/>
        <v/>
      </c>
      <c r="G2317" s="86"/>
      <c r="H2317" s="107">
        <f t="shared" si="255"/>
        <v>0</v>
      </c>
      <c r="I2317" s="107">
        <f t="shared" si="256"/>
        <v>0</v>
      </c>
      <c r="J2317" s="87">
        <f>IF($D2317&gt;0,IFERROR(Параметры!$D$42*$H2317/$H$2408,0),0)</f>
        <v>0</v>
      </c>
      <c r="K2317" s="87">
        <f>IFERROR(ROUND($N2317*Параметры!$D$36,2),0)</f>
        <v>0</v>
      </c>
      <c r="L2317" s="87">
        <f t="shared" si="257"/>
        <v>0</v>
      </c>
      <c r="M2317" s="87">
        <f t="shared" si="258"/>
        <v>0</v>
      </c>
      <c r="N2317" s="107" t="str">
        <f t="shared" si="259"/>
        <v/>
      </c>
    </row>
    <row r="2318" spans="2:14" x14ac:dyDescent="0.25">
      <c r="B2318" s="82">
        <f>SUBTOTAL(103,$D$8:D2318)</f>
        <v>2311</v>
      </c>
      <c r="C2318" s="83" t="s">
        <v>2316</v>
      </c>
      <c r="D2318" s="84">
        <v>0</v>
      </c>
      <c r="E2318" s="85" t="str">
        <f t="shared" si="254"/>
        <v/>
      </c>
      <c r="F2318" s="106" t="str">
        <f t="shared" si="260"/>
        <v/>
      </c>
      <c r="G2318" s="86"/>
      <c r="H2318" s="107">
        <f t="shared" si="255"/>
        <v>0</v>
      </c>
      <c r="I2318" s="107">
        <f t="shared" si="256"/>
        <v>0</v>
      </c>
      <c r="J2318" s="87">
        <f>IF($D2318&gt;0,IFERROR(Параметры!$D$42*$H2318/$H$2408,0),0)</f>
        <v>0</v>
      </c>
      <c r="K2318" s="87">
        <f>IFERROR(ROUND($N2318*Параметры!$D$36,2),0)</f>
        <v>0</v>
      </c>
      <c r="L2318" s="87">
        <f t="shared" si="257"/>
        <v>0</v>
      </c>
      <c r="M2318" s="87">
        <f t="shared" si="258"/>
        <v>0</v>
      </c>
      <c r="N2318" s="107" t="str">
        <f t="shared" si="259"/>
        <v/>
      </c>
    </row>
    <row r="2319" spans="2:14" x14ac:dyDescent="0.25">
      <c r="B2319" s="82">
        <f>SUBTOTAL(103,$D$8:D2319)</f>
        <v>2312</v>
      </c>
      <c r="C2319" s="83" t="s">
        <v>2317</v>
      </c>
      <c r="D2319" s="84">
        <v>0</v>
      </c>
      <c r="E2319" s="85" t="str">
        <f t="shared" si="254"/>
        <v/>
      </c>
      <c r="F2319" s="106" t="str">
        <f t="shared" si="260"/>
        <v/>
      </c>
      <c r="G2319" s="86"/>
      <c r="H2319" s="107">
        <f t="shared" si="255"/>
        <v>0</v>
      </c>
      <c r="I2319" s="107">
        <f t="shared" si="256"/>
        <v>0</v>
      </c>
      <c r="J2319" s="87">
        <f>IF($D2319&gt;0,IFERROR(Параметры!$D$42*$H2319/$H$2408,0),0)</f>
        <v>0</v>
      </c>
      <c r="K2319" s="87">
        <f>IFERROR(ROUND($N2319*Параметры!$D$36,2),0)</f>
        <v>0</v>
      </c>
      <c r="L2319" s="87">
        <f t="shared" si="257"/>
        <v>0</v>
      </c>
      <c r="M2319" s="87">
        <f t="shared" si="258"/>
        <v>0</v>
      </c>
      <c r="N2319" s="107" t="str">
        <f t="shared" si="259"/>
        <v/>
      </c>
    </row>
    <row r="2320" spans="2:14" x14ac:dyDescent="0.25">
      <c r="B2320" s="82">
        <f>SUBTOTAL(103,$D$8:D2320)</f>
        <v>2313</v>
      </c>
      <c r="C2320" s="83" t="s">
        <v>2318</v>
      </c>
      <c r="D2320" s="84">
        <v>0</v>
      </c>
      <c r="E2320" s="85" t="str">
        <f t="shared" si="254"/>
        <v/>
      </c>
      <c r="F2320" s="106" t="str">
        <f t="shared" si="260"/>
        <v/>
      </c>
      <c r="G2320" s="86"/>
      <c r="H2320" s="107">
        <f t="shared" si="255"/>
        <v>0</v>
      </c>
      <c r="I2320" s="107">
        <f t="shared" si="256"/>
        <v>0</v>
      </c>
      <c r="J2320" s="87">
        <f>IF($D2320&gt;0,IFERROR(Параметры!$D$42*$H2320/$H$2408,0),0)</f>
        <v>0</v>
      </c>
      <c r="K2320" s="87">
        <f>IFERROR(ROUND($N2320*Параметры!$D$36,2),0)</f>
        <v>0</v>
      </c>
      <c r="L2320" s="87">
        <f t="shared" si="257"/>
        <v>0</v>
      </c>
      <c r="M2320" s="87">
        <f t="shared" si="258"/>
        <v>0</v>
      </c>
      <c r="N2320" s="107" t="str">
        <f t="shared" si="259"/>
        <v/>
      </c>
    </row>
    <row r="2321" spans="2:14" x14ac:dyDescent="0.25">
      <c r="B2321" s="82">
        <f>SUBTOTAL(103,$D$8:D2321)</f>
        <v>2314</v>
      </c>
      <c r="C2321" s="83" t="s">
        <v>2319</v>
      </c>
      <c r="D2321" s="84">
        <v>0</v>
      </c>
      <c r="E2321" s="85" t="str">
        <f t="shared" si="254"/>
        <v/>
      </c>
      <c r="F2321" s="106" t="str">
        <f t="shared" si="260"/>
        <v/>
      </c>
      <c r="G2321" s="86"/>
      <c r="H2321" s="107">
        <f t="shared" si="255"/>
        <v>0</v>
      </c>
      <c r="I2321" s="107">
        <f t="shared" si="256"/>
        <v>0</v>
      </c>
      <c r="J2321" s="87">
        <f>IF($D2321&gt;0,IFERROR(Параметры!$D$42*$H2321/$H$2408,0),0)</f>
        <v>0</v>
      </c>
      <c r="K2321" s="87">
        <f>IFERROR(ROUND($N2321*Параметры!$D$36,2),0)</f>
        <v>0</v>
      </c>
      <c r="L2321" s="87">
        <f t="shared" si="257"/>
        <v>0</v>
      </c>
      <c r="M2321" s="87">
        <f t="shared" si="258"/>
        <v>0</v>
      </c>
      <c r="N2321" s="107" t="str">
        <f t="shared" si="259"/>
        <v/>
      </c>
    </row>
    <row r="2322" spans="2:14" x14ac:dyDescent="0.25">
      <c r="B2322" s="82">
        <f>SUBTOTAL(103,$D$8:D2322)</f>
        <v>2315</v>
      </c>
      <c r="C2322" s="83" t="s">
        <v>2320</v>
      </c>
      <c r="D2322" s="84">
        <v>0</v>
      </c>
      <c r="E2322" s="85" t="str">
        <f t="shared" si="254"/>
        <v/>
      </c>
      <c r="F2322" s="106" t="str">
        <f t="shared" si="260"/>
        <v/>
      </c>
      <c r="G2322" s="86"/>
      <c r="H2322" s="107">
        <f t="shared" si="255"/>
        <v>0</v>
      </c>
      <c r="I2322" s="107">
        <f t="shared" si="256"/>
        <v>0</v>
      </c>
      <c r="J2322" s="87">
        <f>IF($D2322&gt;0,IFERROR(Параметры!$D$42*$H2322/$H$2408,0),0)</f>
        <v>0</v>
      </c>
      <c r="K2322" s="87">
        <f>IFERROR(ROUND($N2322*Параметры!$D$36,2),0)</f>
        <v>0</v>
      </c>
      <c r="L2322" s="87">
        <f t="shared" si="257"/>
        <v>0</v>
      </c>
      <c r="M2322" s="87">
        <f t="shared" si="258"/>
        <v>0</v>
      </c>
      <c r="N2322" s="107" t="str">
        <f t="shared" si="259"/>
        <v/>
      </c>
    </row>
    <row r="2323" spans="2:14" x14ac:dyDescent="0.25">
      <c r="B2323" s="82">
        <f>SUBTOTAL(103,$D$8:D2323)</f>
        <v>2316</v>
      </c>
      <c r="C2323" s="83" t="s">
        <v>2321</v>
      </c>
      <c r="D2323" s="84">
        <v>0</v>
      </c>
      <c r="E2323" s="85" t="str">
        <f t="shared" si="254"/>
        <v/>
      </c>
      <c r="F2323" s="106" t="str">
        <f t="shared" si="260"/>
        <v/>
      </c>
      <c r="G2323" s="86"/>
      <c r="H2323" s="107">
        <f t="shared" si="255"/>
        <v>0</v>
      </c>
      <c r="I2323" s="107">
        <f t="shared" si="256"/>
        <v>0</v>
      </c>
      <c r="J2323" s="87">
        <f>IF($D2323&gt;0,IFERROR(Параметры!$D$42*$H2323/$H$2408,0),0)</f>
        <v>0</v>
      </c>
      <c r="K2323" s="87">
        <f>IFERROR(ROUND($N2323*Параметры!$D$36,2),0)</f>
        <v>0</v>
      </c>
      <c r="L2323" s="87">
        <f t="shared" si="257"/>
        <v>0</v>
      </c>
      <c r="M2323" s="87">
        <f t="shared" si="258"/>
        <v>0</v>
      </c>
      <c r="N2323" s="107" t="str">
        <f t="shared" si="259"/>
        <v/>
      </c>
    </row>
    <row r="2324" spans="2:14" x14ac:dyDescent="0.25">
      <c r="B2324" s="82">
        <f>SUBTOTAL(103,$D$8:D2324)</f>
        <v>2317</v>
      </c>
      <c r="C2324" s="83" t="s">
        <v>2322</v>
      </c>
      <c r="D2324" s="84">
        <v>0</v>
      </c>
      <c r="E2324" s="85" t="str">
        <f t="shared" si="254"/>
        <v/>
      </c>
      <c r="F2324" s="106" t="str">
        <f t="shared" si="260"/>
        <v/>
      </c>
      <c r="G2324" s="86"/>
      <c r="H2324" s="107">
        <f t="shared" si="255"/>
        <v>0</v>
      </c>
      <c r="I2324" s="107">
        <f t="shared" si="256"/>
        <v>0</v>
      </c>
      <c r="J2324" s="87">
        <f>IF($D2324&gt;0,IFERROR(Параметры!$D$42*$H2324/$H$2408,0),0)</f>
        <v>0</v>
      </c>
      <c r="K2324" s="87">
        <f>IFERROR(ROUND($N2324*Параметры!$D$36,2),0)</f>
        <v>0</v>
      </c>
      <c r="L2324" s="87">
        <f t="shared" si="257"/>
        <v>0</v>
      </c>
      <c r="M2324" s="87">
        <f t="shared" si="258"/>
        <v>0</v>
      </c>
      <c r="N2324" s="107" t="str">
        <f t="shared" si="259"/>
        <v/>
      </c>
    </row>
    <row r="2325" spans="2:14" x14ac:dyDescent="0.25">
      <c r="B2325" s="82">
        <f>SUBTOTAL(103,$D$8:D2325)</f>
        <v>2318</v>
      </c>
      <c r="C2325" s="83" t="s">
        <v>2323</v>
      </c>
      <c r="D2325" s="84">
        <v>0</v>
      </c>
      <c r="E2325" s="85" t="str">
        <f t="shared" si="254"/>
        <v/>
      </c>
      <c r="F2325" s="106" t="str">
        <f t="shared" si="260"/>
        <v/>
      </c>
      <c r="G2325" s="86"/>
      <c r="H2325" s="107">
        <f t="shared" si="255"/>
        <v>0</v>
      </c>
      <c r="I2325" s="107">
        <f t="shared" si="256"/>
        <v>0</v>
      </c>
      <c r="J2325" s="87">
        <f>IF($D2325&gt;0,IFERROR(Параметры!$D$42*$H2325/$H$2408,0),0)</f>
        <v>0</v>
      </c>
      <c r="K2325" s="87">
        <f>IFERROR(ROUND($N2325*Параметры!$D$36,2),0)</f>
        <v>0</v>
      </c>
      <c r="L2325" s="87">
        <f t="shared" si="257"/>
        <v>0</v>
      </c>
      <c r="M2325" s="87">
        <f t="shared" si="258"/>
        <v>0</v>
      </c>
      <c r="N2325" s="107" t="str">
        <f t="shared" si="259"/>
        <v/>
      </c>
    </row>
    <row r="2326" spans="2:14" x14ac:dyDescent="0.25">
      <c r="B2326" s="82">
        <f>SUBTOTAL(103,$D$8:D2326)</f>
        <v>2319</v>
      </c>
      <c r="C2326" s="83" t="s">
        <v>2324</v>
      </c>
      <c r="D2326" s="84">
        <v>0</v>
      </c>
      <c r="E2326" s="85" t="str">
        <f t="shared" si="254"/>
        <v/>
      </c>
      <c r="F2326" s="106" t="str">
        <f t="shared" si="260"/>
        <v/>
      </c>
      <c r="G2326" s="86"/>
      <c r="H2326" s="107">
        <f t="shared" si="255"/>
        <v>0</v>
      </c>
      <c r="I2326" s="107">
        <f t="shared" si="256"/>
        <v>0</v>
      </c>
      <c r="J2326" s="87">
        <f>IF($D2326&gt;0,IFERROR(Параметры!$D$42*$H2326/$H$2408,0),0)</f>
        <v>0</v>
      </c>
      <c r="K2326" s="87">
        <f>IFERROR(ROUND($N2326*Параметры!$D$36,2),0)</f>
        <v>0</v>
      </c>
      <c r="L2326" s="87">
        <f t="shared" si="257"/>
        <v>0</v>
      </c>
      <c r="M2326" s="87">
        <f t="shared" si="258"/>
        <v>0</v>
      </c>
      <c r="N2326" s="107" t="str">
        <f t="shared" si="259"/>
        <v/>
      </c>
    </row>
    <row r="2327" spans="2:14" x14ac:dyDescent="0.25">
      <c r="B2327" s="82">
        <f>SUBTOTAL(103,$D$8:D2327)</f>
        <v>2320</v>
      </c>
      <c r="C2327" s="83" t="s">
        <v>2325</v>
      </c>
      <c r="D2327" s="84">
        <v>0</v>
      </c>
      <c r="E2327" s="85" t="str">
        <f t="shared" si="254"/>
        <v/>
      </c>
      <c r="F2327" s="106" t="str">
        <f t="shared" si="260"/>
        <v/>
      </c>
      <c r="G2327" s="86"/>
      <c r="H2327" s="107">
        <f t="shared" si="255"/>
        <v>0</v>
      </c>
      <c r="I2327" s="107">
        <f t="shared" si="256"/>
        <v>0</v>
      </c>
      <c r="J2327" s="87">
        <f>IF($D2327&gt;0,IFERROR(Параметры!$D$42*$H2327/$H$2408,0),0)</f>
        <v>0</v>
      </c>
      <c r="K2327" s="87">
        <f>IFERROR(ROUND($N2327*Параметры!$D$36,2),0)</f>
        <v>0</v>
      </c>
      <c r="L2327" s="87">
        <f t="shared" si="257"/>
        <v>0</v>
      </c>
      <c r="M2327" s="87">
        <f t="shared" si="258"/>
        <v>0</v>
      </c>
      <c r="N2327" s="107" t="str">
        <f t="shared" si="259"/>
        <v/>
      </c>
    </row>
    <row r="2328" spans="2:14" x14ac:dyDescent="0.25">
      <c r="B2328" s="82">
        <f>SUBTOTAL(103,$D$8:D2328)</f>
        <v>2321</v>
      </c>
      <c r="C2328" s="83" t="s">
        <v>2326</v>
      </c>
      <c r="D2328" s="84">
        <v>0</v>
      </c>
      <c r="E2328" s="85" t="str">
        <f t="shared" si="254"/>
        <v/>
      </c>
      <c r="F2328" s="106" t="str">
        <f t="shared" si="260"/>
        <v/>
      </c>
      <c r="G2328" s="86"/>
      <c r="H2328" s="107">
        <f t="shared" si="255"/>
        <v>0</v>
      </c>
      <c r="I2328" s="107">
        <f t="shared" si="256"/>
        <v>0</v>
      </c>
      <c r="J2328" s="87">
        <f>IF($D2328&gt;0,IFERROR(Параметры!$D$42*$H2328/$H$2408,0),0)</f>
        <v>0</v>
      </c>
      <c r="K2328" s="87">
        <f>IFERROR(ROUND($N2328*Параметры!$D$36,2),0)</f>
        <v>0</v>
      </c>
      <c r="L2328" s="87">
        <f t="shared" si="257"/>
        <v>0</v>
      </c>
      <c r="M2328" s="87">
        <f t="shared" si="258"/>
        <v>0</v>
      </c>
      <c r="N2328" s="107" t="str">
        <f t="shared" si="259"/>
        <v/>
      </c>
    </row>
    <row r="2329" spans="2:14" x14ac:dyDescent="0.25">
      <c r="B2329" s="82">
        <f>SUBTOTAL(103,$D$8:D2329)</f>
        <v>2322</v>
      </c>
      <c r="C2329" s="83" t="s">
        <v>2327</v>
      </c>
      <c r="D2329" s="84">
        <v>0</v>
      </c>
      <c r="E2329" s="85" t="str">
        <f t="shared" si="254"/>
        <v/>
      </c>
      <c r="F2329" s="106" t="str">
        <f t="shared" si="260"/>
        <v/>
      </c>
      <c r="G2329" s="86"/>
      <c r="H2329" s="107">
        <f t="shared" si="255"/>
        <v>0</v>
      </c>
      <c r="I2329" s="107">
        <f t="shared" si="256"/>
        <v>0</v>
      </c>
      <c r="J2329" s="87">
        <f>IF($D2329&gt;0,IFERROR(Параметры!$D$42*$H2329/$H$2408,0),0)</f>
        <v>0</v>
      </c>
      <c r="K2329" s="87">
        <f>IFERROR(ROUND($N2329*Параметры!$D$36,2),0)</f>
        <v>0</v>
      </c>
      <c r="L2329" s="87">
        <f t="shared" si="257"/>
        <v>0</v>
      </c>
      <c r="M2329" s="87">
        <f t="shared" si="258"/>
        <v>0</v>
      </c>
      <c r="N2329" s="107" t="str">
        <f t="shared" si="259"/>
        <v/>
      </c>
    </row>
    <row r="2330" spans="2:14" x14ac:dyDescent="0.25">
      <c r="B2330" s="82">
        <f>SUBTOTAL(103,$D$8:D2330)</f>
        <v>2323</v>
      </c>
      <c r="C2330" s="83" t="s">
        <v>2328</v>
      </c>
      <c r="D2330" s="84">
        <v>0</v>
      </c>
      <c r="E2330" s="85" t="str">
        <f t="shared" si="254"/>
        <v/>
      </c>
      <c r="F2330" s="106" t="str">
        <f t="shared" si="260"/>
        <v/>
      </c>
      <c r="G2330" s="86"/>
      <c r="H2330" s="107">
        <f t="shared" si="255"/>
        <v>0</v>
      </c>
      <c r="I2330" s="107">
        <f t="shared" si="256"/>
        <v>0</v>
      </c>
      <c r="J2330" s="87">
        <f>IF($D2330&gt;0,IFERROR(Параметры!$D$42*$H2330/$H$2408,0),0)</f>
        <v>0</v>
      </c>
      <c r="K2330" s="87">
        <f>IFERROR(ROUND($N2330*Параметры!$D$36,2),0)</f>
        <v>0</v>
      </c>
      <c r="L2330" s="87">
        <f t="shared" si="257"/>
        <v>0</v>
      </c>
      <c r="M2330" s="87">
        <f t="shared" si="258"/>
        <v>0</v>
      </c>
      <c r="N2330" s="107" t="str">
        <f t="shared" si="259"/>
        <v/>
      </c>
    </row>
    <row r="2331" spans="2:14" x14ac:dyDescent="0.25">
      <c r="B2331" s="82">
        <f>SUBTOTAL(103,$D$8:D2331)</f>
        <v>2324</v>
      </c>
      <c r="C2331" s="83" t="s">
        <v>2329</v>
      </c>
      <c r="D2331" s="84">
        <v>0</v>
      </c>
      <c r="E2331" s="85" t="str">
        <f t="shared" si="254"/>
        <v/>
      </c>
      <c r="F2331" s="106" t="str">
        <f t="shared" si="260"/>
        <v/>
      </c>
      <c r="G2331" s="86"/>
      <c r="H2331" s="107">
        <f t="shared" si="255"/>
        <v>0</v>
      </c>
      <c r="I2331" s="107">
        <f t="shared" si="256"/>
        <v>0</v>
      </c>
      <c r="J2331" s="87">
        <f>IF($D2331&gt;0,IFERROR(Параметры!$D$42*$H2331/$H$2408,0),0)</f>
        <v>0</v>
      </c>
      <c r="K2331" s="87">
        <f>IFERROR(ROUND($N2331*Параметры!$D$36,2),0)</f>
        <v>0</v>
      </c>
      <c r="L2331" s="87">
        <f t="shared" si="257"/>
        <v>0</v>
      </c>
      <c r="M2331" s="87">
        <f t="shared" si="258"/>
        <v>0</v>
      </c>
      <c r="N2331" s="107" t="str">
        <f t="shared" si="259"/>
        <v/>
      </c>
    </row>
    <row r="2332" spans="2:14" x14ac:dyDescent="0.25">
      <c r="B2332" s="82">
        <f>SUBTOTAL(103,$D$8:D2332)</f>
        <v>2325</v>
      </c>
      <c r="C2332" s="83" t="s">
        <v>2330</v>
      </c>
      <c r="D2332" s="84">
        <v>0</v>
      </c>
      <c r="E2332" s="85" t="str">
        <f t="shared" si="254"/>
        <v/>
      </c>
      <c r="F2332" s="106" t="str">
        <f t="shared" si="260"/>
        <v/>
      </c>
      <c r="G2332" s="86"/>
      <c r="H2332" s="107">
        <f t="shared" si="255"/>
        <v>0</v>
      </c>
      <c r="I2332" s="107">
        <f t="shared" si="256"/>
        <v>0</v>
      </c>
      <c r="J2332" s="87">
        <f>IF($D2332&gt;0,IFERROR(Параметры!$D$42*$H2332/$H$2408,0),0)</f>
        <v>0</v>
      </c>
      <c r="K2332" s="87">
        <f>IFERROR(ROUND($N2332*Параметры!$D$36,2),0)</f>
        <v>0</v>
      </c>
      <c r="L2332" s="87">
        <f t="shared" si="257"/>
        <v>0</v>
      </c>
      <c r="M2332" s="87">
        <f t="shared" si="258"/>
        <v>0</v>
      </c>
      <c r="N2332" s="107" t="str">
        <f t="shared" si="259"/>
        <v/>
      </c>
    </row>
    <row r="2333" spans="2:14" x14ac:dyDescent="0.25">
      <c r="B2333" s="82">
        <f>SUBTOTAL(103,$D$8:D2333)</f>
        <v>2326</v>
      </c>
      <c r="C2333" s="83" t="s">
        <v>2331</v>
      </c>
      <c r="D2333" s="84">
        <v>0</v>
      </c>
      <c r="E2333" s="85" t="str">
        <f t="shared" si="254"/>
        <v/>
      </c>
      <c r="F2333" s="106" t="str">
        <f t="shared" si="260"/>
        <v/>
      </c>
      <c r="G2333" s="86"/>
      <c r="H2333" s="107">
        <f t="shared" si="255"/>
        <v>0</v>
      </c>
      <c r="I2333" s="107">
        <f t="shared" si="256"/>
        <v>0</v>
      </c>
      <c r="J2333" s="87">
        <f>IF($D2333&gt;0,IFERROR(Параметры!$D$42*$H2333/$H$2408,0),0)</f>
        <v>0</v>
      </c>
      <c r="K2333" s="87">
        <f>IFERROR(ROUND($N2333*Параметры!$D$36,2),0)</f>
        <v>0</v>
      </c>
      <c r="L2333" s="87">
        <f t="shared" si="257"/>
        <v>0</v>
      </c>
      <c r="M2333" s="87">
        <f t="shared" si="258"/>
        <v>0</v>
      </c>
      <c r="N2333" s="107" t="str">
        <f t="shared" si="259"/>
        <v/>
      </c>
    </row>
    <row r="2334" spans="2:14" x14ac:dyDescent="0.25">
      <c r="B2334" s="82">
        <f>SUBTOTAL(103,$D$8:D2334)</f>
        <v>2327</v>
      </c>
      <c r="C2334" s="83" t="s">
        <v>2332</v>
      </c>
      <c r="D2334" s="84">
        <v>0</v>
      </c>
      <c r="E2334" s="85" t="str">
        <f t="shared" si="254"/>
        <v/>
      </c>
      <c r="F2334" s="106" t="str">
        <f t="shared" si="260"/>
        <v/>
      </c>
      <c r="G2334" s="86"/>
      <c r="H2334" s="107">
        <f t="shared" si="255"/>
        <v>0</v>
      </c>
      <c r="I2334" s="107">
        <f t="shared" si="256"/>
        <v>0</v>
      </c>
      <c r="J2334" s="87">
        <f>IF($D2334&gt;0,IFERROR(Параметры!$D$42*$H2334/$H$2408,0),0)</f>
        <v>0</v>
      </c>
      <c r="K2334" s="87">
        <f>IFERROR(ROUND($N2334*Параметры!$D$36,2),0)</f>
        <v>0</v>
      </c>
      <c r="L2334" s="87">
        <f t="shared" si="257"/>
        <v>0</v>
      </c>
      <c r="M2334" s="87">
        <f t="shared" si="258"/>
        <v>0</v>
      </c>
      <c r="N2334" s="107" t="str">
        <f t="shared" si="259"/>
        <v/>
      </c>
    </row>
    <row r="2335" spans="2:14" x14ac:dyDescent="0.25">
      <c r="B2335" s="82">
        <f>SUBTOTAL(103,$D$8:D2335)</f>
        <v>2328</v>
      </c>
      <c r="C2335" s="83" t="s">
        <v>2333</v>
      </c>
      <c r="D2335" s="84">
        <v>0</v>
      </c>
      <c r="E2335" s="85" t="str">
        <f t="shared" si="254"/>
        <v/>
      </c>
      <c r="F2335" s="106" t="str">
        <f t="shared" si="260"/>
        <v/>
      </c>
      <c r="G2335" s="86"/>
      <c r="H2335" s="107">
        <f t="shared" si="255"/>
        <v>0</v>
      </c>
      <c r="I2335" s="107">
        <f t="shared" si="256"/>
        <v>0</v>
      </c>
      <c r="J2335" s="87">
        <f>IF($D2335&gt;0,IFERROR(Параметры!$D$42*$H2335/$H$2408,0),0)</f>
        <v>0</v>
      </c>
      <c r="K2335" s="87">
        <f>IFERROR(ROUND($N2335*Параметры!$D$36,2),0)</f>
        <v>0</v>
      </c>
      <c r="L2335" s="87">
        <f t="shared" si="257"/>
        <v>0</v>
      </c>
      <c r="M2335" s="87">
        <f t="shared" si="258"/>
        <v>0</v>
      </c>
      <c r="N2335" s="107" t="str">
        <f t="shared" si="259"/>
        <v/>
      </c>
    </row>
    <row r="2336" spans="2:14" x14ac:dyDescent="0.25">
      <c r="B2336" s="82">
        <f>SUBTOTAL(103,$D$8:D2336)</f>
        <v>2329</v>
      </c>
      <c r="C2336" s="83" t="s">
        <v>2334</v>
      </c>
      <c r="D2336" s="84">
        <v>0</v>
      </c>
      <c r="E2336" s="85" t="str">
        <f t="shared" si="254"/>
        <v/>
      </c>
      <c r="F2336" s="106" t="str">
        <f t="shared" si="260"/>
        <v/>
      </c>
      <c r="G2336" s="86"/>
      <c r="H2336" s="107">
        <f t="shared" si="255"/>
        <v>0</v>
      </c>
      <c r="I2336" s="107">
        <f t="shared" si="256"/>
        <v>0</v>
      </c>
      <c r="J2336" s="87">
        <f>IF($D2336&gt;0,IFERROR(Параметры!$D$42*$H2336/$H$2408,0),0)</f>
        <v>0</v>
      </c>
      <c r="K2336" s="87">
        <f>IFERROR(ROUND($N2336*Параметры!$D$36,2),0)</f>
        <v>0</v>
      </c>
      <c r="L2336" s="87">
        <f t="shared" si="257"/>
        <v>0</v>
      </c>
      <c r="M2336" s="87">
        <f t="shared" si="258"/>
        <v>0</v>
      </c>
      <c r="N2336" s="107" t="str">
        <f t="shared" si="259"/>
        <v/>
      </c>
    </row>
    <row r="2337" spans="2:14" x14ac:dyDescent="0.25">
      <c r="B2337" s="82">
        <f>SUBTOTAL(103,$D$8:D2337)</f>
        <v>2330</v>
      </c>
      <c r="C2337" s="83" t="s">
        <v>2335</v>
      </c>
      <c r="D2337" s="84">
        <v>0</v>
      </c>
      <c r="E2337" s="85" t="str">
        <f t="shared" si="254"/>
        <v/>
      </c>
      <c r="F2337" s="106" t="str">
        <f t="shared" si="260"/>
        <v/>
      </c>
      <c r="G2337" s="86"/>
      <c r="H2337" s="107">
        <f t="shared" si="255"/>
        <v>0</v>
      </c>
      <c r="I2337" s="107">
        <f t="shared" si="256"/>
        <v>0</v>
      </c>
      <c r="J2337" s="87">
        <f>IF($D2337&gt;0,IFERROR(Параметры!$D$42*$H2337/$H$2408,0),0)</f>
        <v>0</v>
      </c>
      <c r="K2337" s="87">
        <f>IFERROR(ROUND($N2337*Параметры!$D$36,2),0)</f>
        <v>0</v>
      </c>
      <c r="L2337" s="87">
        <f t="shared" si="257"/>
        <v>0</v>
      </c>
      <c r="M2337" s="87">
        <f t="shared" si="258"/>
        <v>0</v>
      </c>
      <c r="N2337" s="107" t="str">
        <f t="shared" si="259"/>
        <v/>
      </c>
    </row>
    <row r="2338" spans="2:14" x14ac:dyDescent="0.25">
      <c r="B2338" s="82">
        <f>SUBTOTAL(103,$D$8:D2338)</f>
        <v>2331</v>
      </c>
      <c r="C2338" s="83" t="s">
        <v>2336</v>
      </c>
      <c r="D2338" s="84">
        <v>0</v>
      </c>
      <c r="E2338" s="85" t="str">
        <f t="shared" si="254"/>
        <v/>
      </c>
      <c r="F2338" s="106" t="str">
        <f t="shared" si="260"/>
        <v/>
      </c>
      <c r="G2338" s="86"/>
      <c r="H2338" s="107">
        <f t="shared" si="255"/>
        <v>0</v>
      </c>
      <c r="I2338" s="107">
        <f t="shared" si="256"/>
        <v>0</v>
      </c>
      <c r="J2338" s="87">
        <f>IF($D2338&gt;0,IFERROR(Параметры!$D$42*$H2338/$H$2408,0),0)</f>
        <v>0</v>
      </c>
      <c r="K2338" s="87">
        <f>IFERROR(ROUND($N2338*Параметры!$D$36,2),0)</f>
        <v>0</v>
      </c>
      <c r="L2338" s="87">
        <f t="shared" si="257"/>
        <v>0</v>
      </c>
      <c r="M2338" s="87">
        <f t="shared" si="258"/>
        <v>0</v>
      </c>
      <c r="N2338" s="107" t="str">
        <f t="shared" si="259"/>
        <v/>
      </c>
    </row>
    <row r="2339" spans="2:14" x14ac:dyDescent="0.25">
      <c r="B2339" s="82">
        <f>SUBTOTAL(103,$D$8:D2339)</f>
        <v>2332</v>
      </c>
      <c r="C2339" s="83" t="s">
        <v>2337</v>
      </c>
      <c r="D2339" s="84">
        <v>0</v>
      </c>
      <c r="E2339" s="85" t="str">
        <f t="shared" si="254"/>
        <v/>
      </c>
      <c r="F2339" s="106" t="str">
        <f t="shared" si="260"/>
        <v/>
      </c>
      <c r="G2339" s="86"/>
      <c r="H2339" s="107">
        <f t="shared" si="255"/>
        <v>0</v>
      </c>
      <c r="I2339" s="107">
        <f t="shared" si="256"/>
        <v>0</v>
      </c>
      <c r="J2339" s="87">
        <f>IF($D2339&gt;0,IFERROR(Параметры!$D$42*$H2339/$H$2408,0),0)</f>
        <v>0</v>
      </c>
      <c r="K2339" s="87">
        <f>IFERROR(ROUND($N2339*Параметры!$D$36,2),0)</f>
        <v>0</v>
      </c>
      <c r="L2339" s="87">
        <f t="shared" si="257"/>
        <v>0</v>
      </c>
      <c r="M2339" s="87">
        <f t="shared" si="258"/>
        <v>0</v>
      </c>
      <c r="N2339" s="107" t="str">
        <f t="shared" si="259"/>
        <v/>
      </c>
    </row>
    <row r="2340" spans="2:14" x14ac:dyDescent="0.25">
      <c r="B2340" s="82">
        <f>SUBTOTAL(103,$D$8:D2340)</f>
        <v>2333</v>
      </c>
      <c r="C2340" s="83" t="s">
        <v>2338</v>
      </c>
      <c r="D2340" s="84">
        <v>0</v>
      </c>
      <c r="E2340" s="85" t="str">
        <f t="shared" si="254"/>
        <v/>
      </c>
      <c r="F2340" s="106" t="str">
        <f t="shared" si="260"/>
        <v/>
      </c>
      <c r="G2340" s="86"/>
      <c r="H2340" s="107">
        <f t="shared" si="255"/>
        <v>0</v>
      </c>
      <c r="I2340" s="107">
        <f t="shared" si="256"/>
        <v>0</v>
      </c>
      <c r="J2340" s="87">
        <f>IF($D2340&gt;0,IFERROR(Параметры!$D$42*$H2340/$H$2408,0),0)</f>
        <v>0</v>
      </c>
      <c r="K2340" s="87">
        <f>IFERROR(ROUND($N2340*Параметры!$D$36,2),0)</f>
        <v>0</v>
      </c>
      <c r="L2340" s="87">
        <f t="shared" si="257"/>
        <v>0</v>
      </c>
      <c r="M2340" s="87">
        <f t="shared" si="258"/>
        <v>0</v>
      </c>
      <c r="N2340" s="107" t="str">
        <f t="shared" si="259"/>
        <v/>
      </c>
    </row>
    <row r="2341" spans="2:14" x14ac:dyDescent="0.25">
      <c r="B2341" s="82">
        <f>SUBTOTAL(103,$D$8:D2341)</f>
        <v>2334</v>
      </c>
      <c r="C2341" s="83" t="s">
        <v>2339</v>
      </c>
      <c r="D2341" s="84">
        <v>0</v>
      </c>
      <c r="E2341" s="85" t="str">
        <f t="shared" si="254"/>
        <v/>
      </c>
      <c r="F2341" s="106" t="str">
        <f t="shared" si="260"/>
        <v/>
      </c>
      <c r="G2341" s="86"/>
      <c r="H2341" s="107">
        <f t="shared" si="255"/>
        <v>0</v>
      </c>
      <c r="I2341" s="107">
        <f t="shared" si="256"/>
        <v>0</v>
      </c>
      <c r="J2341" s="87">
        <f>IF($D2341&gt;0,IFERROR(Параметры!$D$42*$H2341/$H$2408,0),0)</f>
        <v>0</v>
      </c>
      <c r="K2341" s="87">
        <f>IFERROR(ROUND($N2341*Параметры!$D$36,2),0)</f>
        <v>0</v>
      </c>
      <c r="L2341" s="87">
        <f t="shared" si="257"/>
        <v>0</v>
      </c>
      <c r="M2341" s="87">
        <f t="shared" si="258"/>
        <v>0</v>
      </c>
      <c r="N2341" s="107" t="str">
        <f t="shared" si="259"/>
        <v/>
      </c>
    </row>
    <row r="2342" spans="2:14" x14ac:dyDescent="0.25">
      <c r="B2342" s="82">
        <f>SUBTOTAL(103,$D$8:D2342)</f>
        <v>2335</v>
      </c>
      <c r="C2342" s="83" t="s">
        <v>2340</v>
      </c>
      <c r="D2342" s="84">
        <v>0</v>
      </c>
      <c r="E2342" s="85" t="str">
        <f t="shared" si="254"/>
        <v/>
      </c>
      <c r="F2342" s="106" t="str">
        <f t="shared" si="260"/>
        <v/>
      </c>
      <c r="G2342" s="86"/>
      <c r="H2342" s="107">
        <f t="shared" si="255"/>
        <v>0</v>
      </c>
      <c r="I2342" s="107">
        <f t="shared" si="256"/>
        <v>0</v>
      </c>
      <c r="J2342" s="87">
        <f>IF($D2342&gt;0,IFERROR(Параметры!$D$42*$H2342/$H$2408,0),0)</f>
        <v>0</v>
      </c>
      <c r="K2342" s="87">
        <f>IFERROR(ROUND($N2342*Параметры!$D$36,2),0)</f>
        <v>0</v>
      </c>
      <c r="L2342" s="87">
        <f t="shared" si="257"/>
        <v>0</v>
      </c>
      <c r="M2342" s="87">
        <f t="shared" si="258"/>
        <v>0</v>
      </c>
      <c r="N2342" s="107" t="str">
        <f t="shared" si="259"/>
        <v/>
      </c>
    </row>
    <row r="2343" spans="2:14" x14ac:dyDescent="0.25">
      <c r="B2343" s="82">
        <f>SUBTOTAL(103,$D$8:D2343)</f>
        <v>2336</v>
      </c>
      <c r="C2343" s="83" t="s">
        <v>2341</v>
      </c>
      <c r="D2343" s="84">
        <v>0</v>
      </c>
      <c r="E2343" s="85" t="str">
        <f t="shared" si="254"/>
        <v/>
      </c>
      <c r="F2343" s="106" t="str">
        <f t="shared" si="260"/>
        <v/>
      </c>
      <c r="G2343" s="86"/>
      <c r="H2343" s="107">
        <f t="shared" si="255"/>
        <v>0</v>
      </c>
      <c r="I2343" s="107">
        <f t="shared" si="256"/>
        <v>0</v>
      </c>
      <c r="J2343" s="87">
        <f>IF($D2343&gt;0,IFERROR(Параметры!$D$42*$H2343/$H$2408,0),0)</f>
        <v>0</v>
      </c>
      <c r="K2343" s="87">
        <f>IFERROR(ROUND($N2343*Параметры!$D$36,2),0)</f>
        <v>0</v>
      </c>
      <c r="L2343" s="87">
        <f t="shared" si="257"/>
        <v>0</v>
      </c>
      <c r="M2343" s="87">
        <f t="shared" si="258"/>
        <v>0</v>
      </c>
      <c r="N2343" s="107" t="str">
        <f t="shared" si="259"/>
        <v/>
      </c>
    </row>
    <row r="2344" spans="2:14" x14ac:dyDescent="0.25">
      <c r="B2344" s="82">
        <f>SUBTOTAL(103,$D$8:D2344)</f>
        <v>2337</v>
      </c>
      <c r="C2344" s="83" t="s">
        <v>2342</v>
      </c>
      <c r="D2344" s="84">
        <v>0</v>
      </c>
      <c r="E2344" s="85" t="str">
        <f t="shared" si="254"/>
        <v/>
      </c>
      <c r="F2344" s="106" t="str">
        <f t="shared" si="260"/>
        <v/>
      </c>
      <c r="G2344" s="86"/>
      <c r="H2344" s="107">
        <f t="shared" si="255"/>
        <v>0</v>
      </c>
      <c r="I2344" s="107">
        <f t="shared" si="256"/>
        <v>0</v>
      </c>
      <c r="J2344" s="87">
        <f>IF($D2344&gt;0,IFERROR(Параметры!$D$42*$H2344/$H$2408,0),0)</f>
        <v>0</v>
      </c>
      <c r="K2344" s="87">
        <f>IFERROR(ROUND($N2344*Параметры!$D$36,2),0)</f>
        <v>0</v>
      </c>
      <c r="L2344" s="87">
        <f t="shared" si="257"/>
        <v>0</v>
      </c>
      <c r="M2344" s="87">
        <f t="shared" si="258"/>
        <v>0</v>
      </c>
      <c r="N2344" s="107" t="str">
        <f t="shared" si="259"/>
        <v/>
      </c>
    </row>
    <row r="2345" spans="2:14" x14ac:dyDescent="0.25">
      <c r="B2345" s="82">
        <f>SUBTOTAL(103,$D$8:D2345)</f>
        <v>2338</v>
      </c>
      <c r="C2345" s="83" t="s">
        <v>2343</v>
      </c>
      <c r="D2345" s="84">
        <v>0</v>
      </c>
      <c r="E2345" s="85" t="str">
        <f t="shared" si="254"/>
        <v/>
      </c>
      <c r="F2345" s="106" t="str">
        <f t="shared" si="260"/>
        <v/>
      </c>
      <c r="G2345" s="86"/>
      <c r="H2345" s="107">
        <f t="shared" si="255"/>
        <v>0</v>
      </c>
      <c r="I2345" s="107">
        <f t="shared" si="256"/>
        <v>0</v>
      </c>
      <c r="J2345" s="87">
        <f>IF($D2345&gt;0,IFERROR(Параметры!$D$42*$H2345/$H$2408,0),0)</f>
        <v>0</v>
      </c>
      <c r="K2345" s="87">
        <f>IFERROR(ROUND($N2345*Параметры!$D$36,2),0)</f>
        <v>0</v>
      </c>
      <c r="L2345" s="87">
        <f t="shared" si="257"/>
        <v>0</v>
      </c>
      <c r="M2345" s="87">
        <f t="shared" si="258"/>
        <v>0</v>
      </c>
      <c r="N2345" s="107" t="str">
        <f t="shared" si="259"/>
        <v/>
      </c>
    </row>
    <row r="2346" spans="2:14" x14ac:dyDescent="0.25">
      <c r="B2346" s="82">
        <f>SUBTOTAL(103,$D$8:D2346)</f>
        <v>2339</v>
      </c>
      <c r="C2346" s="83" t="s">
        <v>2344</v>
      </c>
      <c r="D2346" s="84">
        <v>0</v>
      </c>
      <c r="E2346" s="85" t="str">
        <f t="shared" si="254"/>
        <v/>
      </c>
      <c r="F2346" s="106" t="str">
        <f t="shared" si="260"/>
        <v/>
      </c>
      <c r="G2346" s="86"/>
      <c r="H2346" s="107">
        <f t="shared" si="255"/>
        <v>0</v>
      </c>
      <c r="I2346" s="107">
        <f t="shared" si="256"/>
        <v>0</v>
      </c>
      <c r="J2346" s="87">
        <f>IF($D2346&gt;0,IFERROR(Параметры!$D$42*$H2346/$H$2408,0),0)</f>
        <v>0</v>
      </c>
      <c r="K2346" s="87">
        <f>IFERROR(ROUND($N2346*Параметры!$D$36,2),0)</f>
        <v>0</v>
      </c>
      <c r="L2346" s="87">
        <f t="shared" si="257"/>
        <v>0</v>
      </c>
      <c r="M2346" s="87">
        <f t="shared" si="258"/>
        <v>0</v>
      </c>
      <c r="N2346" s="107" t="str">
        <f t="shared" si="259"/>
        <v/>
      </c>
    </row>
    <row r="2347" spans="2:14" x14ac:dyDescent="0.25">
      <c r="B2347" s="82">
        <f>SUBTOTAL(103,$D$8:D2347)</f>
        <v>2340</v>
      </c>
      <c r="C2347" s="83" t="s">
        <v>2345</v>
      </c>
      <c r="D2347" s="84">
        <v>0</v>
      </c>
      <c r="E2347" s="85" t="str">
        <f t="shared" si="254"/>
        <v/>
      </c>
      <c r="F2347" s="106" t="str">
        <f t="shared" si="260"/>
        <v/>
      </c>
      <c r="G2347" s="86"/>
      <c r="H2347" s="107">
        <f t="shared" si="255"/>
        <v>0</v>
      </c>
      <c r="I2347" s="107">
        <f t="shared" si="256"/>
        <v>0</v>
      </c>
      <c r="J2347" s="87">
        <f>IF($D2347&gt;0,IFERROR(Параметры!$D$42*$H2347/$H$2408,0),0)</f>
        <v>0</v>
      </c>
      <c r="K2347" s="87">
        <f>IFERROR(ROUND($N2347*Параметры!$D$36,2),0)</f>
        <v>0</v>
      </c>
      <c r="L2347" s="87">
        <f t="shared" si="257"/>
        <v>0</v>
      </c>
      <c r="M2347" s="87">
        <f t="shared" si="258"/>
        <v>0</v>
      </c>
      <c r="N2347" s="107" t="str">
        <f t="shared" si="259"/>
        <v/>
      </c>
    </row>
    <row r="2348" spans="2:14" x14ac:dyDescent="0.25">
      <c r="B2348" s="82">
        <f>SUBTOTAL(103,$D$8:D2348)</f>
        <v>2341</v>
      </c>
      <c r="C2348" s="83" t="s">
        <v>2346</v>
      </c>
      <c r="D2348" s="84">
        <f t="array" ref="D2348:D2407">TRANSPOSE('Зарядная карта'!$C$44:$BJ$44)</f>
        <v>0</v>
      </c>
      <c r="E2348" s="85" t="str">
        <f t="shared" si="254"/>
        <v/>
      </c>
      <c r="F2348" s="106" t="str">
        <f t="shared" si="260"/>
        <v/>
      </c>
      <c r="G2348" s="86"/>
      <c r="H2348" s="107">
        <f t="shared" si="255"/>
        <v>0</v>
      </c>
      <c r="I2348" s="107">
        <f t="shared" si="256"/>
        <v>0</v>
      </c>
      <c r="J2348" s="87">
        <f>IF($D2348&gt;0,IFERROR(Параметры!$D$42*$H2348/$H$2408,0),0)</f>
        <v>0</v>
      </c>
      <c r="K2348" s="87">
        <f>IFERROR(ROUND($N2348*Параметры!$D$36,2),0)</f>
        <v>0</v>
      </c>
      <c r="L2348" s="87">
        <f t="shared" si="257"/>
        <v>0</v>
      </c>
      <c r="M2348" s="87">
        <f t="shared" si="258"/>
        <v>0</v>
      </c>
      <c r="N2348" s="107" t="str">
        <f t="shared" si="259"/>
        <v/>
      </c>
    </row>
    <row r="2349" spans="2:14" x14ac:dyDescent="0.25">
      <c r="B2349" s="82">
        <f>SUBTOTAL(103,$D$8:D2349)</f>
        <v>2342</v>
      </c>
      <c r="C2349" s="83" t="s">
        <v>2347</v>
      </c>
      <c r="D2349" s="84">
        <v>0</v>
      </c>
      <c r="E2349" s="85" t="str">
        <f t="shared" si="254"/>
        <v/>
      </c>
      <c r="F2349" s="106" t="str">
        <f t="shared" si="260"/>
        <v/>
      </c>
      <c r="G2349" s="86"/>
      <c r="H2349" s="107">
        <f t="shared" si="255"/>
        <v>0</v>
      </c>
      <c r="I2349" s="107">
        <f t="shared" si="256"/>
        <v>0</v>
      </c>
      <c r="J2349" s="87">
        <f>IF($D2349&gt;0,IFERROR(Параметры!$D$42*$H2349/$H$2408,0),0)</f>
        <v>0</v>
      </c>
      <c r="K2349" s="87">
        <f>IFERROR(ROUND($N2349*Параметры!$D$36,2),0)</f>
        <v>0</v>
      </c>
      <c r="L2349" s="87">
        <f t="shared" si="257"/>
        <v>0</v>
      </c>
      <c r="M2349" s="87">
        <f t="shared" si="258"/>
        <v>0</v>
      </c>
      <c r="N2349" s="107" t="str">
        <f t="shared" si="259"/>
        <v/>
      </c>
    </row>
    <row r="2350" spans="2:14" x14ac:dyDescent="0.25">
      <c r="B2350" s="82">
        <f>SUBTOTAL(103,$D$8:D2350)</f>
        <v>2343</v>
      </c>
      <c r="C2350" s="83" t="s">
        <v>2348</v>
      </c>
      <c r="D2350" s="84">
        <v>0</v>
      </c>
      <c r="E2350" s="85" t="str">
        <f t="shared" si="254"/>
        <v/>
      </c>
      <c r="F2350" s="106" t="str">
        <f t="shared" si="260"/>
        <v/>
      </c>
      <c r="G2350" s="86"/>
      <c r="H2350" s="107">
        <f t="shared" si="255"/>
        <v>0</v>
      </c>
      <c r="I2350" s="107">
        <f t="shared" si="256"/>
        <v>0</v>
      </c>
      <c r="J2350" s="87">
        <f>IF($D2350&gt;0,IFERROR(Параметры!$D$42*$H2350/$H$2408,0),0)</f>
        <v>0</v>
      </c>
      <c r="K2350" s="87">
        <f>IFERROR(ROUND($N2350*Параметры!$D$36,2),0)</f>
        <v>0</v>
      </c>
      <c r="L2350" s="87">
        <f t="shared" si="257"/>
        <v>0</v>
      </c>
      <c r="M2350" s="87">
        <f t="shared" si="258"/>
        <v>0</v>
      </c>
      <c r="N2350" s="107" t="str">
        <f t="shared" si="259"/>
        <v/>
      </c>
    </row>
    <row r="2351" spans="2:14" x14ac:dyDescent="0.25">
      <c r="B2351" s="82">
        <f>SUBTOTAL(103,$D$8:D2351)</f>
        <v>2344</v>
      </c>
      <c r="C2351" s="83" t="s">
        <v>2349</v>
      </c>
      <c r="D2351" s="84">
        <v>0</v>
      </c>
      <c r="E2351" s="85" t="str">
        <f t="shared" si="254"/>
        <v/>
      </c>
      <c r="F2351" s="106" t="str">
        <f t="shared" si="260"/>
        <v/>
      </c>
      <c r="G2351" s="86"/>
      <c r="H2351" s="107">
        <f t="shared" si="255"/>
        <v>0</v>
      </c>
      <c r="I2351" s="107">
        <f t="shared" si="256"/>
        <v>0</v>
      </c>
      <c r="J2351" s="87">
        <f>IF($D2351&gt;0,IFERROR(Параметры!$D$42*$H2351/$H$2408,0),0)</f>
        <v>0</v>
      </c>
      <c r="K2351" s="87">
        <f>IFERROR(ROUND($N2351*Параметры!$D$36,2),0)</f>
        <v>0</v>
      </c>
      <c r="L2351" s="87">
        <f t="shared" si="257"/>
        <v>0</v>
      </c>
      <c r="M2351" s="87">
        <f t="shared" si="258"/>
        <v>0</v>
      </c>
      <c r="N2351" s="107" t="str">
        <f t="shared" si="259"/>
        <v/>
      </c>
    </row>
    <row r="2352" spans="2:14" x14ac:dyDescent="0.25">
      <c r="B2352" s="82">
        <f>SUBTOTAL(103,$D$8:D2352)</f>
        <v>2345</v>
      </c>
      <c r="C2352" s="83" t="s">
        <v>2350</v>
      </c>
      <c r="D2352" s="84">
        <v>0</v>
      </c>
      <c r="E2352" s="85" t="str">
        <f t="shared" si="254"/>
        <v/>
      </c>
      <c r="F2352" s="106" t="str">
        <f t="shared" si="260"/>
        <v/>
      </c>
      <c r="G2352" s="86"/>
      <c r="H2352" s="107">
        <f t="shared" si="255"/>
        <v>0</v>
      </c>
      <c r="I2352" s="107">
        <f t="shared" si="256"/>
        <v>0</v>
      </c>
      <c r="J2352" s="87">
        <f>IF($D2352&gt;0,IFERROR(Параметры!$D$42*$H2352/$H$2408,0),0)</f>
        <v>0</v>
      </c>
      <c r="K2352" s="87">
        <f>IFERROR(ROUND($N2352*Параметры!$D$36,2),0)</f>
        <v>0</v>
      </c>
      <c r="L2352" s="87">
        <f t="shared" si="257"/>
        <v>0</v>
      </c>
      <c r="M2352" s="87">
        <f t="shared" si="258"/>
        <v>0</v>
      </c>
      <c r="N2352" s="107" t="str">
        <f t="shared" si="259"/>
        <v/>
      </c>
    </row>
    <row r="2353" spans="2:14" x14ac:dyDescent="0.25">
      <c r="B2353" s="82">
        <f>SUBTOTAL(103,$D$8:D2353)</f>
        <v>2346</v>
      </c>
      <c r="C2353" s="83" t="s">
        <v>2351</v>
      </c>
      <c r="D2353" s="84">
        <v>0</v>
      </c>
      <c r="E2353" s="85" t="str">
        <f t="shared" si="254"/>
        <v/>
      </c>
      <c r="F2353" s="106" t="str">
        <f t="shared" si="260"/>
        <v/>
      </c>
      <c r="G2353" s="86"/>
      <c r="H2353" s="107">
        <f t="shared" si="255"/>
        <v>0</v>
      </c>
      <c r="I2353" s="107">
        <f t="shared" si="256"/>
        <v>0</v>
      </c>
      <c r="J2353" s="87">
        <f>IF($D2353&gt;0,IFERROR(Параметры!$D$42*$H2353/$H$2408,0),0)</f>
        <v>0</v>
      </c>
      <c r="K2353" s="87">
        <f>IFERROR(ROUND($N2353*Параметры!$D$36,2),0)</f>
        <v>0</v>
      </c>
      <c r="L2353" s="87">
        <f t="shared" si="257"/>
        <v>0</v>
      </c>
      <c r="M2353" s="87">
        <f t="shared" si="258"/>
        <v>0</v>
      </c>
      <c r="N2353" s="107" t="str">
        <f t="shared" si="259"/>
        <v/>
      </c>
    </row>
    <row r="2354" spans="2:14" x14ac:dyDescent="0.25">
      <c r="B2354" s="82">
        <f>SUBTOTAL(103,$D$8:D2354)</f>
        <v>2347</v>
      </c>
      <c r="C2354" s="83" t="s">
        <v>2352</v>
      </c>
      <c r="D2354" s="84">
        <v>0</v>
      </c>
      <c r="E2354" s="85" t="str">
        <f t="shared" si="254"/>
        <v/>
      </c>
      <c r="F2354" s="106" t="str">
        <f t="shared" si="260"/>
        <v/>
      </c>
      <c r="G2354" s="86"/>
      <c r="H2354" s="107">
        <f t="shared" si="255"/>
        <v>0</v>
      </c>
      <c r="I2354" s="107">
        <f t="shared" si="256"/>
        <v>0</v>
      </c>
      <c r="J2354" s="87">
        <f>IF($D2354&gt;0,IFERROR(Параметры!$D$42*$H2354/$H$2408,0),0)</f>
        <v>0</v>
      </c>
      <c r="K2354" s="87">
        <f>IFERROR(ROUND($N2354*Параметры!$D$36,2),0)</f>
        <v>0</v>
      </c>
      <c r="L2354" s="87">
        <f t="shared" si="257"/>
        <v>0</v>
      </c>
      <c r="M2354" s="87">
        <f t="shared" si="258"/>
        <v>0</v>
      </c>
      <c r="N2354" s="107" t="str">
        <f t="shared" si="259"/>
        <v/>
      </c>
    </row>
    <row r="2355" spans="2:14" x14ac:dyDescent="0.25">
      <c r="B2355" s="82">
        <f>SUBTOTAL(103,$D$8:D2355)</f>
        <v>2348</v>
      </c>
      <c r="C2355" s="83" t="s">
        <v>2353</v>
      </c>
      <c r="D2355" s="84">
        <v>0</v>
      </c>
      <c r="E2355" s="85" t="str">
        <f t="shared" si="254"/>
        <v/>
      </c>
      <c r="F2355" s="106" t="str">
        <f t="shared" si="260"/>
        <v/>
      </c>
      <c r="G2355" s="86"/>
      <c r="H2355" s="107">
        <f t="shared" si="255"/>
        <v>0</v>
      </c>
      <c r="I2355" s="107">
        <f t="shared" si="256"/>
        <v>0</v>
      </c>
      <c r="J2355" s="87">
        <f>IF($D2355&gt;0,IFERROR(Параметры!$D$42*$H2355/$H$2408,0),0)</f>
        <v>0</v>
      </c>
      <c r="K2355" s="87">
        <f>IFERROR(ROUND($N2355*Параметры!$D$36,2),0)</f>
        <v>0</v>
      </c>
      <c r="L2355" s="87">
        <f t="shared" si="257"/>
        <v>0</v>
      </c>
      <c r="M2355" s="87">
        <f t="shared" si="258"/>
        <v>0</v>
      </c>
      <c r="N2355" s="107" t="str">
        <f t="shared" si="259"/>
        <v/>
      </c>
    </row>
    <row r="2356" spans="2:14" x14ac:dyDescent="0.25">
      <c r="B2356" s="82">
        <f>SUBTOTAL(103,$D$8:D2356)</f>
        <v>2349</v>
      </c>
      <c r="C2356" s="83" t="s">
        <v>2354</v>
      </c>
      <c r="D2356" s="84">
        <v>0</v>
      </c>
      <c r="E2356" s="85" t="str">
        <f t="shared" si="254"/>
        <v/>
      </c>
      <c r="F2356" s="106" t="str">
        <f t="shared" si="260"/>
        <v/>
      </c>
      <c r="G2356" s="86"/>
      <c r="H2356" s="107">
        <f t="shared" si="255"/>
        <v>0</v>
      </c>
      <c r="I2356" s="107">
        <f t="shared" si="256"/>
        <v>0</v>
      </c>
      <c r="J2356" s="87">
        <f>IF($D2356&gt;0,IFERROR(Параметры!$D$42*$H2356/$H$2408,0),0)</f>
        <v>0</v>
      </c>
      <c r="K2356" s="87">
        <f>IFERROR(ROUND($N2356*Параметры!$D$36,2),0)</f>
        <v>0</v>
      </c>
      <c r="L2356" s="87">
        <f t="shared" si="257"/>
        <v>0</v>
      </c>
      <c r="M2356" s="87">
        <f t="shared" si="258"/>
        <v>0</v>
      </c>
      <c r="N2356" s="107" t="str">
        <f t="shared" si="259"/>
        <v/>
      </c>
    </row>
    <row r="2357" spans="2:14" x14ac:dyDescent="0.25">
      <c r="B2357" s="82">
        <f>SUBTOTAL(103,$D$8:D2357)</f>
        <v>2350</v>
      </c>
      <c r="C2357" s="83" t="s">
        <v>2355</v>
      </c>
      <c r="D2357" s="84">
        <v>0</v>
      </c>
      <c r="E2357" s="85" t="str">
        <f t="shared" si="254"/>
        <v/>
      </c>
      <c r="F2357" s="106" t="str">
        <f t="shared" si="260"/>
        <v/>
      </c>
      <c r="G2357" s="86"/>
      <c r="H2357" s="107">
        <f t="shared" si="255"/>
        <v>0</v>
      </c>
      <c r="I2357" s="107">
        <f t="shared" si="256"/>
        <v>0</v>
      </c>
      <c r="J2357" s="87">
        <f>IF($D2357&gt;0,IFERROR(Параметры!$D$42*$H2357/$H$2408,0),0)</f>
        <v>0</v>
      </c>
      <c r="K2357" s="87">
        <f>IFERROR(ROUND($N2357*Параметры!$D$36,2),0)</f>
        <v>0</v>
      </c>
      <c r="L2357" s="87">
        <f t="shared" si="257"/>
        <v>0</v>
      </c>
      <c r="M2357" s="87">
        <f t="shared" si="258"/>
        <v>0</v>
      </c>
      <c r="N2357" s="107" t="str">
        <f t="shared" si="259"/>
        <v/>
      </c>
    </row>
    <row r="2358" spans="2:14" x14ac:dyDescent="0.25">
      <c r="B2358" s="82">
        <f>SUBTOTAL(103,$D$8:D2358)</f>
        <v>2351</v>
      </c>
      <c r="C2358" s="83" t="s">
        <v>2356</v>
      </c>
      <c r="D2358" s="84">
        <v>0</v>
      </c>
      <c r="E2358" s="85" t="str">
        <f t="shared" si="254"/>
        <v/>
      </c>
      <c r="F2358" s="106" t="str">
        <f t="shared" si="260"/>
        <v/>
      </c>
      <c r="G2358" s="86"/>
      <c r="H2358" s="107">
        <f t="shared" si="255"/>
        <v>0</v>
      </c>
      <c r="I2358" s="107">
        <f t="shared" si="256"/>
        <v>0</v>
      </c>
      <c r="J2358" s="87">
        <f>IF($D2358&gt;0,IFERROR(Параметры!$D$42*$H2358/$H$2408,0),0)</f>
        <v>0</v>
      </c>
      <c r="K2358" s="87">
        <f>IFERROR(ROUND($N2358*Параметры!$D$36,2),0)</f>
        <v>0</v>
      </c>
      <c r="L2358" s="87">
        <f t="shared" si="257"/>
        <v>0</v>
      </c>
      <c r="M2358" s="87">
        <f t="shared" si="258"/>
        <v>0</v>
      </c>
      <c r="N2358" s="107" t="str">
        <f t="shared" si="259"/>
        <v/>
      </c>
    </row>
    <row r="2359" spans="2:14" x14ac:dyDescent="0.25">
      <c r="B2359" s="82">
        <f>SUBTOTAL(103,$D$8:D2359)</f>
        <v>2352</v>
      </c>
      <c r="C2359" s="83" t="s">
        <v>2357</v>
      </c>
      <c r="D2359" s="84">
        <v>0</v>
      </c>
      <c r="E2359" s="85" t="str">
        <f t="shared" si="254"/>
        <v/>
      </c>
      <c r="F2359" s="106" t="str">
        <f t="shared" si="260"/>
        <v/>
      </c>
      <c r="G2359" s="86"/>
      <c r="H2359" s="107">
        <f t="shared" si="255"/>
        <v>0</v>
      </c>
      <c r="I2359" s="107">
        <f t="shared" si="256"/>
        <v>0</v>
      </c>
      <c r="J2359" s="87">
        <f>IF($D2359&gt;0,IFERROR(Параметры!$D$42*$H2359/$H$2408,0),0)</f>
        <v>0</v>
      </c>
      <c r="K2359" s="87">
        <f>IFERROR(ROUND($N2359*Параметры!$D$36,2),0)</f>
        <v>0</v>
      </c>
      <c r="L2359" s="87">
        <f t="shared" si="257"/>
        <v>0</v>
      </c>
      <c r="M2359" s="87">
        <f t="shared" si="258"/>
        <v>0</v>
      </c>
      <c r="N2359" s="107" t="str">
        <f t="shared" si="259"/>
        <v/>
      </c>
    </row>
    <row r="2360" spans="2:14" x14ac:dyDescent="0.25">
      <c r="B2360" s="82">
        <f>SUBTOTAL(103,$D$8:D2360)</f>
        <v>2353</v>
      </c>
      <c r="C2360" s="83" t="s">
        <v>2358</v>
      </c>
      <c r="D2360" s="84">
        <v>0</v>
      </c>
      <c r="E2360" s="85" t="str">
        <f t="shared" si="254"/>
        <v/>
      </c>
      <c r="F2360" s="106" t="str">
        <f t="shared" si="260"/>
        <v/>
      </c>
      <c r="G2360" s="86"/>
      <c r="H2360" s="107">
        <f t="shared" si="255"/>
        <v>0</v>
      </c>
      <c r="I2360" s="107">
        <f t="shared" si="256"/>
        <v>0</v>
      </c>
      <c r="J2360" s="87">
        <f>IF($D2360&gt;0,IFERROR(Параметры!$D$42*$H2360/$H$2408,0),0)</f>
        <v>0</v>
      </c>
      <c r="K2360" s="87">
        <f>IFERROR(ROUND($N2360*Параметры!$D$36,2),0)</f>
        <v>0</v>
      </c>
      <c r="L2360" s="87">
        <f t="shared" si="257"/>
        <v>0</v>
      </c>
      <c r="M2360" s="87">
        <f t="shared" si="258"/>
        <v>0</v>
      </c>
      <c r="N2360" s="107" t="str">
        <f t="shared" si="259"/>
        <v/>
      </c>
    </row>
    <row r="2361" spans="2:14" x14ac:dyDescent="0.25">
      <c r="B2361" s="82">
        <f>SUBTOTAL(103,$D$8:D2361)</f>
        <v>2354</v>
      </c>
      <c r="C2361" s="83" t="s">
        <v>2359</v>
      </c>
      <c r="D2361" s="84">
        <v>0</v>
      </c>
      <c r="E2361" s="85" t="str">
        <f t="shared" si="254"/>
        <v/>
      </c>
      <c r="F2361" s="106" t="str">
        <f t="shared" si="260"/>
        <v/>
      </c>
      <c r="G2361" s="86"/>
      <c r="H2361" s="107">
        <f t="shared" si="255"/>
        <v>0</v>
      </c>
      <c r="I2361" s="107">
        <f t="shared" si="256"/>
        <v>0</v>
      </c>
      <c r="J2361" s="87">
        <f>IF($D2361&gt;0,IFERROR(Параметры!$D$42*$H2361/$H$2408,0),0)</f>
        <v>0</v>
      </c>
      <c r="K2361" s="87">
        <f>IFERROR(ROUND($N2361*Параметры!$D$36,2),0)</f>
        <v>0</v>
      </c>
      <c r="L2361" s="87">
        <f t="shared" si="257"/>
        <v>0</v>
      </c>
      <c r="M2361" s="87">
        <f t="shared" si="258"/>
        <v>0</v>
      </c>
      <c r="N2361" s="107" t="str">
        <f t="shared" si="259"/>
        <v/>
      </c>
    </row>
    <row r="2362" spans="2:14" x14ac:dyDescent="0.25">
      <c r="B2362" s="82">
        <f>SUBTOTAL(103,$D$8:D2362)</f>
        <v>2355</v>
      </c>
      <c r="C2362" s="83" t="s">
        <v>2360</v>
      </c>
      <c r="D2362" s="84">
        <v>0</v>
      </c>
      <c r="E2362" s="85" t="str">
        <f t="shared" si="254"/>
        <v/>
      </c>
      <c r="F2362" s="106" t="str">
        <f t="shared" si="260"/>
        <v/>
      </c>
      <c r="G2362" s="86"/>
      <c r="H2362" s="107">
        <f t="shared" si="255"/>
        <v>0</v>
      </c>
      <c r="I2362" s="107">
        <f t="shared" si="256"/>
        <v>0</v>
      </c>
      <c r="J2362" s="87">
        <f>IF($D2362&gt;0,IFERROR(Параметры!$D$42*$H2362/$H$2408,0),0)</f>
        <v>0</v>
      </c>
      <c r="K2362" s="87">
        <f>IFERROR(ROUND($N2362*Параметры!$D$36,2),0)</f>
        <v>0</v>
      </c>
      <c r="L2362" s="87">
        <f t="shared" si="257"/>
        <v>0</v>
      </c>
      <c r="M2362" s="87">
        <f t="shared" si="258"/>
        <v>0</v>
      </c>
      <c r="N2362" s="107" t="str">
        <f t="shared" si="259"/>
        <v/>
      </c>
    </row>
    <row r="2363" spans="2:14" x14ac:dyDescent="0.25">
      <c r="B2363" s="82">
        <f>SUBTOTAL(103,$D$8:D2363)</f>
        <v>2356</v>
      </c>
      <c r="C2363" s="83" t="s">
        <v>2361</v>
      </c>
      <c r="D2363" s="84">
        <v>0</v>
      </c>
      <c r="E2363" s="85" t="str">
        <f t="shared" si="254"/>
        <v/>
      </c>
      <c r="F2363" s="106" t="str">
        <f t="shared" si="260"/>
        <v/>
      </c>
      <c r="G2363" s="86"/>
      <c r="H2363" s="107">
        <f t="shared" si="255"/>
        <v>0</v>
      </c>
      <c r="I2363" s="107">
        <f t="shared" si="256"/>
        <v>0</v>
      </c>
      <c r="J2363" s="87">
        <f>IF($D2363&gt;0,IFERROR(Параметры!$D$42*$H2363/$H$2408,0),0)</f>
        <v>0</v>
      </c>
      <c r="K2363" s="87">
        <f>IFERROR(ROUND($N2363*Параметры!$D$36,2),0)</f>
        <v>0</v>
      </c>
      <c r="L2363" s="87">
        <f t="shared" si="257"/>
        <v>0</v>
      </c>
      <c r="M2363" s="87">
        <f t="shared" si="258"/>
        <v>0</v>
      </c>
      <c r="N2363" s="107" t="str">
        <f t="shared" si="259"/>
        <v/>
      </c>
    </row>
    <row r="2364" spans="2:14" x14ac:dyDescent="0.25">
      <c r="B2364" s="82">
        <f>SUBTOTAL(103,$D$8:D2364)</f>
        <v>2357</v>
      </c>
      <c r="C2364" s="83" t="s">
        <v>2362</v>
      </c>
      <c r="D2364" s="84">
        <v>0</v>
      </c>
      <c r="E2364" s="85" t="str">
        <f t="shared" si="254"/>
        <v/>
      </c>
      <c r="F2364" s="106" t="str">
        <f t="shared" si="260"/>
        <v/>
      </c>
      <c r="G2364" s="86"/>
      <c r="H2364" s="107">
        <f t="shared" si="255"/>
        <v>0</v>
      </c>
      <c r="I2364" s="107">
        <f t="shared" si="256"/>
        <v>0</v>
      </c>
      <c r="J2364" s="87">
        <f>IF($D2364&gt;0,IFERROR(Параметры!$D$42*$H2364/$H$2408,0),0)</f>
        <v>0</v>
      </c>
      <c r="K2364" s="87">
        <f>IFERROR(ROUND($N2364*Параметры!$D$36,2),0)</f>
        <v>0</v>
      </c>
      <c r="L2364" s="87">
        <f t="shared" si="257"/>
        <v>0</v>
      </c>
      <c r="M2364" s="87">
        <f t="shared" si="258"/>
        <v>0</v>
      </c>
      <c r="N2364" s="107" t="str">
        <f t="shared" si="259"/>
        <v/>
      </c>
    </row>
    <row r="2365" spans="2:14" x14ac:dyDescent="0.25">
      <c r="B2365" s="82">
        <f>SUBTOTAL(103,$D$8:D2365)</f>
        <v>2358</v>
      </c>
      <c r="C2365" s="83" t="s">
        <v>2363</v>
      </c>
      <c r="D2365" s="84">
        <v>0</v>
      </c>
      <c r="E2365" s="85" t="str">
        <f t="shared" si="254"/>
        <v/>
      </c>
      <c r="F2365" s="106" t="str">
        <f t="shared" si="260"/>
        <v/>
      </c>
      <c r="G2365" s="86"/>
      <c r="H2365" s="107">
        <f t="shared" si="255"/>
        <v>0</v>
      </c>
      <c r="I2365" s="107">
        <f t="shared" si="256"/>
        <v>0</v>
      </c>
      <c r="J2365" s="87">
        <f>IF($D2365&gt;0,IFERROR(Параметры!$D$42*$H2365/$H$2408,0),0)</f>
        <v>0</v>
      </c>
      <c r="K2365" s="87">
        <f>IFERROR(ROUND($N2365*Параметры!$D$36,2),0)</f>
        <v>0</v>
      </c>
      <c r="L2365" s="87">
        <f t="shared" si="257"/>
        <v>0</v>
      </c>
      <c r="M2365" s="87">
        <f t="shared" si="258"/>
        <v>0</v>
      </c>
      <c r="N2365" s="107" t="str">
        <f t="shared" si="259"/>
        <v/>
      </c>
    </row>
    <row r="2366" spans="2:14" x14ac:dyDescent="0.25">
      <c r="B2366" s="82">
        <f>SUBTOTAL(103,$D$8:D2366)</f>
        <v>2359</v>
      </c>
      <c r="C2366" s="83" t="s">
        <v>2364</v>
      </c>
      <c r="D2366" s="84">
        <v>0</v>
      </c>
      <c r="E2366" s="85" t="str">
        <f t="shared" si="254"/>
        <v/>
      </c>
      <c r="F2366" s="106" t="str">
        <f t="shared" si="260"/>
        <v/>
      </c>
      <c r="G2366" s="86"/>
      <c r="H2366" s="107">
        <f t="shared" si="255"/>
        <v>0</v>
      </c>
      <c r="I2366" s="107">
        <f t="shared" si="256"/>
        <v>0</v>
      </c>
      <c r="J2366" s="87">
        <f>IF($D2366&gt;0,IFERROR(Параметры!$D$42*$H2366/$H$2408,0),0)</f>
        <v>0</v>
      </c>
      <c r="K2366" s="87">
        <f>IFERROR(ROUND($N2366*Параметры!$D$36,2),0)</f>
        <v>0</v>
      </c>
      <c r="L2366" s="87">
        <f t="shared" si="257"/>
        <v>0</v>
      </c>
      <c r="M2366" s="87">
        <f t="shared" si="258"/>
        <v>0</v>
      </c>
      <c r="N2366" s="107" t="str">
        <f t="shared" si="259"/>
        <v/>
      </c>
    </row>
    <row r="2367" spans="2:14" x14ac:dyDescent="0.25">
      <c r="B2367" s="82">
        <f>SUBTOTAL(103,$D$8:D2367)</f>
        <v>2360</v>
      </c>
      <c r="C2367" s="83" t="s">
        <v>2365</v>
      </c>
      <c r="D2367" s="84">
        <v>0</v>
      </c>
      <c r="E2367" s="85" t="str">
        <f t="shared" si="254"/>
        <v/>
      </c>
      <c r="F2367" s="106" t="str">
        <f t="shared" si="260"/>
        <v/>
      </c>
      <c r="G2367" s="86"/>
      <c r="H2367" s="107">
        <f t="shared" si="255"/>
        <v>0</v>
      </c>
      <c r="I2367" s="107">
        <f t="shared" si="256"/>
        <v>0</v>
      </c>
      <c r="J2367" s="87">
        <f>IF($D2367&gt;0,IFERROR(Параметры!$D$42*$H2367/$H$2408,0),0)</f>
        <v>0</v>
      </c>
      <c r="K2367" s="87">
        <f>IFERROR(ROUND($N2367*Параметры!$D$36,2),0)</f>
        <v>0</v>
      </c>
      <c r="L2367" s="87">
        <f t="shared" si="257"/>
        <v>0</v>
      </c>
      <c r="M2367" s="87">
        <f t="shared" si="258"/>
        <v>0</v>
      </c>
      <c r="N2367" s="107" t="str">
        <f t="shared" si="259"/>
        <v/>
      </c>
    </row>
    <row r="2368" spans="2:14" x14ac:dyDescent="0.25">
      <c r="B2368" s="82">
        <f>SUBTOTAL(103,$D$8:D2368)</f>
        <v>2361</v>
      </c>
      <c r="C2368" s="83" t="s">
        <v>2366</v>
      </c>
      <c r="D2368" s="84">
        <v>0</v>
      </c>
      <c r="E2368" s="85" t="str">
        <f t="shared" si="254"/>
        <v/>
      </c>
      <c r="F2368" s="106" t="str">
        <f t="shared" si="260"/>
        <v/>
      </c>
      <c r="G2368" s="86"/>
      <c r="H2368" s="107">
        <f t="shared" si="255"/>
        <v>0</v>
      </c>
      <c r="I2368" s="107">
        <f t="shared" si="256"/>
        <v>0</v>
      </c>
      <c r="J2368" s="87">
        <f>IF($D2368&gt;0,IFERROR(Параметры!$D$42*$H2368/$H$2408,0),0)</f>
        <v>0</v>
      </c>
      <c r="K2368" s="87">
        <f>IFERROR(ROUND($N2368*Параметры!$D$36,2),0)</f>
        <v>0</v>
      </c>
      <c r="L2368" s="87">
        <f t="shared" si="257"/>
        <v>0</v>
      </c>
      <c r="M2368" s="87">
        <f t="shared" si="258"/>
        <v>0</v>
      </c>
      <c r="N2368" s="107" t="str">
        <f t="shared" si="259"/>
        <v/>
      </c>
    </row>
    <row r="2369" spans="2:14" x14ac:dyDescent="0.25">
      <c r="B2369" s="82">
        <f>SUBTOTAL(103,$D$8:D2369)</f>
        <v>2362</v>
      </c>
      <c r="C2369" s="83" t="s">
        <v>2367</v>
      </c>
      <c r="D2369" s="84">
        <v>0</v>
      </c>
      <c r="E2369" s="85" t="str">
        <f t="shared" si="254"/>
        <v/>
      </c>
      <c r="F2369" s="106" t="str">
        <f t="shared" si="260"/>
        <v/>
      </c>
      <c r="G2369" s="86"/>
      <c r="H2369" s="107">
        <f t="shared" si="255"/>
        <v>0</v>
      </c>
      <c r="I2369" s="107">
        <f t="shared" si="256"/>
        <v>0</v>
      </c>
      <c r="J2369" s="87">
        <f>IF($D2369&gt;0,IFERROR(Параметры!$D$42*$H2369/$H$2408,0),0)</f>
        <v>0</v>
      </c>
      <c r="K2369" s="87">
        <f>IFERROR(ROUND($N2369*Параметры!$D$36,2),0)</f>
        <v>0</v>
      </c>
      <c r="L2369" s="87">
        <f t="shared" si="257"/>
        <v>0</v>
      </c>
      <c r="M2369" s="87">
        <f t="shared" si="258"/>
        <v>0</v>
      </c>
      <c r="N2369" s="107" t="str">
        <f t="shared" si="259"/>
        <v/>
      </c>
    </row>
    <row r="2370" spans="2:14" x14ac:dyDescent="0.25">
      <c r="B2370" s="82">
        <f>SUBTOTAL(103,$D$8:D2370)</f>
        <v>2363</v>
      </c>
      <c r="C2370" s="83" t="s">
        <v>2368</v>
      </c>
      <c r="D2370" s="84">
        <v>0</v>
      </c>
      <c r="E2370" s="85" t="str">
        <f t="shared" si="254"/>
        <v/>
      </c>
      <c r="F2370" s="106" t="str">
        <f t="shared" si="260"/>
        <v/>
      </c>
      <c r="G2370" s="86"/>
      <c r="H2370" s="107">
        <f t="shared" si="255"/>
        <v>0</v>
      </c>
      <c r="I2370" s="107">
        <f t="shared" si="256"/>
        <v>0</v>
      </c>
      <c r="J2370" s="87">
        <f>IF($D2370&gt;0,IFERROR(Параметры!$D$42*$H2370/$H$2408,0),0)</f>
        <v>0</v>
      </c>
      <c r="K2370" s="87">
        <f>IFERROR(ROUND($N2370*Параметры!$D$36,2),0)</f>
        <v>0</v>
      </c>
      <c r="L2370" s="87">
        <f t="shared" si="257"/>
        <v>0</v>
      </c>
      <c r="M2370" s="87">
        <f t="shared" si="258"/>
        <v>0</v>
      </c>
      <c r="N2370" s="107" t="str">
        <f t="shared" si="259"/>
        <v/>
      </c>
    </row>
    <row r="2371" spans="2:14" x14ac:dyDescent="0.25">
      <c r="B2371" s="82">
        <f>SUBTOTAL(103,$D$8:D2371)</f>
        <v>2364</v>
      </c>
      <c r="C2371" s="83" t="s">
        <v>2369</v>
      </c>
      <c r="D2371" s="84">
        <v>0</v>
      </c>
      <c r="E2371" s="85" t="str">
        <f t="shared" si="254"/>
        <v/>
      </c>
      <c r="F2371" s="106" t="str">
        <f t="shared" si="260"/>
        <v/>
      </c>
      <c r="G2371" s="86"/>
      <c r="H2371" s="107">
        <f t="shared" si="255"/>
        <v>0</v>
      </c>
      <c r="I2371" s="107">
        <f t="shared" si="256"/>
        <v>0</v>
      </c>
      <c r="J2371" s="87">
        <f>IF($D2371&gt;0,IFERROR(Параметры!$D$42*$H2371/$H$2408,0),0)</f>
        <v>0</v>
      </c>
      <c r="K2371" s="87">
        <f>IFERROR(ROUND($N2371*Параметры!$D$36,2),0)</f>
        <v>0</v>
      </c>
      <c r="L2371" s="87">
        <f t="shared" si="257"/>
        <v>0</v>
      </c>
      <c r="M2371" s="87">
        <f t="shared" si="258"/>
        <v>0</v>
      </c>
      <c r="N2371" s="107" t="str">
        <f t="shared" si="259"/>
        <v/>
      </c>
    </row>
    <row r="2372" spans="2:14" x14ac:dyDescent="0.25">
      <c r="B2372" s="82">
        <f>SUBTOTAL(103,$D$8:D2372)</f>
        <v>2365</v>
      </c>
      <c r="C2372" s="83" t="s">
        <v>2370</v>
      </c>
      <c r="D2372" s="84">
        <v>0</v>
      </c>
      <c r="E2372" s="85" t="str">
        <f t="shared" si="254"/>
        <v/>
      </c>
      <c r="F2372" s="106" t="str">
        <f t="shared" si="260"/>
        <v/>
      </c>
      <c r="G2372" s="86"/>
      <c r="H2372" s="107">
        <f t="shared" si="255"/>
        <v>0</v>
      </c>
      <c r="I2372" s="107">
        <f t="shared" si="256"/>
        <v>0</v>
      </c>
      <c r="J2372" s="87">
        <f>IF($D2372&gt;0,IFERROR(Параметры!$D$42*$H2372/$H$2408,0),0)</f>
        <v>0</v>
      </c>
      <c r="K2372" s="87">
        <f>IFERROR(ROUND($N2372*Параметры!$D$36,2),0)</f>
        <v>0</v>
      </c>
      <c r="L2372" s="87">
        <f t="shared" si="257"/>
        <v>0</v>
      </c>
      <c r="M2372" s="87">
        <f t="shared" si="258"/>
        <v>0</v>
      </c>
      <c r="N2372" s="107" t="str">
        <f t="shared" si="259"/>
        <v/>
      </c>
    </row>
    <row r="2373" spans="2:14" x14ac:dyDescent="0.25">
      <c r="B2373" s="82">
        <f>SUBTOTAL(103,$D$8:D2373)</f>
        <v>2366</v>
      </c>
      <c r="C2373" s="83" t="s">
        <v>2371</v>
      </c>
      <c r="D2373" s="84">
        <v>0</v>
      </c>
      <c r="E2373" s="85" t="str">
        <f t="shared" si="254"/>
        <v/>
      </c>
      <c r="F2373" s="106" t="str">
        <f t="shared" si="260"/>
        <v/>
      </c>
      <c r="G2373" s="86"/>
      <c r="H2373" s="107">
        <f t="shared" si="255"/>
        <v>0</v>
      </c>
      <c r="I2373" s="107">
        <f t="shared" si="256"/>
        <v>0</v>
      </c>
      <c r="J2373" s="87">
        <f>IF($D2373&gt;0,IFERROR(Параметры!$D$42*$H2373/$H$2408,0),0)</f>
        <v>0</v>
      </c>
      <c r="K2373" s="87">
        <f>IFERROR(ROUND($N2373*Параметры!$D$36,2),0)</f>
        <v>0</v>
      </c>
      <c r="L2373" s="87">
        <f t="shared" si="257"/>
        <v>0</v>
      </c>
      <c r="M2373" s="87">
        <f t="shared" si="258"/>
        <v>0</v>
      </c>
      <c r="N2373" s="107" t="str">
        <f t="shared" si="259"/>
        <v/>
      </c>
    </row>
    <row r="2374" spans="2:14" x14ac:dyDescent="0.25">
      <c r="B2374" s="82">
        <f>SUBTOTAL(103,$D$8:D2374)</f>
        <v>2367</v>
      </c>
      <c r="C2374" s="83" t="s">
        <v>2372</v>
      </c>
      <c r="D2374" s="84">
        <v>0</v>
      </c>
      <c r="E2374" s="85" t="str">
        <f t="shared" si="254"/>
        <v/>
      </c>
      <c r="F2374" s="106" t="str">
        <f t="shared" si="260"/>
        <v/>
      </c>
      <c r="G2374" s="86"/>
      <c r="H2374" s="107">
        <f t="shared" si="255"/>
        <v>0</v>
      </c>
      <c r="I2374" s="107">
        <f t="shared" si="256"/>
        <v>0</v>
      </c>
      <c r="J2374" s="87">
        <f>IF($D2374&gt;0,IFERROR(Параметры!$D$42*$H2374/$H$2408,0),0)</f>
        <v>0</v>
      </c>
      <c r="K2374" s="87">
        <f>IFERROR(ROUND($N2374*Параметры!$D$36,2),0)</f>
        <v>0</v>
      </c>
      <c r="L2374" s="87">
        <f t="shared" si="257"/>
        <v>0</v>
      </c>
      <c r="M2374" s="87">
        <f t="shared" si="258"/>
        <v>0</v>
      </c>
      <c r="N2374" s="107" t="str">
        <f t="shared" si="259"/>
        <v/>
      </c>
    </row>
    <row r="2375" spans="2:14" x14ac:dyDescent="0.25">
      <c r="B2375" s="82">
        <f>SUBTOTAL(103,$D$8:D2375)</f>
        <v>2368</v>
      </c>
      <c r="C2375" s="83" t="s">
        <v>2373</v>
      </c>
      <c r="D2375" s="84">
        <v>0</v>
      </c>
      <c r="E2375" s="85" t="str">
        <f t="shared" si="254"/>
        <v/>
      </c>
      <c r="F2375" s="106" t="str">
        <f t="shared" si="260"/>
        <v/>
      </c>
      <c r="G2375" s="86"/>
      <c r="H2375" s="107">
        <f t="shared" si="255"/>
        <v>0</v>
      </c>
      <c r="I2375" s="107">
        <f t="shared" si="256"/>
        <v>0</v>
      </c>
      <c r="J2375" s="87">
        <f>IF($D2375&gt;0,IFERROR(Параметры!$D$42*$H2375/$H$2408,0),0)</f>
        <v>0</v>
      </c>
      <c r="K2375" s="87">
        <f>IFERROR(ROUND($N2375*Параметры!$D$36,2),0)</f>
        <v>0</v>
      </c>
      <c r="L2375" s="87">
        <f t="shared" si="257"/>
        <v>0</v>
      </c>
      <c r="M2375" s="87">
        <f t="shared" si="258"/>
        <v>0</v>
      </c>
      <c r="N2375" s="107" t="str">
        <f t="shared" si="259"/>
        <v/>
      </c>
    </row>
    <row r="2376" spans="2:14" x14ac:dyDescent="0.25">
      <c r="B2376" s="82">
        <f>SUBTOTAL(103,$D$8:D2376)</f>
        <v>2369</v>
      </c>
      <c r="C2376" s="83" t="s">
        <v>2374</v>
      </c>
      <c r="D2376" s="84">
        <v>0</v>
      </c>
      <c r="E2376" s="85" t="str">
        <f t="shared" ref="E2376:E2407" si="261">IF($D2376&lt;1,"",$K2376+$L2376)</f>
        <v/>
      </c>
      <c r="F2376" s="106" t="str">
        <f t="shared" si="260"/>
        <v/>
      </c>
      <c r="G2376" s="86"/>
      <c r="H2376" s="107">
        <f t="shared" ref="H2376:H2407" si="262">IF($D2376&gt;0,$D2376*КИС,0)</f>
        <v>0</v>
      </c>
      <c r="I2376" s="107">
        <f t="shared" ref="I2376:I2407" si="263">IF($D2376&gt;0,$D2376-$H2376,0)</f>
        <v>0</v>
      </c>
      <c r="J2376" s="87">
        <f>IF($D2376&gt;0,IFERROR(Параметры!$D$42*$H2376/$H$2408,0),0)</f>
        <v>0</v>
      </c>
      <c r="K2376" s="87">
        <f>IFERROR(ROUND($N2376*Параметры!$D$36,2),0)</f>
        <v>0</v>
      </c>
      <c r="L2376" s="87">
        <f t="shared" ref="L2376:L2407" si="264">IF($K2376&gt;0,$K2376*0.055,0)</f>
        <v>0</v>
      </c>
      <c r="M2376" s="87">
        <f t="shared" ref="M2376:M2407" si="265">IFERROR($L2376/Плотность_ДТ,0)</f>
        <v>0</v>
      </c>
      <c r="N2376" s="107" t="str">
        <f t="shared" ref="N2376:N2407" si="266">IF($D2376&gt;0,MAX(0,$D2376-IF($F2376="",0,$F2376)),"")</f>
        <v/>
      </c>
    </row>
    <row r="2377" spans="2:14" x14ac:dyDescent="0.25">
      <c r="B2377" s="82">
        <f>SUBTOTAL(103,$D$8:D2377)</f>
        <v>2370</v>
      </c>
      <c r="C2377" s="83" t="s">
        <v>2375</v>
      </c>
      <c r="D2377" s="84">
        <v>0</v>
      </c>
      <c r="E2377" s="85" t="str">
        <f t="shared" si="261"/>
        <v/>
      </c>
      <c r="F2377" s="106" t="str">
        <f t="shared" si="260"/>
        <v/>
      </c>
      <c r="G2377" s="86"/>
      <c r="H2377" s="107">
        <f t="shared" si="262"/>
        <v>0</v>
      </c>
      <c r="I2377" s="107">
        <f t="shared" si="263"/>
        <v>0</v>
      </c>
      <c r="J2377" s="87">
        <f>IF($D2377&gt;0,IFERROR(Параметры!$D$42*$H2377/$H$2408,0),0)</f>
        <v>0</v>
      </c>
      <c r="K2377" s="87">
        <f>IFERROR(ROUND($N2377*Параметры!$D$36,2),0)</f>
        <v>0</v>
      </c>
      <c r="L2377" s="87">
        <f t="shared" si="264"/>
        <v>0</v>
      </c>
      <c r="M2377" s="87">
        <f t="shared" si="265"/>
        <v>0</v>
      </c>
      <c r="N2377" s="107" t="str">
        <f t="shared" si="266"/>
        <v/>
      </c>
    </row>
    <row r="2378" spans="2:14" x14ac:dyDescent="0.25">
      <c r="B2378" s="82">
        <f>SUBTOTAL(103,$D$8:D2378)</f>
        <v>2371</v>
      </c>
      <c r="C2378" s="83" t="s">
        <v>2376</v>
      </c>
      <c r="D2378" s="84">
        <v>0</v>
      </c>
      <c r="E2378" s="85" t="str">
        <f t="shared" si="261"/>
        <v/>
      </c>
      <c r="F2378" s="106" t="str">
        <f t="shared" si="260"/>
        <v/>
      </c>
      <c r="G2378" s="86"/>
      <c r="H2378" s="107">
        <f t="shared" si="262"/>
        <v>0</v>
      </c>
      <c r="I2378" s="107">
        <f t="shared" si="263"/>
        <v>0</v>
      </c>
      <c r="J2378" s="87">
        <f>IF($D2378&gt;0,IFERROR(Параметры!$D$42*$H2378/$H$2408,0),0)</f>
        <v>0</v>
      </c>
      <c r="K2378" s="87">
        <f>IFERROR(ROUND($N2378*Параметры!$D$36,2),0)</f>
        <v>0</v>
      </c>
      <c r="L2378" s="87">
        <f t="shared" si="264"/>
        <v>0</v>
      </c>
      <c r="M2378" s="87">
        <f t="shared" si="265"/>
        <v>0</v>
      </c>
      <c r="N2378" s="107" t="str">
        <f t="shared" si="266"/>
        <v/>
      </c>
    </row>
    <row r="2379" spans="2:14" x14ac:dyDescent="0.25">
      <c r="B2379" s="82">
        <f>SUBTOTAL(103,$D$8:D2379)</f>
        <v>2372</v>
      </c>
      <c r="C2379" s="83" t="s">
        <v>2377</v>
      </c>
      <c r="D2379" s="84">
        <v>0</v>
      </c>
      <c r="E2379" s="85" t="str">
        <f t="shared" si="261"/>
        <v/>
      </c>
      <c r="F2379" s="106" t="str">
        <f t="shared" ref="F2379:F2407" si="267">IF(D2379&gt;0,2,"")</f>
        <v/>
      </c>
      <c r="G2379" s="86"/>
      <c r="H2379" s="107">
        <f t="shared" si="262"/>
        <v>0</v>
      </c>
      <c r="I2379" s="107">
        <f t="shared" si="263"/>
        <v>0</v>
      </c>
      <c r="J2379" s="87">
        <f>IF($D2379&gt;0,IFERROR(Параметры!$D$42*$H2379/$H$2408,0),0)</f>
        <v>0</v>
      </c>
      <c r="K2379" s="87">
        <f>IFERROR(ROUND($N2379*Параметры!$D$36,2),0)</f>
        <v>0</v>
      </c>
      <c r="L2379" s="87">
        <f t="shared" si="264"/>
        <v>0</v>
      </c>
      <c r="M2379" s="87">
        <f t="shared" si="265"/>
        <v>0</v>
      </c>
      <c r="N2379" s="107" t="str">
        <f t="shared" si="266"/>
        <v/>
      </c>
    </row>
    <row r="2380" spans="2:14" x14ac:dyDescent="0.25">
      <c r="B2380" s="82">
        <f>SUBTOTAL(103,$D$8:D2380)</f>
        <v>2373</v>
      </c>
      <c r="C2380" s="83" t="s">
        <v>2378</v>
      </c>
      <c r="D2380" s="84">
        <v>0</v>
      </c>
      <c r="E2380" s="85" t="str">
        <f t="shared" si="261"/>
        <v/>
      </c>
      <c r="F2380" s="106" t="str">
        <f t="shared" si="267"/>
        <v/>
      </c>
      <c r="G2380" s="86"/>
      <c r="H2380" s="107">
        <f t="shared" si="262"/>
        <v>0</v>
      </c>
      <c r="I2380" s="107">
        <f t="shared" si="263"/>
        <v>0</v>
      </c>
      <c r="J2380" s="87">
        <f>IF($D2380&gt;0,IFERROR(Параметры!$D$42*$H2380/$H$2408,0),0)</f>
        <v>0</v>
      </c>
      <c r="K2380" s="87">
        <f>IFERROR(ROUND($N2380*Параметры!$D$36,2),0)</f>
        <v>0</v>
      </c>
      <c r="L2380" s="87">
        <f t="shared" si="264"/>
        <v>0</v>
      </c>
      <c r="M2380" s="87">
        <f t="shared" si="265"/>
        <v>0</v>
      </c>
      <c r="N2380" s="107" t="str">
        <f t="shared" si="266"/>
        <v/>
      </c>
    </row>
    <row r="2381" spans="2:14" x14ac:dyDescent="0.25">
      <c r="B2381" s="82">
        <f>SUBTOTAL(103,$D$8:D2381)</f>
        <v>2374</v>
      </c>
      <c r="C2381" s="83" t="s">
        <v>2379</v>
      </c>
      <c r="D2381" s="84">
        <v>0</v>
      </c>
      <c r="E2381" s="85" t="str">
        <f t="shared" si="261"/>
        <v/>
      </c>
      <c r="F2381" s="106" t="str">
        <f t="shared" si="267"/>
        <v/>
      </c>
      <c r="G2381" s="86"/>
      <c r="H2381" s="107">
        <f t="shared" si="262"/>
        <v>0</v>
      </c>
      <c r="I2381" s="107">
        <f t="shared" si="263"/>
        <v>0</v>
      </c>
      <c r="J2381" s="87">
        <f>IF($D2381&gt;0,IFERROR(Параметры!$D$42*$H2381/$H$2408,0),0)</f>
        <v>0</v>
      </c>
      <c r="K2381" s="87">
        <f>IFERROR(ROUND($N2381*Параметры!$D$36,2),0)</f>
        <v>0</v>
      </c>
      <c r="L2381" s="87">
        <f t="shared" si="264"/>
        <v>0</v>
      </c>
      <c r="M2381" s="87">
        <f t="shared" si="265"/>
        <v>0</v>
      </c>
      <c r="N2381" s="107" t="str">
        <f t="shared" si="266"/>
        <v/>
      </c>
    </row>
    <row r="2382" spans="2:14" x14ac:dyDescent="0.25">
      <c r="B2382" s="82">
        <f>SUBTOTAL(103,$D$8:D2382)</f>
        <v>2375</v>
      </c>
      <c r="C2382" s="83" t="s">
        <v>2380</v>
      </c>
      <c r="D2382" s="84">
        <v>0</v>
      </c>
      <c r="E2382" s="85" t="str">
        <f t="shared" si="261"/>
        <v/>
      </c>
      <c r="F2382" s="106" t="str">
        <f t="shared" si="267"/>
        <v/>
      </c>
      <c r="G2382" s="86"/>
      <c r="H2382" s="107">
        <f t="shared" si="262"/>
        <v>0</v>
      </c>
      <c r="I2382" s="107">
        <f t="shared" si="263"/>
        <v>0</v>
      </c>
      <c r="J2382" s="87">
        <f>IF($D2382&gt;0,IFERROR(Параметры!$D$42*$H2382/$H$2408,0),0)</f>
        <v>0</v>
      </c>
      <c r="K2382" s="87">
        <f>IFERROR(ROUND($N2382*Параметры!$D$36,2),0)</f>
        <v>0</v>
      </c>
      <c r="L2382" s="87">
        <f t="shared" si="264"/>
        <v>0</v>
      </c>
      <c r="M2382" s="87">
        <f t="shared" si="265"/>
        <v>0</v>
      </c>
      <c r="N2382" s="107" t="str">
        <f t="shared" si="266"/>
        <v/>
      </c>
    </row>
    <row r="2383" spans="2:14" x14ac:dyDescent="0.25">
      <c r="B2383" s="82">
        <f>SUBTOTAL(103,$D$8:D2383)</f>
        <v>2376</v>
      </c>
      <c r="C2383" s="83" t="s">
        <v>2381</v>
      </c>
      <c r="D2383" s="84">
        <v>0</v>
      </c>
      <c r="E2383" s="85" t="str">
        <f t="shared" si="261"/>
        <v/>
      </c>
      <c r="F2383" s="106" t="str">
        <f t="shared" si="267"/>
        <v/>
      </c>
      <c r="G2383" s="86"/>
      <c r="H2383" s="107">
        <f t="shared" si="262"/>
        <v>0</v>
      </c>
      <c r="I2383" s="107">
        <f t="shared" si="263"/>
        <v>0</v>
      </c>
      <c r="J2383" s="87">
        <f>IF($D2383&gt;0,IFERROR(Параметры!$D$42*$H2383/$H$2408,0),0)</f>
        <v>0</v>
      </c>
      <c r="K2383" s="87">
        <f>IFERROR(ROUND($N2383*Параметры!$D$36,2),0)</f>
        <v>0</v>
      </c>
      <c r="L2383" s="87">
        <f t="shared" si="264"/>
        <v>0</v>
      </c>
      <c r="M2383" s="87">
        <f t="shared" si="265"/>
        <v>0</v>
      </c>
      <c r="N2383" s="107" t="str">
        <f t="shared" si="266"/>
        <v/>
      </c>
    </row>
    <row r="2384" spans="2:14" x14ac:dyDescent="0.25">
      <c r="B2384" s="82">
        <f>SUBTOTAL(103,$D$8:D2384)</f>
        <v>2377</v>
      </c>
      <c r="C2384" s="83" t="s">
        <v>2382</v>
      </c>
      <c r="D2384" s="84">
        <v>0</v>
      </c>
      <c r="E2384" s="85" t="str">
        <f t="shared" si="261"/>
        <v/>
      </c>
      <c r="F2384" s="106" t="str">
        <f t="shared" si="267"/>
        <v/>
      </c>
      <c r="G2384" s="86"/>
      <c r="H2384" s="107">
        <f t="shared" si="262"/>
        <v>0</v>
      </c>
      <c r="I2384" s="107">
        <f t="shared" si="263"/>
        <v>0</v>
      </c>
      <c r="J2384" s="87">
        <f>IF($D2384&gt;0,IFERROR(Параметры!$D$42*$H2384/$H$2408,0),0)</f>
        <v>0</v>
      </c>
      <c r="K2384" s="87">
        <f>IFERROR(ROUND($N2384*Параметры!$D$36,2),0)</f>
        <v>0</v>
      </c>
      <c r="L2384" s="87">
        <f t="shared" si="264"/>
        <v>0</v>
      </c>
      <c r="M2384" s="87">
        <f t="shared" si="265"/>
        <v>0</v>
      </c>
      <c r="N2384" s="107" t="str">
        <f t="shared" si="266"/>
        <v/>
      </c>
    </row>
    <row r="2385" spans="2:14" x14ac:dyDescent="0.25">
      <c r="B2385" s="82">
        <f>SUBTOTAL(103,$D$8:D2385)</f>
        <v>2378</v>
      </c>
      <c r="C2385" s="83" t="s">
        <v>2383</v>
      </c>
      <c r="D2385" s="84">
        <v>0</v>
      </c>
      <c r="E2385" s="85" t="str">
        <f t="shared" si="261"/>
        <v/>
      </c>
      <c r="F2385" s="106" t="str">
        <f t="shared" si="267"/>
        <v/>
      </c>
      <c r="G2385" s="86"/>
      <c r="H2385" s="107">
        <f t="shared" si="262"/>
        <v>0</v>
      </c>
      <c r="I2385" s="107">
        <f t="shared" si="263"/>
        <v>0</v>
      </c>
      <c r="J2385" s="87">
        <f>IF($D2385&gt;0,IFERROR(Параметры!$D$42*$H2385/$H$2408,0),0)</f>
        <v>0</v>
      </c>
      <c r="K2385" s="87">
        <f>IFERROR(ROUND($N2385*Параметры!$D$36,2),0)</f>
        <v>0</v>
      </c>
      <c r="L2385" s="87">
        <f t="shared" si="264"/>
        <v>0</v>
      </c>
      <c r="M2385" s="87">
        <f t="shared" si="265"/>
        <v>0</v>
      </c>
      <c r="N2385" s="107" t="str">
        <f t="shared" si="266"/>
        <v/>
      </c>
    </row>
    <row r="2386" spans="2:14" x14ac:dyDescent="0.25">
      <c r="B2386" s="82">
        <f>SUBTOTAL(103,$D$8:D2386)</f>
        <v>2379</v>
      </c>
      <c r="C2386" s="83" t="s">
        <v>2384</v>
      </c>
      <c r="D2386" s="84">
        <v>0</v>
      </c>
      <c r="E2386" s="85" t="str">
        <f t="shared" si="261"/>
        <v/>
      </c>
      <c r="F2386" s="106" t="str">
        <f t="shared" si="267"/>
        <v/>
      </c>
      <c r="G2386" s="86"/>
      <c r="H2386" s="107">
        <f t="shared" si="262"/>
        <v>0</v>
      </c>
      <c r="I2386" s="107">
        <f t="shared" si="263"/>
        <v>0</v>
      </c>
      <c r="J2386" s="87">
        <f>IF($D2386&gt;0,IFERROR(Параметры!$D$42*$H2386/$H$2408,0),0)</f>
        <v>0</v>
      </c>
      <c r="K2386" s="87">
        <f>IFERROR(ROUND($N2386*Параметры!$D$36,2),0)</f>
        <v>0</v>
      </c>
      <c r="L2386" s="87">
        <f t="shared" si="264"/>
        <v>0</v>
      </c>
      <c r="M2386" s="87">
        <f t="shared" si="265"/>
        <v>0</v>
      </c>
      <c r="N2386" s="107" t="str">
        <f t="shared" si="266"/>
        <v/>
      </c>
    </row>
    <row r="2387" spans="2:14" x14ac:dyDescent="0.25">
      <c r="B2387" s="82">
        <f>SUBTOTAL(103,$D$8:D2387)</f>
        <v>2380</v>
      </c>
      <c r="C2387" s="83" t="s">
        <v>2385</v>
      </c>
      <c r="D2387" s="84">
        <v>0</v>
      </c>
      <c r="E2387" s="85" t="str">
        <f t="shared" si="261"/>
        <v/>
      </c>
      <c r="F2387" s="106" t="str">
        <f t="shared" si="267"/>
        <v/>
      </c>
      <c r="G2387" s="86"/>
      <c r="H2387" s="107">
        <f t="shared" si="262"/>
        <v>0</v>
      </c>
      <c r="I2387" s="107">
        <f t="shared" si="263"/>
        <v>0</v>
      </c>
      <c r="J2387" s="87">
        <f>IF($D2387&gt;0,IFERROR(Параметры!$D$42*$H2387/$H$2408,0),0)</f>
        <v>0</v>
      </c>
      <c r="K2387" s="87">
        <f>IFERROR(ROUND($N2387*Параметры!$D$36,2),0)</f>
        <v>0</v>
      </c>
      <c r="L2387" s="87">
        <f t="shared" si="264"/>
        <v>0</v>
      </c>
      <c r="M2387" s="87">
        <f t="shared" si="265"/>
        <v>0</v>
      </c>
      <c r="N2387" s="107" t="str">
        <f t="shared" si="266"/>
        <v/>
      </c>
    </row>
    <row r="2388" spans="2:14" x14ac:dyDescent="0.25">
      <c r="B2388" s="82">
        <f>SUBTOTAL(103,$D$8:D2388)</f>
        <v>2381</v>
      </c>
      <c r="C2388" s="83" t="s">
        <v>2386</v>
      </c>
      <c r="D2388" s="84">
        <v>0</v>
      </c>
      <c r="E2388" s="85" t="str">
        <f t="shared" si="261"/>
        <v/>
      </c>
      <c r="F2388" s="106" t="str">
        <f t="shared" si="267"/>
        <v/>
      </c>
      <c r="G2388" s="86"/>
      <c r="H2388" s="107">
        <f t="shared" si="262"/>
        <v>0</v>
      </c>
      <c r="I2388" s="107">
        <f t="shared" si="263"/>
        <v>0</v>
      </c>
      <c r="J2388" s="87">
        <f>IF($D2388&gt;0,IFERROR(Параметры!$D$42*$H2388/$H$2408,0),0)</f>
        <v>0</v>
      </c>
      <c r="K2388" s="87">
        <f>IFERROR(ROUND($N2388*Параметры!$D$36,2),0)</f>
        <v>0</v>
      </c>
      <c r="L2388" s="87">
        <f t="shared" si="264"/>
        <v>0</v>
      </c>
      <c r="M2388" s="87">
        <f t="shared" si="265"/>
        <v>0</v>
      </c>
      <c r="N2388" s="107" t="str">
        <f t="shared" si="266"/>
        <v/>
      </c>
    </row>
    <row r="2389" spans="2:14" x14ac:dyDescent="0.25">
      <c r="B2389" s="82">
        <f>SUBTOTAL(103,$D$8:D2389)</f>
        <v>2382</v>
      </c>
      <c r="C2389" s="83" t="s">
        <v>2387</v>
      </c>
      <c r="D2389" s="84">
        <v>0</v>
      </c>
      <c r="E2389" s="85" t="str">
        <f t="shared" si="261"/>
        <v/>
      </c>
      <c r="F2389" s="106" t="str">
        <f t="shared" si="267"/>
        <v/>
      </c>
      <c r="G2389" s="86"/>
      <c r="H2389" s="107">
        <f t="shared" si="262"/>
        <v>0</v>
      </c>
      <c r="I2389" s="107">
        <f t="shared" si="263"/>
        <v>0</v>
      </c>
      <c r="J2389" s="87">
        <f>IF($D2389&gt;0,IFERROR(Параметры!$D$42*$H2389/$H$2408,0),0)</f>
        <v>0</v>
      </c>
      <c r="K2389" s="87">
        <f>IFERROR(ROUND($N2389*Параметры!$D$36,2),0)</f>
        <v>0</v>
      </c>
      <c r="L2389" s="87">
        <f t="shared" si="264"/>
        <v>0</v>
      </c>
      <c r="M2389" s="87">
        <f t="shared" si="265"/>
        <v>0</v>
      </c>
      <c r="N2389" s="107" t="str">
        <f t="shared" si="266"/>
        <v/>
      </c>
    </row>
    <row r="2390" spans="2:14" x14ac:dyDescent="0.25">
      <c r="B2390" s="82">
        <f>SUBTOTAL(103,$D$8:D2390)</f>
        <v>2383</v>
      </c>
      <c r="C2390" s="83" t="s">
        <v>2388</v>
      </c>
      <c r="D2390" s="84">
        <v>0</v>
      </c>
      <c r="E2390" s="85" t="str">
        <f t="shared" si="261"/>
        <v/>
      </c>
      <c r="F2390" s="106" t="str">
        <f t="shared" si="267"/>
        <v/>
      </c>
      <c r="G2390" s="86"/>
      <c r="H2390" s="107">
        <f t="shared" si="262"/>
        <v>0</v>
      </c>
      <c r="I2390" s="107">
        <f t="shared" si="263"/>
        <v>0</v>
      </c>
      <c r="J2390" s="87">
        <f>IF($D2390&gt;0,IFERROR(Параметры!$D$42*$H2390/$H$2408,0),0)</f>
        <v>0</v>
      </c>
      <c r="K2390" s="87">
        <f>IFERROR(ROUND($N2390*Параметры!$D$36,2),0)</f>
        <v>0</v>
      </c>
      <c r="L2390" s="87">
        <f t="shared" si="264"/>
        <v>0</v>
      </c>
      <c r="M2390" s="87">
        <f t="shared" si="265"/>
        <v>0</v>
      </c>
      <c r="N2390" s="107" t="str">
        <f t="shared" si="266"/>
        <v/>
      </c>
    </row>
    <row r="2391" spans="2:14" x14ac:dyDescent="0.25">
      <c r="B2391" s="82">
        <f>SUBTOTAL(103,$D$8:D2391)</f>
        <v>2384</v>
      </c>
      <c r="C2391" s="83" t="s">
        <v>2389</v>
      </c>
      <c r="D2391" s="84">
        <v>0</v>
      </c>
      <c r="E2391" s="85" t="str">
        <f t="shared" si="261"/>
        <v/>
      </c>
      <c r="F2391" s="106" t="str">
        <f t="shared" si="267"/>
        <v/>
      </c>
      <c r="G2391" s="86"/>
      <c r="H2391" s="107">
        <f t="shared" si="262"/>
        <v>0</v>
      </c>
      <c r="I2391" s="107">
        <f t="shared" si="263"/>
        <v>0</v>
      </c>
      <c r="J2391" s="87">
        <f>IF($D2391&gt;0,IFERROR(Параметры!$D$42*$H2391/$H$2408,0),0)</f>
        <v>0</v>
      </c>
      <c r="K2391" s="87">
        <f>IFERROR(ROUND($N2391*Параметры!$D$36,2),0)</f>
        <v>0</v>
      </c>
      <c r="L2391" s="87">
        <f t="shared" si="264"/>
        <v>0</v>
      </c>
      <c r="M2391" s="87">
        <f t="shared" si="265"/>
        <v>0</v>
      </c>
      <c r="N2391" s="107" t="str">
        <f t="shared" si="266"/>
        <v/>
      </c>
    </row>
    <row r="2392" spans="2:14" x14ac:dyDescent="0.25">
      <c r="B2392" s="82">
        <f>SUBTOTAL(103,$D$8:D2392)</f>
        <v>2385</v>
      </c>
      <c r="C2392" s="83" t="s">
        <v>2390</v>
      </c>
      <c r="D2392" s="84">
        <v>0</v>
      </c>
      <c r="E2392" s="85" t="str">
        <f t="shared" si="261"/>
        <v/>
      </c>
      <c r="F2392" s="106" t="str">
        <f t="shared" si="267"/>
        <v/>
      </c>
      <c r="G2392" s="86"/>
      <c r="H2392" s="107">
        <f t="shared" si="262"/>
        <v>0</v>
      </c>
      <c r="I2392" s="107">
        <f t="shared" si="263"/>
        <v>0</v>
      </c>
      <c r="J2392" s="87">
        <f>IF($D2392&gt;0,IFERROR(Параметры!$D$42*$H2392/$H$2408,0),0)</f>
        <v>0</v>
      </c>
      <c r="K2392" s="87">
        <f>IFERROR(ROUND($N2392*Параметры!$D$36,2),0)</f>
        <v>0</v>
      </c>
      <c r="L2392" s="87">
        <f t="shared" si="264"/>
        <v>0</v>
      </c>
      <c r="M2392" s="87">
        <f t="shared" si="265"/>
        <v>0</v>
      </c>
      <c r="N2392" s="107" t="str">
        <f t="shared" si="266"/>
        <v/>
      </c>
    </row>
    <row r="2393" spans="2:14" x14ac:dyDescent="0.25">
      <c r="B2393" s="82">
        <f>SUBTOTAL(103,$D$8:D2393)</f>
        <v>2386</v>
      </c>
      <c r="C2393" s="83" t="s">
        <v>2391</v>
      </c>
      <c r="D2393" s="84">
        <v>0</v>
      </c>
      <c r="E2393" s="85" t="str">
        <f t="shared" si="261"/>
        <v/>
      </c>
      <c r="F2393" s="106" t="str">
        <f t="shared" si="267"/>
        <v/>
      </c>
      <c r="G2393" s="86"/>
      <c r="H2393" s="107">
        <f t="shared" si="262"/>
        <v>0</v>
      </c>
      <c r="I2393" s="107">
        <f t="shared" si="263"/>
        <v>0</v>
      </c>
      <c r="J2393" s="87">
        <f>IF($D2393&gt;0,IFERROR(Параметры!$D$42*$H2393/$H$2408,0),0)</f>
        <v>0</v>
      </c>
      <c r="K2393" s="87">
        <f>IFERROR(ROUND($N2393*Параметры!$D$36,2),0)</f>
        <v>0</v>
      </c>
      <c r="L2393" s="87">
        <f t="shared" si="264"/>
        <v>0</v>
      </c>
      <c r="M2393" s="87">
        <f t="shared" si="265"/>
        <v>0</v>
      </c>
      <c r="N2393" s="107" t="str">
        <f t="shared" si="266"/>
        <v/>
      </c>
    </row>
    <row r="2394" spans="2:14" x14ac:dyDescent="0.25">
      <c r="B2394" s="82">
        <f>SUBTOTAL(103,$D$8:D2394)</f>
        <v>2387</v>
      </c>
      <c r="C2394" s="83" t="s">
        <v>2392</v>
      </c>
      <c r="D2394" s="84">
        <v>0</v>
      </c>
      <c r="E2394" s="85" t="str">
        <f t="shared" si="261"/>
        <v/>
      </c>
      <c r="F2394" s="106" t="str">
        <f t="shared" si="267"/>
        <v/>
      </c>
      <c r="G2394" s="86"/>
      <c r="H2394" s="107">
        <f t="shared" si="262"/>
        <v>0</v>
      </c>
      <c r="I2394" s="107">
        <f t="shared" si="263"/>
        <v>0</v>
      </c>
      <c r="J2394" s="87">
        <f>IF($D2394&gt;0,IFERROR(Параметры!$D$42*$H2394/$H$2408,0),0)</f>
        <v>0</v>
      </c>
      <c r="K2394" s="87">
        <f>IFERROR(ROUND($N2394*Параметры!$D$36,2),0)</f>
        <v>0</v>
      </c>
      <c r="L2394" s="87">
        <f t="shared" si="264"/>
        <v>0</v>
      </c>
      <c r="M2394" s="87">
        <f t="shared" si="265"/>
        <v>0</v>
      </c>
      <c r="N2394" s="107" t="str">
        <f t="shared" si="266"/>
        <v/>
      </c>
    </row>
    <row r="2395" spans="2:14" x14ac:dyDescent="0.25">
      <c r="B2395" s="82">
        <f>SUBTOTAL(103,$D$8:D2395)</f>
        <v>2388</v>
      </c>
      <c r="C2395" s="83" t="s">
        <v>2393</v>
      </c>
      <c r="D2395" s="84">
        <v>0</v>
      </c>
      <c r="E2395" s="85" t="str">
        <f t="shared" si="261"/>
        <v/>
      </c>
      <c r="F2395" s="106" t="str">
        <f t="shared" si="267"/>
        <v/>
      </c>
      <c r="G2395" s="86"/>
      <c r="H2395" s="107">
        <f t="shared" si="262"/>
        <v>0</v>
      </c>
      <c r="I2395" s="107">
        <f t="shared" si="263"/>
        <v>0</v>
      </c>
      <c r="J2395" s="87">
        <f>IF($D2395&gt;0,IFERROR(Параметры!$D$42*$H2395/$H$2408,0),0)</f>
        <v>0</v>
      </c>
      <c r="K2395" s="87">
        <f>IFERROR(ROUND($N2395*Параметры!$D$36,2),0)</f>
        <v>0</v>
      </c>
      <c r="L2395" s="87">
        <f t="shared" si="264"/>
        <v>0</v>
      </c>
      <c r="M2395" s="87">
        <f t="shared" si="265"/>
        <v>0</v>
      </c>
      <c r="N2395" s="107" t="str">
        <f t="shared" si="266"/>
        <v/>
      </c>
    </row>
    <row r="2396" spans="2:14" x14ac:dyDescent="0.25">
      <c r="B2396" s="82">
        <f>SUBTOTAL(103,$D$8:D2396)</f>
        <v>2389</v>
      </c>
      <c r="C2396" s="83" t="s">
        <v>2394</v>
      </c>
      <c r="D2396" s="84">
        <v>0</v>
      </c>
      <c r="E2396" s="85" t="str">
        <f t="shared" si="261"/>
        <v/>
      </c>
      <c r="F2396" s="106" t="str">
        <f t="shared" si="267"/>
        <v/>
      </c>
      <c r="G2396" s="86"/>
      <c r="H2396" s="107">
        <f t="shared" si="262"/>
        <v>0</v>
      </c>
      <c r="I2396" s="107">
        <f t="shared" si="263"/>
        <v>0</v>
      </c>
      <c r="J2396" s="87">
        <f>IF($D2396&gt;0,IFERROR(Параметры!$D$42*$H2396/$H$2408,0),0)</f>
        <v>0</v>
      </c>
      <c r="K2396" s="87">
        <f>IFERROR(ROUND($N2396*Параметры!$D$36,2),0)</f>
        <v>0</v>
      </c>
      <c r="L2396" s="87">
        <f t="shared" si="264"/>
        <v>0</v>
      </c>
      <c r="M2396" s="87">
        <f t="shared" si="265"/>
        <v>0</v>
      </c>
      <c r="N2396" s="107" t="str">
        <f t="shared" si="266"/>
        <v/>
      </c>
    </row>
    <row r="2397" spans="2:14" x14ac:dyDescent="0.25">
      <c r="B2397" s="82">
        <f>SUBTOTAL(103,$D$8:D2397)</f>
        <v>2390</v>
      </c>
      <c r="C2397" s="83" t="s">
        <v>2395</v>
      </c>
      <c r="D2397" s="84">
        <v>0</v>
      </c>
      <c r="E2397" s="85" t="str">
        <f t="shared" si="261"/>
        <v/>
      </c>
      <c r="F2397" s="106" t="str">
        <f t="shared" si="267"/>
        <v/>
      </c>
      <c r="G2397" s="86"/>
      <c r="H2397" s="107">
        <f t="shared" si="262"/>
        <v>0</v>
      </c>
      <c r="I2397" s="107">
        <f t="shared" si="263"/>
        <v>0</v>
      </c>
      <c r="J2397" s="87">
        <f>IF($D2397&gt;0,IFERROR(Параметры!$D$42*$H2397/$H$2408,0),0)</f>
        <v>0</v>
      </c>
      <c r="K2397" s="87">
        <f>IFERROR(ROUND($N2397*Параметры!$D$36,2),0)</f>
        <v>0</v>
      </c>
      <c r="L2397" s="87">
        <f t="shared" si="264"/>
        <v>0</v>
      </c>
      <c r="M2397" s="87">
        <f t="shared" si="265"/>
        <v>0</v>
      </c>
      <c r="N2397" s="107" t="str">
        <f t="shared" si="266"/>
        <v/>
      </c>
    </row>
    <row r="2398" spans="2:14" x14ac:dyDescent="0.25">
      <c r="B2398" s="82">
        <f>SUBTOTAL(103,$D$8:D2398)</f>
        <v>2391</v>
      </c>
      <c r="C2398" s="83" t="s">
        <v>2396</v>
      </c>
      <c r="D2398" s="84">
        <v>0</v>
      </c>
      <c r="E2398" s="85" t="str">
        <f t="shared" si="261"/>
        <v/>
      </c>
      <c r="F2398" s="106" t="str">
        <f t="shared" si="267"/>
        <v/>
      </c>
      <c r="G2398" s="86"/>
      <c r="H2398" s="107">
        <f t="shared" si="262"/>
        <v>0</v>
      </c>
      <c r="I2398" s="107">
        <f t="shared" si="263"/>
        <v>0</v>
      </c>
      <c r="J2398" s="87">
        <f>IF($D2398&gt;0,IFERROR(Параметры!$D$42*$H2398/$H$2408,0),0)</f>
        <v>0</v>
      </c>
      <c r="K2398" s="87">
        <f>IFERROR(ROUND($N2398*Параметры!$D$36,2),0)</f>
        <v>0</v>
      </c>
      <c r="L2398" s="87">
        <f t="shared" si="264"/>
        <v>0</v>
      </c>
      <c r="M2398" s="87">
        <f t="shared" si="265"/>
        <v>0</v>
      </c>
      <c r="N2398" s="107" t="str">
        <f t="shared" si="266"/>
        <v/>
      </c>
    </row>
    <row r="2399" spans="2:14" x14ac:dyDescent="0.25">
      <c r="B2399" s="82">
        <f>SUBTOTAL(103,$D$8:D2399)</f>
        <v>2392</v>
      </c>
      <c r="C2399" s="83" t="s">
        <v>2397</v>
      </c>
      <c r="D2399" s="84">
        <v>0</v>
      </c>
      <c r="E2399" s="85" t="str">
        <f t="shared" si="261"/>
        <v/>
      </c>
      <c r="F2399" s="106" t="str">
        <f t="shared" si="267"/>
        <v/>
      </c>
      <c r="G2399" s="86"/>
      <c r="H2399" s="107">
        <f t="shared" si="262"/>
        <v>0</v>
      </c>
      <c r="I2399" s="107">
        <f t="shared" si="263"/>
        <v>0</v>
      </c>
      <c r="J2399" s="87">
        <f>IF($D2399&gt;0,IFERROR(Параметры!$D$42*$H2399/$H$2408,0),0)</f>
        <v>0</v>
      </c>
      <c r="K2399" s="87">
        <f>IFERROR(ROUND($N2399*Параметры!$D$36,2),0)</f>
        <v>0</v>
      </c>
      <c r="L2399" s="87">
        <f t="shared" si="264"/>
        <v>0</v>
      </c>
      <c r="M2399" s="87">
        <f t="shared" si="265"/>
        <v>0</v>
      </c>
      <c r="N2399" s="107" t="str">
        <f t="shared" si="266"/>
        <v/>
      </c>
    </row>
    <row r="2400" spans="2:14" x14ac:dyDescent="0.25">
      <c r="B2400" s="82">
        <f>SUBTOTAL(103,$D$8:D2400)</f>
        <v>2393</v>
      </c>
      <c r="C2400" s="83" t="s">
        <v>2398</v>
      </c>
      <c r="D2400" s="84">
        <v>0</v>
      </c>
      <c r="E2400" s="85" t="str">
        <f t="shared" si="261"/>
        <v/>
      </c>
      <c r="F2400" s="106" t="str">
        <f t="shared" si="267"/>
        <v/>
      </c>
      <c r="G2400" s="86"/>
      <c r="H2400" s="107">
        <f t="shared" si="262"/>
        <v>0</v>
      </c>
      <c r="I2400" s="107">
        <f t="shared" si="263"/>
        <v>0</v>
      </c>
      <c r="J2400" s="87">
        <f>IF($D2400&gt;0,IFERROR(Параметры!$D$42*$H2400/$H$2408,0),0)</f>
        <v>0</v>
      </c>
      <c r="K2400" s="87">
        <f>IFERROR(ROUND($N2400*Параметры!$D$36,2),0)</f>
        <v>0</v>
      </c>
      <c r="L2400" s="87">
        <f t="shared" si="264"/>
        <v>0</v>
      </c>
      <c r="M2400" s="87">
        <f t="shared" si="265"/>
        <v>0</v>
      </c>
      <c r="N2400" s="107" t="str">
        <f t="shared" si="266"/>
        <v/>
      </c>
    </row>
    <row r="2401" spans="2:14" x14ac:dyDescent="0.25">
      <c r="B2401" s="82">
        <f>SUBTOTAL(103,$D$8:D2401)</f>
        <v>2394</v>
      </c>
      <c r="C2401" s="83" t="s">
        <v>2399</v>
      </c>
      <c r="D2401" s="84">
        <v>0</v>
      </c>
      <c r="E2401" s="85" t="str">
        <f t="shared" si="261"/>
        <v/>
      </c>
      <c r="F2401" s="106" t="str">
        <f t="shared" si="267"/>
        <v/>
      </c>
      <c r="G2401" s="86"/>
      <c r="H2401" s="107">
        <f t="shared" si="262"/>
        <v>0</v>
      </c>
      <c r="I2401" s="107">
        <f t="shared" si="263"/>
        <v>0</v>
      </c>
      <c r="J2401" s="87">
        <f>IF($D2401&gt;0,IFERROR(Параметры!$D$42*$H2401/$H$2408,0),0)</f>
        <v>0</v>
      </c>
      <c r="K2401" s="87">
        <f>IFERROR(ROUND($N2401*Параметры!$D$36,2),0)</f>
        <v>0</v>
      </c>
      <c r="L2401" s="87">
        <f t="shared" si="264"/>
        <v>0</v>
      </c>
      <c r="M2401" s="87">
        <f t="shared" si="265"/>
        <v>0</v>
      </c>
      <c r="N2401" s="107" t="str">
        <f t="shared" si="266"/>
        <v/>
      </c>
    </row>
    <row r="2402" spans="2:14" x14ac:dyDescent="0.25">
      <c r="B2402" s="82">
        <f>SUBTOTAL(103,$D$8:D2402)</f>
        <v>2395</v>
      </c>
      <c r="C2402" s="83" t="s">
        <v>2400</v>
      </c>
      <c r="D2402" s="84">
        <v>0</v>
      </c>
      <c r="E2402" s="85" t="str">
        <f t="shared" si="261"/>
        <v/>
      </c>
      <c r="F2402" s="106" t="str">
        <f t="shared" si="267"/>
        <v/>
      </c>
      <c r="G2402" s="86"/>
      <c r="H2402" s="107">
        <f t="shared" si="262"/>
        <v>0</v>
      </c>
      <c r="I2402" s="107">
        <f t="shared" si="263"/>
        <v>0</v>
      </c>
      <c r="J2402" s="87">
        <f>IF($D2402&gt;0,IFERROR(Параметры!$D$42*$H2402/$H$2408,0),0)</f>
        <v>0</v>
      </c>
      <c r="K2402" s="87">
        <f>IFERROR(ROUND($N2402*Параметры!$D$36,2),0)</f>
        <v>0</v>
      </c>
      <c r="L2402" s="87">
        <f t="shared" si="264"/>
        <v>0</v>
      </c>
      <c r="M2402" s="87">
        <f t="shared" si="265"/>
        <v>0</v>
      </c>
      <c r="N2402" s="107" t="str">
        <f t="shared" si="266"/>
        <v/>
      </c>
    </row>
    <row r="2403" spans="2:14" x14ac:dyDescent="0.25">
      <c r="B2403" s="82">
        <f>SUBTOTAL(103,$D$8:D2403)</f>
        <v>2396</v>
      </c>
      <c r="C2403" s="83" t="s">
        <v>2401</v>
      </c>
      <c r="D2403" s="84">
        <v>0</v>
      </c>
      <c r="E2403" s="85" t="str">
        <f t="shared" si="261"/>
        <v/>
      </c>
      <c r="F2403" s="106" t="str">
        <f t="shared" si="267"/>
        <v/>
      </c>
      <c r="G2403" s="86"/>
      <c r="H2403" s="107">
        <f t="shared" si="262"/>
        <v>0</v>
      </c>
      <c r="I2403" s="107">
        <f t="shared" si="263"/>
        <v>0</v>
      </c>
      <c r="J2403" s="87">
        <f>IF($D2403&gt;0,IFERROR(Параметры!$D$42*$H2403/$H$2408,0),0)</f>
        <v>0</v>
      </c>
      <c r="K2403" s="87">
        <f>IFERROR(ROUND($N2403*Параметры!$D$36,2),0)</f>
        <v>0</v>
      </c>
      <c r="L2403" s="87">
        <f t="shared" si="264"/>
        <v>0</v>
      </c>
      <c r="M2403" s="87">
        <f t="shared" si="265"/>
        <v>0</v>
      </c>
      <c r="N2403" s="107" t="str">
        <f t="shared" si="266"/>
        <v/>
      </c>
    </row>
    <row r="2404" spans="2:14" x14ac:dyDescent="0.25">
      <c r="B2404" s="82">
        <f>SUBTOTAL(103,$D$8:D2404)</f>
        <v>2397</v>
      </c>
      <c r="C2404" s="83" t="s">
        <v>2402</v>
      </c>
      <c r="D2404" s="84">
        <v>0</v>
      </c>
      <c r="E2404" s="85" t="str">
        <f t="shared" si="261"/>
        <v/>
      </c>
      <c r="F2404" s="106" t="str">
        <f t="shared" si="267"/>
        <v/>
      </c>
      <c r="G2404" s="86"/>
      <c r="H2404" s="107">
        <f t="shared" si="262"/>
        <v>0</v>
      </c>
      <c r="I2404" s="107">
        <f t="shared" si="263"/>
        <v>0</v>
      </c>
      <c r="J2404" s="87">
        <f>IF($D2404&gt;0,IFERROR(Параметры!$D$42*$H2404/$H$2408,0),0)</f>
        <v>0</v>
      </c>
      <c r="K2404" s="87">
        <f>IFERROR(ROUND($N2404*Параметры!$D$36,2),0)</f>
        <v>0</v>
      </c>
      <c r="L2404" s="87">
        <f t="shared" si="264"/>
        <v>0</v>
      </c>
      <c r="M2404" s="87">
        <f t="shared" si="265"/>
        <v>0</v>
      </c>
      <c r="N2404" s="107" t="str">
        <f t="shared" si="266"/>
        <v/>
      </c>
    </row>
    <row r="2405" spans="2:14" x14ac:dyDescent="0.25">
      <c r="B2405" s="82">
        <f>SUBTOTAL(103,$D$8:D2405)</f>
        <v>2398</v>
      </c>
      <c r="C2405" s="83" t="s">
        <v>2403</v>
      </c>
      <c r="D2405" s="84">
        <v>0</v>
      </c>
      <c r="E2405" s="85" t="str">
        <f t="shared" si="261"/>
        <v/>
      </c>
      <c r="F2405" s="106" t="str">
        <f t="shared" si="267"/>
        <v/>
      </c>
      <c r="G2405" s="86"/>
      <c r="H2405" s="107">
        <f t="shared" si="262"/>
        <v>0</v>
      </c>
      <c r="I2405" s="107">
        <f t="shared" si="263"/>
        <v>0</v>
      </c>
      <c r="J2405" s="87">
        <f>IF($D2405&gt;0,IFERROR(Параметры!$D$42*$H2405/$H$2408,0),0)</f>
        <v>0</v>
      </c>
      <c r="K2405" s="87">
        <f>IFERROR(ROUND($N2405*Параметры!$D$36,2),0)</f>
        <v>0</v>
      </c>
      <c r="L2405" s="87">
        <f t="shared" si="264"/>
        <v>0</v>
      </c>
      <c r="M2405" s="87">
        <f t="shared" si="265"/>
        <v>0</v>
      </c>
      <c r="N2405" s="107" t="str">
        <f t="shared" si="266"/>
        <v/>
      </c>
    </row>
    <row r="2406" spans="2:14" x14ac:dyDescent="0.25">
      <c r="B2406" s="82">
        <f>SUBTOTAL(103,$D$8:D2406)</f>
        <v>2399</v>
      </c>
      <c r="C2406" s="83" t="s">
        <v>2404</v>
      </c>
      <c r="D2406" s="84">
        <v>0</v>
      </c>
      <c r="E2406" s="85" t="str">
        <f t="shared" si="261"/>
        <v/>
      </c>
      <c r="F2406" s="106" t="str">
        <f t="shared" si="267"/>
        <v/>
      </c>
      <c r="G2406" s="86"/>
      <c r="H2406" s="107">
        <f t="shared" si="262"/>
        <v>0</v>
      </c>
      <c r="I2406" s="107">
        <f t="shared" si="263"/>
        <v>0</v>
      </c>
      <c r="J2406" s="87">
        <f>IF($D2406&gt;0,IFERROR(Параметры!$D$42*$H2406/$H$2408,0),0)</f>
        <v>0</v>
      </c>
      <c r="K2406" s="87">
        <f>IFERROR(ROUND($N2406*Параметры!$D$36,2),0)</f>
        <v>0</v>
      </c>
      <c r="L2406" s="87">
        <f t="shared" si="264"/>
        <v>0</v>
      </c>
      <c r="M2406" s="87">
        <f t="shared" si="265"/>
        <v>0</v>
      </c>
      <c r="N2406" s="107" t="str">
        <f t="shared" si="266"/>
        <v/>
      </c>
    </row>
    <row r="2407" spans="2:14" x14ac:dyDescent="0.25">
      <c r="B2407" s="82">
        <f>SUBTOTAL(103,$D$8:D2407)</f>
        <v>2400</v>
      </c>
      <c r="C2407" s="83" t="s">
        <v>2405</v>
      </c>
      <c r="D2407" s="84">
        <v>0</v>
      </c>
      <c r="E2407" s="85" t="str">
        <f t="shared" si="261"/>
        <v/>
      </c>
      <c r="F2407" s="106" t="str">
        <f t="shared" si="267"/>
        <v/>
      </c>
      <c r="G2407" s="86"/>
      <c r="H2407" s="107">
        <f t="shared" si="262"/>
        <v>0</v>
      </c>
      <c r="I2407" s="107">
        <f t="shared" si="263"/>
        <v>0</v>
      </c>
      <c r="J2407" s="87">
        <f>IF($D2407&gt;0,IFERROR(Параметры!$D$42*$H2407/$H$2408,0),0)</f>
        <v>0</v>
      </c>
      <c r="K2407" s="87">
        <f>IFERROR(ROUND($N2407*Параметры!$D$36,2),0)</f>
        <v>0</v>
      </c>
      <c r="L2407" s="87">
        <f t="shared" si="264"/>
        <v>0</v>
      </c>
      <c r="M2407" s="87">
        <f t="shared" si="265"/>
        <v>0</v>
      </c>
      <c r="N2407" s="107" t="str">
        <f t="shared" si="266"/>
        <v/>
      </c>
    </row>
    <row r="2408" spans="2:14" x14ac:dyDescent="0.25">
      <c r="B2408" s="7"/>
      <c r="C2408" s="7" t="s">
        <v>2406</v>
      </c>
      <c r="D2408" s="9">
        <f>SUM(D8:D2407)</f>
        <v>1428</v>
      </c>
      <c r="E2408" s="9">
        <f>SUM(E8:E2407)</f>
        <v>32475.199900000047</v>
      </c>
      <c r="F2408" s="9">
        <f>SUM(F8:F2407)</f>
        <v>394</v>
      </c>
      <c r="G2408" s="31"/>
      <c r="H2408" s="34">
        <f t="shared" ref="H2408:N2408" si="268">SUM(H8:H2407)</f>
        <v>1228.0800000000033</v>
      </c>
      <c r="I2408" s="34">
        <f t="shared" si="268"/>
        <v>199.9200000000005</v>
      </c>
      <c r="J2408" s="108">
        <f t="shared" si="268"/>
        <v>21457.11350253805</v>
      </c>
      <c r="K2408" s="34">
        <f t="shared" si="268"/>
        <v>30782.179999999986</v>
      </c>
      <c r="L2408" s="34">
        <f t="shared" si="268"/>
        <v>1693.0199000000034</v>
      </c>
      <c r="M2408" s="34">
        <f t="shared" si="268"/>
        <v>1986.3548529023599</v>
      </c>
      <c r="N2408" s="34">
        <f t="shared" si="268"/>
        <v>1034</v>
      </c>
    </row>
  </sheetData>
  <autoFilter ref="D7:G2407" xr:uid="{00000000-0009-0000-0000-000001000000}"/>
  <mergeCells count="5">
    <mergeCell ref="H5:N5"/>
    <mergeCell ref="D5:E5"/>
    <mergeCell ref="B1:F3"/>
    <mergeCell ref="B5:B6"/>
    <mergeCell ref="C5:C6"/>
  </mergeCells>
  <pageMargins left="0.98425196850393704" right="0.19685039370078741" top="0.19685039370078741" bottom="0.19685039370078741" header="0.19685039370078741" footer="0.19685039370078741"/>
  <pageSetup paperSize="9" scale="98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1">
    <tabColor rgb="FF92D050"/>
  </sheetPr>
  <dimension ref="A1:G69"/>
  <sheetViews>
    <sheetView showGridLines="0" tabSelected="1" zoomScaleNormal="100" workbookViewId="0">
      <pane ySplit="19" topLeftCell="A20" activePane="bottomLeft" state="frozen"/>
      <selection pane="bottomLeft" activeCell="C21" sqref="C21"/>
    </sheetView>
  </sheetViews>
  <sheetFormatPr defaultRowHeight="15" x14ac:dyDescent="0.25"/>
  <cols>
    <col min="1" max="1" width="1.28515625" style="142" customWidth="1"/>
    <col min="2" max="2" width="46.85546875" style="142" customWidth="1"/>
    <col min="3" max="3" width="11.5703125" style="142" customWidth="1"/>
    <col min="4" max="4" width="14.5703125" style="142" customWidth="1"/>
    <col min="5" max="5" width="1.140625" style="77" customWidth="1"/>
    <col min="6" max="6" width="79" style="77" bestFit="1" customWidth="1"/>
    <col min="7" max="7" width="13.140625" style="77" bestFit="1" customWidth="1"/>
  </cols>
  <sheetData>
    <row r="1" spans="1:4" ht="18.75" customHeight="1" x14ac:dyDescent="0.25">
      <c r="A1" s="119"/>
      <c r="B1" s="347" t="s">
        <v>2407</v>
      </c>
      <c r="C1" s="347"/>
      <c r="D1" s="347"/>
    </row>
    <row r="2" spans="1:4" ht="6" customHeight="1" x14ac:dyDescent="0.25">
      <c r="A2" s="119"/>
      <c r="B2" s="150"/>
      <c r="C2" s="150"/>
      <c r="D2" s="150"/>
    </row>
    <row r="3" spans="1:4" x14ac:dyDescent="0.25">
      <c r="A3" s="119"/>
      <c r="B3" s="150" t="s">
        <v>2408</v>
      </c>
      <c r="C3" s="345" t="s">
        <v>2409</v>
      </c>
      <c r="D3" s="346"/>
    </row>
    <row r="4" spans="1:4" ht="3.75" customHeight="1" x14ac:dyDescent="0.25">
      <c r="A4" s="119"/>
      <c r="B4" s="119"/>
      <c r="C4" s="119"/>
      <c r="D4" s="150"/>
    </row>
    <row r="5" spans="1:4" x14ac:dyDescent="0.25">
      <c r="A5" s="119"/>
      <c r="B5" s="150" t="s">
        <v>2410</v>
      </c>
      <c r="C5" s="345" t="s">
        <v>2411</v>
      </c>
      <c r="D5" s="345"/>
    </row>
    <row r="6" spans="1:4" ht="3.75" customHeight="1" x14ac:dyDescent="0.25">
      <c r="A6" s="119"/>
      <c r="B6" s="150"/>
      <c r="C6" s="150"/>
      <c r="D6" s="150"/>
    </row>
    <row r="7" spans="1:4" x14ac:dyDescent="0.25">
      <c r="A7" s="119"/>
      <c r="B7" s="150" t="s">
        <v>2412</v>
      </c>
      <c r="C7" s="345" t="s">
        <v>2897</v>
      </c>
      <c r="D7" s="346"/>
    </row>
    <row r="8" spans="1:4" ht="3.75" customHeight="1" x14ac:dyDescent="0.25">
      <c r="A8" s="119"/>
      <c r="B8" s="150"/>
      <c r="C8" s="150"/>
      <c r="D8" s="150"/>
    </row>
    <row r="9" spans="1:4" x14ac:dyDescent="0.25">
      <c r="A9" s="119"/>
      <c r="B9" s="150" t="s">
        <v>2413</v>
      </c>
      <c r="C9" s="266">
        <v>46167</v>
      </c>
      <c r="D9" s="119"/>
    </row>
    <row r="10" spans="1:4" ht="3.75" customHeight="1" x14ac:dyDescent="0.25">
      <c r="A10" s="119"/>
      <c r="B10" s="150"/>
      <c r="C10" s="150"/>
      <c r="D10" s="150"/>
    </row>
    <row r="11" spans="1:4" x14ac:dyDescent="0.25">
      <c r="A11" s="119"/>
      <c r="B11" s="150" t="s">
        <v>2414</v>
      </c>
      <c r="C11" s="267" t="s">
        <v>2415</v>
      </c>
      <c r="D11" s="119"/>
    </row>
    <row r="12" spans="1:4" ht="3.75" customHeight="1" x14ac:dyDescent="0.25">
      <c r="A12" s="119"/>
      <c r="B12" s="150"/>
      <c r="C12" s="150"/>
      <c r="D12" s="150"/>
    </row>
    <row r="13" spans="1:4" x14ac:dyDescent="0.25">
      <c r="A13" s="119"/>
      <c r="B13" s="150" t="s">
        <v>2416</v>
      </c>
      <c r="C13" s="267" t="s">
        <v>2417</v>
      </c>
      <c r="D13" s="119"/>
    </row>
    <row r="14" spans="1:4" ht="3.75" customHeight="1" x14ac:dyDescent="0.25">
      <c r="A14" s="119"/>
      <c r="B14" s="150"/>
      <c r="C14" s="150"/>
      <c r="D14" s="150"/>
    </row>
    <row r="15" spans="1:4" x14ac:dyDescent="0.25">
      <c r="A15" s="119"/>
      <c r="B15" s="150" t="s">
        <v>2418</v>
      </c>
      <c r="C15" s="267" t="s">
        <v>2419</v>
      </c>
      <c r="D15" s="119"/>
    </row>
    <row r="16" spans="1:4" ht="3.75" customHeight="1" x14ac:dyDescent="0.25">
      <c r="A16" s="119"/>
      <c r="B16" s="150"/>
      <c r="C16" s="150"/>
      <c r="D16" s="150"/>
    </row>
    <row r="17" spans="1:6" x14ac:dyDescent="0.25">
      <c r="A17" s="119"/>
      <c r="B17" s="150" t="s">
        <v>2420</v>
      </c>
      <c r="C17" s="267" t="s">
        <v>1060</v>
      </c>
      <c r="D17" s="119"/>
    </row>
    <row r="18" spans="1:6" ht="6" customHeight="1" x14ac:dyDescent="0.25">
      <c r="A18" s="119"/>
      <c r="B18" s="119"/>
      <c r="C18" s="119"/>
      <c r="D18" s="119"/>
    </row>
    <row r="19" spans="1:6" x14ac:dyDescent="0.25">
      <c r="A19" s="119"/>
      <c r="B19" s="268" t="s">
        <v>2421</v>
      </c>
      <c r="C19" s="268" t="s">
        <v>2422</v>
      </c>
      <c r="D19" s="268" t="s">
        <v>2423</v>
      </c>
    </row>
    <row r="20" spans="1:6" x14ac:dyDescent="0.25">
      <c r="A20" s="119"/>
      <c r="B20" s="146" t="s">
        <v>2424</v>
      </c>
      <c r="C20" s="146"/>
      <c r="D20" s="269" t="s">
        <v>2425</v>
      </c>
    </row>
    <row r="21" spans="1:6" x14ac:dyDescent="0.25">
      <c r="A21" s="119"/>
      <c r="B21" s="146" t="s">
        <v>2426</v>
      </c>
      <c r="C21" s="146"/>
      <c r="D21" s="269" t="s">
        <v>2427</v>
      </c>
    </row>
    <row r="22" spans="1:6" x14ac:dyDescent="0.25">
      <c r="A22" s="119"/>
      <c r="B22" s="146" t="s">
        <v>2428</v>
      </c>
      <c r="C22" s="146" t="s">
        <v>2429</v>
      </c>
      <c r="D22" s="146">
        <f>IFERROR(VLOOKUP($D$21,Справочник!$B$3:$C$14,2,FALSE),0)</f>
        <v>0.82</v>
      </c>
    </row>
    <row r="23" spans="1:6" x14ac:dyDescent="0.25">
      <c r="A23" s="119"/>
      <c r="B23" s="146" t="s">
        <v>2430</v>
      </c>
      <c r="C23" s="146"/>
      <c r="D23" s="270" t="s">
        <v>2431</v>
      </c>
    </row>
    <row r="24" spans="1:6" x14ac:dyDescent="0.25">
      <c r="A24" s="119"/>
      <c r="B24" s="146" t="s">
        <v>2432</v>
      </c>
      <c r="C24" s="146"/>
      <c r="D24" s="271">
        <f>IFERROR(INDEX(Справочник!$F$3:$F$14,MONTH($C$9)),0)</f>
        <v>3</v>
      </c>
    </row>
    <row r="25" spans="1:6" x14ac:dyDescent="0.25">
      <c r="A25" s="119"/>
      <c r="B25" s="146" t="s">
        <v>2433</v>
      </c>
      <c r="C25" s="146"/>
      <c r="D25" s="272">
        <f>IFERROR(IF($D$23=Справочник!$G$2,INDEX(Справочник!$G$3:$G$14,MONTH($C$9)),INDEX(Справочник!$H$3:$H$14,MONTH($C$9))),0)</f>
        <v>0.852325</v>
      </c>
    </row>
    <row r="26" spans="1:6" x14ac:dyDescent="0.25">
      <c r="A26" s="119"/>
      <c r="B26" s="146" t="s">
        <v>2434</v>
      </c>
      <c r="C26" s="146" t="s">
        <v>2435</v>
      </c>
      <c r="D26" s="273">
        <v>0.215</v>
      </c>
      <c r="F26" s="263"/>
    </row>
    <row r="27" spans="1:6" x14ac:dyDescent="0.25">
      <c r="A27" s="119"/>
      <c r="B27" s="146" t="s">
        <v>2436</v>
      </c>
      <c r="C27" s="146"/>
      <c r="D27" s="274">
        <v>0.86</v>
      </c>
      <c r="F27" s="264"/>
    </row>
    <row r="28" spans="1:6" hidden="1" x14ac:dyDescent="0.25">
      <c r="A28" s="119"/>
      <c r="B28" s="146" t="s">
        <v>2437</v>
      </c>
      <c r="C28" s="146"/>
      <c r="D28" s="275">
        <v>1.1299999999999999</v>
      </c>
    </row>
    <row r="29" spans="1:6" x14ac:dyDescent="0.25">
      <c r="A29" s="119"/>
      <c r="B29" s="146" t="s">
        <v>2438</v>
      </c>
      <c r="C29" s="146" t="s">
        <v>2439</v>
      </c>
      <c r="D29" s="147">
        <v>2550</v>
      </c>
    </row>
    <row r="30" spans="1:6" x14ac:dyDescent="0.25">
      <c r="A30" s="119"/>
      <c r="B30" s="146" t="s">
        <v>2440</v>
      </c>
      <c r="C30" s="146"/>
      <c r="D30" s="270">
        <v>1</v>
      </c>
    </row>
    <row r="31" spans="1:6" ht="30" customHeight="1" x14ac:dyDescent="0.25">
      <c r="A31" s="119"/>
      <c r="B31" s="155" t="s">
        <v>2441</v>
      </c>
      <c r="C31" s="146" t="s">
        <v>2435</v>
      </c>
      <c r="D31" s="147">
        <v>0</v>
      </c>
    </row>
    <row r="32" spans="1:6" x14ac:dyDescent="0.25">
      <c r="A32" s="119"/>
      <c r="B32" s="156" t="s">
        <v>2442</v>
      </c>
      <c r="C32" s="156" t="s">
        <v>2435</v>
      </c>
      <c r="D32" s="156" t="str">
        <f>IF(D33&gt;0,CONCATENATE(D33,"x",D34),"")</f>
        <v>5,5x5</v>
      </c>
      <c r="F32" s="264"/>
    </row>
    <row r="33" spans="1:7" x14ac:dyDescent="0.25">
      <c r="A33" s="119"/>
      <c r="B33" s="276" t="s">
        <v>2443</v>
      </c>
      <c r="C33" s="276" t="s">
        <v>2435</v>
      </c>
      <c r="D33" s="277">
        <v>5.5</v>
      </c>
      <c r="F33" s="264"/>
    </row>
    <row r="34" spans="1:7" ht="15.75" customHeight="1" thickBot="1" x14ac:dyDescent="0.3">
      <c r="A34" s="119"/>
      <c r="B34" s="278" t="s">
        <v>2444</v>
      </c>
      <c r="C34" s="278" t="s">
        <v>2435</v>
      </c>
      <c r="D34" s="279">
        <f>ROUND(IF($D$20=Справочник!$U$3,$D$33,$D$33*0.917),1)</f>
        <v>5</v>
      </c>
      <c r="F34" s="264"/>
    </row>
    <row r="35" spans="1:7" ht="15.75" customHeight="1" thickTop="1" x14ac:dyDescent="0.25">
      <c r="A35" s="119"/>
      <c r="B35" s="280" t="s">
        <v>2445</v>
      </c>
      <c r="C35" s="280" t="s">
        <v>2446</v>
      </c>
      <c r="D35" s="281">
        <f>D33*D34</f>
        <v>27.5</v>
      </c>
    </row>
    <row r="36" spans="1:7" x14ac:dyDescent="0.25">
      <c r="A36" s="119"/>
      <c r="B36" s="146" t="s">
        <v>2447</v>
      </c>
      <c r="C36" s="146" t="s">
        <v>2448</v>
      </c>
      <c r="D36" s="282">
        <f>ROUND(PI()*($D$26^2)/4*$D$22*1000,2)</f>
        <v>29.77</v>
      </c>
      <c r="F36" s="65"/>
    </row>
    <row r="37" spans="1:7" ht="20.25" customHeight="1" x14ac:dyDescent="0.25">
      <c r="A37" s="119"/>
      <c r="B37" s="146" t="s">
        <v>2449</v>
      </c>
      <c r="C37" s="146" t="s">
        <v>2450</v>
      </c>
      <c r="D37" s="282">
        <f>IFERROR($D$42/$D$45/$D$40,0)</f>
        <v>17.472081218274113</v>
      </c>
      <c r="F37" s="109"/>
    </row>
    <row r="38" spans="1:7" ht="20.25" customHeight="1" x14ac:dyDescent="0.25">
      <c r="A38" s="119"/>
      <c r="B38" s="146" t="s">
        <v>2451</v>
      </c>
      <c r="C38" s="146" t="s">
        <v>2439</v>
      </c>
      <c r="D38" s="335">
        <f>IFERROR($D$53/$D$42,0)</f>
        <v>1.5180839629779137</v>
      </c>
      <c r="F38" s="109"/>
    </row>
    <row r="39" spans="1:7" x14ac:dyDescent="0.25">
      <c r="A39" s="119"/>
      <c r="B39" s="146" t="s">
        <v>2452</v>
      </c>
      <c r="C39" s="146" t="s">
        <v>2453</v>
      </c>
      <c r="D39" s="282">
        <v>20</v>
      </c>
      <c r="F39" s="264"/>
    </row>
    <row r="40" spans="1:7" x14ac:dyDescent="0.25">
      <c r="A40" s="119"/>
      <c r="B40" s="146" t="s">
        <v>2454</v>
      </c>
      <c r="C40" s="146" t="s">
        <v>2453</v>
      </c>
      <c r="D40" s="271">
        <v>197</v>
      </c>
      <c r="F40" s="264"/>
    </row>
    <row r="41" spans="1:7" x14ac:dyDescent="0.25">
      <c r="A41" s="119"/>
      <c r="B41" s="146" t="s">
        <v>2455</v>
      </c>
      <c r="C41" s="146" t="s">
        <v>2456</v>
      </c>
      <c r="D41" s="282">
        <v>3442</v>
      </c>
      <c r="F41" s="264"/>
    </row>
    <row r="42" spans="1:7" ht="15" customHeight="1" x14ac:dyDescent="0.25">
      <c r="A42" s="119"/>
      <c r="B42" s="155" t="s">
        <v>2457</v>
      </c>
      <c r="C42" s="146" t="s">
        <v>2458</v>
      </c>
      <c r="D42" s="282">
        <f>D41*h_уступа</f>
        <v>21457.11350253813</v>
      </c>
      <c r="F42" s="265"/>
    </row>
    <row r="43" spans="1:7" x14ac:dyDescent="0.25">
      <c r="A43" s="119"/>
      <c r="B43" s="146" t="s">
        <v>2459</v>
      </c>
      <c r="C43" s="146" t="s">
        <v>2460</v>
      </c>
      <c r="D43" s="271">
        <f>SUM('Зарядная карта'!$C$5:$BJ$44)</f>
        <v>1428</v>
      </c>
    </row>
    <row r="44" spans="1:7" x14ac:dyDescent="0.25">
      <c r="A44" s="119"/>
      <c r="B44" s="146" t="s">
        <v>2461</v>
      </c>
      <c r="C44" s="146" t="s">
        <v>2435</v>
      </c>
      <c r="D44" s="284">
        <f>IFERROR('Каталог скважин'!$D$2408/n_скважин,0)</f>
        <v>7.248730964467005</v>
      </c>
    </row>
    <row r="45" spans="1:7" x14ac:dyDescent="0.25">
      <c r="A45" s="119"/>
      <c r="B45" s="146" t="s">
        <v>2462</v>
      </c>
      <c r="C45" s="146" t="s">
        <v>2435</v>
      </c>
      <c r="D45" s="285">
        <f>IFERROR(AVERAGEIF('Каталог скважин'!H8:H2407,"&gt;0"),0)</f>
        <v>6.2339086294416415</v>
      </c>
      <c r="F45" s="91"/>
      <c r="G45"/>
    </row>
    <row r="46" spans="1:7" x14ac:dyDescent="0.25">
      <c r="A46" s="119"/>
      <c r="B46" s="146" t="s">
        <v>2463</v>
      </c>
      <c r="C46" s="146" t="s">
        <v>2435</v>
      </c>
      <c r="D46" s="285">
        <f>IFERROR('Каталог скважин'!$I$2408/n_скважин,0)</f>
        <v>1.0148223350253833</v>
      </c>
    </row>
    <row r="47" spans="1:7" x14ac:dyDescent="0.25">
      <c r="A47" s="119"/>
      <c r="B47" s="146" t="s">
        <v>2464</v>
      </c>
      <c r="C47" s="146" t="s">
        <v>2435</v>
      </c>
      <c r="D47" s="285">
        <f>IFERROR('Каталог скважин'!$N$2408/n_скважин,0)</f>
        <v>5.248730964467005</v>
      </c>
    </row>
    <row r="48" spans="1:7" x14ac:dyDescent="0.25">
      <c r="A48" s="119"/>
      <c r="B48" s="146" t="s">
        <v>2465</v>
      </c>
      <c r="C48" s="146" t="s">
        <v>2435</v>
      </c>
      <c r="D48" s="285">
        <f>IFERROR('Каталог скважин'!$F$2408/n_скважин,0)</f>
        <v>2</v>
      </c>
    </row>
    <row r="49" spans="1:6" x14ac:dyDescent="0.25">
      <c r="A49" s="119"/>
      <c r="B49" s="146" t="s">
        <v>2466</v>
      </c>
      <c r="C49" s="146" t="s">
        <v>2435</v>
      </c>
      <c r="D49" s="286">
        <f>IFERROR(ROUND(53*$D$30*d_скважины*SQRT((($D$22*1000)-$D$28)/$D$29),1),0)</f>
        <v>6.5</v>
      </c>
    </row>
    <row r="50" spans="1:6" hidden="1" x14ac:dyDescent="0.25">
      <c r="A50" s="119"/>
      <c r="B50" s="146" t="s">
        <v>2467</v>
      </c>
      <c r="C50" s="146"/>
      <c r="D50" s="286">
        <f>IFERROR(ROUND(0.55/d_скважины^(1/3),2),0)</f>
        <v>0.92</v>
      </c>
    </row>
    <row r="51" spans="1:6" ht="6.75" customHeight="1" x14ac:dyDescent="0.25">
      <c r="A51" s="119"/>
      <c r="B51" s="119"/>
      <c r="C51" s="119"/>
      <c r="D51" s="287"/>
    </row>
    <row r="52" spans="1:6" x14ac:dyDescent="0.25">
      <c r="A52" s="119"/>
      <c r="B52" s="268" t="s">
        <v>2468</v>
      </c>
      <c r="C52" s="268" t="s">
        <v>2422</v>
      </c>
      <c r="D52" s="268" t="s">
        <v>2423</v>
      </c>
    </row>
    <row r="53" spans="1:6" x14ac:dyDescent="0.25">
      <c r="A53" s="119"/>
      <c r="B53" s="156" t="s">
        <v>2469</v>
      </c>
      <c r="C53" s="156" t="s">
        <v>2470</v>
      </c>
      <c r="D53" s="288">
        <f>SUM(D54:D56)</f>
        <v>32573.699899999989</v>
      </c>
      <c r="F53" s="65"/>
    </row>
    <row r="54" spans="1:6" x14ac:dyDescent="0.25">
      <c r="A54" s="119"/>
      <c r="B54" s="276" t="s">
        <v>2471</v>
      </c>
      <c r="C54" s="276" t="s">
        <v>2470</v>
      </c>
      <c r="D54" s="289">
        <f>'Каталог скважин'!$K$2408</f>
        <v>30782.179999999986</v>
      </c>
      <c r="F54" s="59"/>
    </row>
    <row r="55" spans="1:6" x14ac:dyDescent="0.25">
      <c r="A55" s="119"/>
      <c r="B55" s="276" t="s">
        <v>2472</v>
      </c>
      <c r="C55" s="276" t="s">
        <v>2470</v>
      </c>
      <c r="D55" s="289">
        <f>'Каталог скважин'!$L$2408</f>
        <v>1693.0199000000034</v>
      </c>
    </row>
    <row r="56" spans="1:6" x14ac:dyDescent="0.25">
      <c r="A56" s="119"/>
      <c r="B56" s="276" t="str">
        <f>$B$69</f>
        <v>ПТ-П-500</v>
      </c>
      <c r="C56" s="276" t="str">
        <f>$C$69</f>
        <v>кг</v>
      </c>
      <c r="D56" s="290">
        <f>n_скважин*0.5</f>
        <v>98.5</v>
      </c>
      <c r="F56" s="263"/>
    </row>
    <row r="57" spans="1:6" x14ac:dyDescent="0.25">
      <c r="A57" s="119"/>
      <c r="B57" s="276" t="s">
        <v>2472</v>
      </c>
      <c r="C57" s="276" t="s">
        <v>2473</v>
      </c>
      <c r="D57" s="289">
        <f>'Каталог скважин'!$M$2408</f>
        <v>1986.3548529023599</v>
      </c>
    </row>
    <row r="58" spans="1:6" x14ac:dyDescent="0.25">
      <c r="A58" s="119"/>
      <c r="B58" s="156" t="s">
        <v>2474</v>
      </c>
      <c r="C58" s="156" t="s">
        <v>2470</v>
      </c>
      <c r="D58" s="291">
        <f>SUM(D59:D61)</f>
        <v>165.34873045685276</v>
      </c>
    </row>
    <row r="59" spans="1:6" x14ac:dyDescent="0.25">
      <c r="A59" s="119"/>
      <c r="B59" s="276" t="s">
        <v>2471</v>
      </c>
      <c r="C59" s="276" t="s">
        <v>2470</v>
      </c>
      <c r="D59" s="292">
        <f>IFERROR(D54/n_скважин,0)</f>
        <v>156.25472081218268</v>
      </c>
      <c r="F59" s="65"/>
    </row>
    <row r="60" spans="1:6" x14ac:dyDescent="0.25">
      <c r="A60" s="119"/>
      <c r="B60" s="276" t="s">
        <v>2472</v>
      </c>
      <c r="C60" s="276" t="s">
        <v>2470</v>
      </c>
      <c r="D60" s="293">
        <f>IFERROR(D55/n_скважин,0)</f>
        <v>8.5940096446700682</v>
      </c>
    </row>
    <row r="61" spans="1:6" x14ac:dyDescent="0.25">
      <c r="A61" s="119"/>
      <c r="B61" s="276" t="str">
        <f>"ПТ-П-"&amp;$D$61*1000&amp;""</f>
        <v>ПТ-П-500</v>
      </c>
      <c r="C61" s="276" t="s">
        <v>2470</v>
      </c>
      <c r="D61" s="294">
        <v>0.5</v>
      </c>
    </row>
    <row r="62" spans="1:6" x14ac:dyDescent="0.25">
      <c r="A62" s="119"/>
      <c r="B62" s="276" t="s">
        <v>2472</v>
      </c>
      <c r="C62" s="276" t="s">
        <v>2473</v>
      </c>
      <c r="D62" s="295">
        <f>IFERROR(D57/n_скважин,0)</f>
        <v>10.08301955788</v>
      </c>
    </row>
    <row r="63" spans="1:6" ht="7.5" customHeight="1" x14ac:dyDescent="0.25">
      <c r="A63" s="119"/>
      <c r="B63" s="119"/>
      <c r="C63" s="119"/>
      <c r="D63" s="119"/>
    </row>
    <row r="64" spans="1:6" x14ac:dyDescent="0.25">
      <c r="A64" s="119"/>
      <c r="B64" s="268" t="s">
        <v>2475</v>
      </c>
      <c r="C64" s="268" t="s">
        <v>2422</v>
      </c>
      <c r="D64" s="268" t="s">
        <v>2423</v>
      </c>
    </row>
    <row r="65" spans="1:4" x14ac:dyDescent="0.25">
      <c r="A65" s="119"/>
      <c r="B65" s="146" t="s">
        <v>2476</v>
      </c>
      <c r="C65" s="146" t="s">
        <v>2453</v>
      </c>
      <c r="D65" s="271">
        <f>n_скважин</f>
        <v>197</v>
      </c>
    </row>
    <row r="66" spans="1:4" x14ac:dyDescent="0.25">
      <c r="A66" s="119"/>
      <c r="B66" s="146" t="s">
        <v>2477</v>
      </c>
      <c r="C66" s="146" t="s">
        <v>2453</v>
      </c>
      <c r="D66" s="271">
        <f>$D$65-$D$67</f>
        <v>177</v>
      </c>
    </row>
    <row r="67" spans="1:4" x14ac:dyDescent="0.25">
      <c r="A67" s="119"/>
      <c r="B67" s="146" t="s">
        <v>2478</v>
      </c>
      <c r="C67" s="146" t="s">
        <v>2453</v>
      </c>
      <c r="D67" s="147">
        <v>20</v>
      </c>
    </row>
    <row r="68" spans="1:4" x14ac:dyDescent="0.25">
      <c r="A68" s="119"/>
      <c r="B68" s="146" t="s">
        <v>2479</v>
      </c>
      <c r="C68" s="146" t="s">
        <v>2453</v>
      </c>
      <c r="D68" s="271">
        <v>1</v>
      </c>
    </row>
    <row r="69" spans="1:4" x14ac:dyDescent="0.25">
      <c r="A69" s="119"/>
      <c r="B69" s="146" t="str">
        <f>B61</f>
        <v>ПТ-П-500</v>
      </c>
      <c r="C69" s="146" t="str">
        <f>C61</f>
        <v>кг</v>
      </c>
      <c r="D69" s="283">
        <f>D61*n_скважин</f>
        <v>98.5</v>
      </c>
    </row>
  </sheetData>
  <mergeCells count="4">
    <mergeCell ref="C3:D3"/>
    <mergeCell ref="C5:D5"/>
    <mergeCell ref="C7:D7"/>
    <mergeCell ref="B1:D1"/>
  </mergeCells>
  <pageMargins left="0.59055118110236227" right="0.39370078740157483" top="0.74803149606299213" bottom="0.74803149606299213" header="0.31496062992125984" footer="0.31496062992125984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>
    <tabColor rgb="FF92D050"/>
  </sheetPr>
  <dimension ref="A1"/>
  <sheetViews>
    <sheetView showGridLines="0" workbookViewId="0">
      <selection activeCell="I37" sqref="I37"/>
    </sheetView>
  </sheetViews>
  <sheetFormatPr defaultColWidth="9.140625" defaultRowHeight="15" x14ac:dyDescent="0.25"/>
  <cols>
    <col min="1" max="1" width="9.140625" style="77" customWidth="1"/>
    <col min="2" max="16384" width="9.140625" style="77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>
    <tabColor theme="6" tint="0.59999389629810485"/>
    <pageSetUpPr fitToPage="1"/>
  </sheetPr>
  <dimension ref="A1:I50"/>
  <sheetViews>
    <sheetView showGridLines="0" workbookViewId="0">
      <selection activeCell="H14" sqref="G14:H14"/>
    </sheetView>
  </sheetViews>
  <sheetFormatPr defaultColWidth="0" defaultRowHeight="15" zeroHeight="1" x14ac:dyDescent="0.25"/>
  <cols>
    <col min="1" max="1" width="9.7109375" style="77" customWidth="1"/>
    <col min="2" max="9" width="9.140625" style="77" customWidth="1"/>
    <col min="10" max="10" width="9.140625" style="77" hidden="1" customWidth="1"/>
    <col min="11" max="16384" width="9.140625" style="77" hidden="1"/>
  </cols>
  <sheetData>
    <row r="1" spans="1:9" x14ac:dyDescent="0.25">
      <c r="A1" s="141"/>
      <c r="B1" s="141"/>
      <c r="C1" s="141"/>
      <c r="D1" s="141"/>
      <c r="E1" s="141"/>
      <c r="F1" s="141"/>
      <c r="G1" s="141"/>
      <c r="H1" s="141"/>
      <c r="I1" s="141"/>
    </row>
    <row r="2" spans="1:9" ht="15.75" customHeight="1" x14ac:dyDescent="0.25">
      <c r="A2" s="352" t="s">
        <v>2480</v>
      </c>
      <c r="B2" s="349"/>
      <c r="C2" s="349"/>
      <c r="D2" s="349"/>
      <c r="E2" s="349"/>
      <c r="F2" s="349"/>
      <c r="G2" s="349"/>
      <c r="H2" s="349"/>
      <c r="I2" s="349"/>
    </row>
    <row r="3" spans="1:9" ht="15.75" customHeight="1" x14ac:dyDescent="0.25">
      <c r="A3" s="352" t="str">
        <f>UPPER(TRIM(RIGHT(Параметры!$C$3,LEN(Параметры!$C$3)-3)))</f>
        <v>"ПОИСК ЗОЛОТО"</v>
      </c>
      <c r="B3" s="349"/>
      <c r="C3" s="349"/>
      <c r="D3" s="349"/>
      <c r="E3" s="349"/>
      <c r="F3" s="349"/>
      <c r="G3" s="349"/>
      <c r="H3" s="349"/>
      <c r="I3" s="349"/>
    </row>
    <row r="4" spans="1:9" x14ac:dyDescent="0.25">
      <c r="A4" s="141"/>
      <c r="B4" s="141"/>
      <c r="C4" s="141"/>
      <c r="D4" s="141"/>
      <c r="E4" s="141"/>
      <c r="F4" s="141"/>
      <c r="G4" s="141"/>
      <c r="H4" s="141"/>
      <c r="I4" s="141"/>
    </row>
    <row r="5" spans="1:9" x14ac:dyDescent="0.25">
      <c r="A5" s="141"/>
      <c r="B5" s="141"/>
      <c r="C5" s="141"/>
      <c r="D5" s="141"/>
      <c r="E5" s="141"/>
      <c r="F5" s="141"/>
      <c r="G5" s="141"/>
      <c r="H5" s="141"/>
      <c r="I5" s="141"/>
    </row>
    <row r="6" spans="1:9" x14ac:dyDescent="0.25">
      <c r="A6" s="141"/>
      <c r="B6" s="141"/>
      <c r="C6" s="141"/>
      <c r="D6" s="141"/>
      <c r="E6" s="141"/>
      <c r="F6" s="141"/>
      <c r="G6" s="141"/>
      <c r="H6" s="141"/>
      <c r="I6" s="141"/>
    </row>
    <row r="7" spans="1:9" x14ac:dyDescent="0.25">
      <c r="A7" s="141"/>
      <c r="B7" s="141"/>
      <c r="C7" s="141"/>
      <c r="D7" s="141"/>
      <c r="E7" s="141"/>
      <c r="F7" s="141"/>
      <c r="G7" s="141"/>
      <c r="H7" s="141"/>
      <c r="I7" s="141"/>
    </row>
    <row r="8" spans="1:9" x14ac:dyDescent="0.25">
      <c r="A8" s="141"/>
      <c r="B8" s="141"/>
      <c r="C8" s="141"/>
      <c r="D8" s="141"/>
      <c r="E8" s="141"/>
      <c r="F8" s="141"/>
      <c r="G8" s="141"/>
      <c r="H8" s="141"/>
      <c r="I8" s="141"/>
    </row>
    <row r="9" spans="1:9" x14ac:dyDescent="0.25">
      <c r="A9" s="141"/>
      <c r="B9" s="141"/>
      <c r="C9" s="141"/>
      <c r="D9" s="141"/>
      <c r="E9" s="141"/>
      <c r="F9" s="141"/>
      <c r="G9" s="141"/>
      <c r="H9" s="141"/>
      <c r="I9" s="141"/>
    </row>
    <row r="10" spans="1:9" x14ac:dyDescent="0.25">
      <c r="A10" s="141"/>
      <c r="B10" s="141"/>
      <c r="C10" s="141"/>
      <c r="D10" s="141"/>
      <c r="E10" s="141"/>
      <c r="F10" s="141"/>
      <c r="G10" s="141"/>
      <c r="H10" s="141"/>
      <c r="I10" s="141"/>
    </row>
    <row r="11" spans="1:9" x14ac:dyDescent="0.25">
      <c r="A11" s="141"/>
      <c r="B11" s="141"/>
      <c r="C11" s="141"/>
      <c r="D11" s="141"/>
      <c r="E11" s="141"/>
      <c r="F11" s="141"/>
      <c r="G11" s="141"/>
      <c r="H11" s="141"/>
      <c r="I11" s="141"/>
    </row>
    <row r="12" spans="1:9" s="138" customFormat="1" x14ac:dyDescent="0.25">
      <c r="A12" s="141"/>
      <c r="B12" s="141"/>
      <c r="C12" s="141"/>
      <c r="D12" s="141"/>
      <c r="E12" s="141"/>
      <c r="F12" s="141"/>
      <c r="G12" s="141"/>
      <c r="H12" s="141"/>
      <c r="I12" s="141"/>
    </row>
    <row r="13" spans="1:9" s="138" customFormat="1" x14ac:dyDescent="0.25">
      <c r="A13" s="141"/>
      <c r="B13" s="141"/>
      <c r="C13" s="141"/>
      <c r="D13" s="141"/>
      <c r="E13" s="141"/>
      <c r="F13" s="141"/>
      <c r="G13" s="141"/>
      <c r="H13" s="141"/>
      <c r="I13" s="141"/>
    </row>
    <row r="14" spans="1:9" s="138" customFormat="1" x14ac:dyDescent="0.25">
      <c r="A14" s="141"/>
      <c r="B14" s="141"/>
      <c r="C14" s="141"/>
      <c r="D14" s="141"/>
      <c r="E14" s="141"/>
      <c r="F14" s="141"/>
      <c r="G14" s="141"/>
      <c r="H14" s="141"/>
      <c r="I14" s="141"/>
    </row>
    <row r="15" spans="1:9" x14ac:dyDescent="0.25">
      <c r="A15" s="141"/>
      <c r="B15" s="141"/>
      <c r="C15" s="141"/>
      <c r="D15" s="141"/>
      <c r="E15" s="141"/>
      <c r="F15" s="141"/>
      <c r="G15" s="141"/>
      <c r="H15" s="141"/>
      <c r="I15" s="141"/>
    </row>
    <row r="16" spans="1:9" x14ac:dyDescent="0.25">
      <c r="A16" s="141"/>
      <c r="B16" s="141"/>
      <c r="C16" s="141"/>
      <c r="D16" s="141"/>
      <c r="E16" s="141"/>
      <c r="F16" s="141"/>
      <c r="G16" s="141"/>
      <c r="H16" s="141"/>
      <c r="I16" s="141"/>
    </row>
    <row r="17" spans="1:9" x14ac:dyDescent="0.25">
      <c r="A17" s="141"/>
      <c r="B17" s="141"/>
      <c r="C17" s="141"/>
      <c r="D17" s="141"/>
      <c r="E17" s="141"/>
      <c r="F17" s="141"/>
      <c r="G17" s="141"/>
      <c r="H17" s="141"/>
      <c r="I17" s="141"/>
    </row>
    <row r="18" spans="1:9" x14ac:dyDescent="0.25">
      <c r="A18" s="141"/>
      <c r="B18" s="141"/>
      <c r="C18" s="141"/>
      <c r="D18" s="141"/>
      <c r="E18" s="141"/>
      <c r="F18" s="141"/>
      <c r="G18" s="141"/>
      <c r="H18" s="141"/>
      <c r="I18" s="141"/>
    </row>
    <row r="19" spans="1:9" ht="18.75" customHeight="1" x14ac:dyDescent="0.3">
      <c r="A19" s="351" t="s">
        <v>2481</v>
      </c>
      <c r="B19" s="349"/>
      <c r="C19" s="349"/>
      <c r="D19" s="349"/>
      <c r="E19" s="349"/>
      <c r="F19" s="349"/>
      <c r="G19" s="349"/>
      <c r="H19" s="349"/>
      <c r="I19" s="349"/>
    </row>
    <row r="20" spans="1:9" ht="9.75" customHeight="1" x14ac:dyDescent="0.25">
      <c r="A20" s="141"/>
      <c r="B20" s="141"/>
      <c r="C20" s="141"/>
      <c r="D20" s="141"/>
      <c r="E20" s="141"/>
      <c r="F20" s="141"/>
      <c r="G20" s="141"/>
      <c r="H20" s="141"/>
      <c r="I20" s="141"/>
    </row>
    <row r="21" spans="1:9" ht="17.25" customHeight="1" x14ac:dyDescent="0.3">
      <c r="A21" s="348" t="s">
        <v>2482</v>
      </c>
      <c r="B21" s="349"/>
      <c r="C21" s="349"/>
      <c r="D21" s="349"/>
      <c r="E21" s="349"/>
      <c r="F21" s="349"/>
      <c r="G21" s="349"/>
      <c r="H21" s="349"/>
      <c r="I21" s="349"/>
    </row>
    <row r="22" spans="1:9" ht="21" customHeight="1" x14ac:dyDescent="0.3">
      <c r="A22" s="348" t="str">
        <f>"месторождение: "&amp;Параметры!$C$5</f>
        <v>месторождение: Хаптагай-Хая</v>
      </c>
      <c r="B22" s="349"/>
      <c r="C22" s="349"/>
      <c r="D22" s="349"/>
      <c r="E22" s="349"/>
      <c r="F22" s="349"/>
      <c r="G22" s="349"/>
      <c r="H22" s="349"/>
      <c r="I22" s="349"/>
    </row>
    <row r="23" spans="1:9" ht="17.25" customHeight="1" x14ac:dyDescent="0.3">
      <c r="A23" s="348" t="str">
        <f>"Блок: "&amp;Параметры!$C$7</f>
        <v>Блок:  П-10; С1-13б</v>
      </c>
      <c r="B23" s="349"/>
      <c r="C23" s="349"/>
      <c r="D23" s="349"/>
      <c r="E23" s="349"/>
      <c r="F23" s="349"/>
      <c r="G23" s="349"/>
      <c r="H23" s="349"/>
      <c r="I23" s="349"/>
    </row>
    <row r="24" spans="1:9" x14ac:dyDescent="0.25">
      <c r="A24" s="141"/>
      <c r="B24" s="141"/>
      <c r="C24" s="141"/>
      <c r="D24" s="141"/>
      <c r="E24" s="141"/>
      <c r="F24" s="141"/>
      <c r="G24" s="141"/>
      <c r="H24" s="141"/>
      <c r="I24" s="141"/>
    </row>
    <row r="25" spans="1:9" x14ac:dyDescent="0.25">
      <c r="A25" s="141"/>
      <c r="B25" s="141"/>
      <c r="C25" s="141"/>
      <c r="D25" s="141"/>
      <c r="E25" s="141"/>
      <c r="F25" s="141"/>
      <c r="G25" s="141"/>
      <c r="H25" s="141"/>
      <c r="I25" s="141"/>
    </row>
    <row r="26" spans="1:9" x14ac:dyDescent="0.25">
      <c r="A26" s="141"/>
      <c r="B26" s="141"/>
      <c r="C26" s="141"/>
      <c r="D26" s="141"/>
      <c r="E26" s="141"/>
      <c r="F26" s="141"/>
      <c r="G26" s="141"/>
      <c r="H26" s="141"/>
      <c r="I26" s="141"/>
    </row>
    <row r="27" spans="1:9" x14ac:dyDescent="0.25">
      <c r="A27" s="141"/>
      <c r="B27" s="141"/>
      <c r="C27" s="141"/>
      <c r="D27" s="141"/>
      <c r="E27" s="141"/>
      <c r="F27" s="141"/>
      <c r="G27" s="141"/>
      <c r="H27" s="141"/>
      <c r="I27" s="141"/>
    </row>
    <row r="28" spans="1:9" x14ac:dyDescent="0.25">
      <c r="A28" s="141"/>
      <c r="B28" s="141"/>
      <c r="C28" s="141"/>
      <c r="D28" s="141"/>
      <c r="E28" s="141"/>
      <c r="F28" s="141"/>
      <c r="G28" s="141"/>
      <c r="H28" s="141"/>
      <c r="I28" s="141"/>
    </row>
    <row r="29" spans="1:9" x14ac:dyDescent="0.25">
      <c r="A29" s="141"/>
      <c r="B29" s="141"/>
      <c r="C29" s="141"/>
      <c r="D29" s="141"/>
      <c r="E29" s="141"/>
      <c r="F29" s="141"/>
      <c r="G29" s="141"/>
      <c r="H29" s="141"/>
      <c r="I29" s="141"/>
    </row>
    <row r="30" spans="1:9" x14ac:dyDescent="0.25">
      <c r="A30" s="141"/>
      <c r="B30" s="141"/>
      <c r="C30" s="141"/>
      <c r="D30" s="141"/>
      <c r="E30" s="141"/>
      <c r="F30" s="141"/>
      <c r="G30" s="141"/>
      <c r="H30" s="141"/>
      <c r="I30" s="141"/>
    </row>
    <row r="31" spans="1:9" x14ac:dyDescent="0.25">
      <c r="A31" s="141"/>
      <c r="B31" s="141"/>
      <c r="C31" s="141"/>
      <c r="D31" s="141"/>
      <c r="E31" s="141"/>
      <c r="F31" s="141"/>
      <c r="G31" s="141"/>
      <c r="H31" s="141"/>
      <c r="I31" s="141"/>
    </row>
    <row r="32" spans="1:9" x14ac:dyDescent="0.25">
      <c r="A32" s="141"/>
      <c r="B32" s="141"/>
      <c r="C32" s="141"/>
      <c r="D32" s="141"/>
      <c r="E32" s="141"/>
      <c r="F32" s="141"/>
      <c r="G32" s="141"/>
      <c r="H32" s="141"/>
      <c r="I32" s="141"/>
    </row>
    <row r="33" spans="1:9" x14ac:dyDescent="0.25">
      <c r="A33" s="141"/>
      <c r="B33" s="141"/>
      <c r="C33" s="141"/>
      <c r="D33" s="141"/>
      <c r="E33" s="141"/>
      <c r="F33" s="141"/>
      <c r="G33" s="141"/>
      <c r="H33" s="141"/>
      <c r="I33" s="141"/>
    </row>
    <row r="34" spans="1:9" x14ac:dyDescent="0.25">
      <c r="A34" s="141"/>
      <c r="B34" s="141"/>
      <c r="C34" s="141"/>
      <c r="D34" s="141"/>
      <c r="E34" s="141"/>
      <c r="F34" s="141"/>
      <c r="G34" s="141"/>
      <c r="H34" s="141"/>
      <c r="I34" s="141"/>
    </row>
    <row r="35" spans="1:9" x14ac:dyDescent="0.25">
      <c r="A35" s="141"/>
      <c r="B35" s="141"/>
      <c r="C35" s="141"/>
      <c r="D35" s="141"/>
      <c r="E35" s="141"/>
      <c r="F35" s="141"/>
      <c r="G35" s="141"/>
      <c r="H35" s="141"/>
      <c r="I35" s="141"/>
    </row>
    <row r="36" spans="1:9" x14ac:dyDescent="0.25">
      <c r="A36" s="141"/>
      <c r="B36" s="141"/>
      <c r="C36" s="141"/>
      <c r="D36" s="141"/>
      <c r="E36" s="141"/>
      <c r="F36" s="141"/>
      <c r="G36" s="141"/>
      <c r="H36" s="141"/>
      <c r="I36" s="141"/>
    </row>
    <row r="37" spans="1:9" x14ac:dyDescent="0.25">
      <c r="A37" s="141"/>
      <c r="B37" s="141"/>
      <c r="C37" s="141"/>
      <c r="D37" s="141"/>
      <c r="E37" s="141"/>
      <c r="F37" s="141"/>
      <c r="G37" s="141"/>
      <c r="H37" s="141"/>
      <c r="I37" s="141"/>
    </row>
    <row r="38" spans="1:9" x14ac:dyDescent="0.25">
      <c r="A38" s="141"/>
      <c r="B38" s="141"/>
      <c r="C38" s="141"/>
      <c r="D38" s="141"/>
      <c r="E38" s="141"/>
      <c r="F38" s="141"/>
      <c r="G38" s="141"/>
      <c r="H38" s="141"/>
      <c r="I38" s="141"/>
    </row>
    <row r="39" spans="1:9" x14ac:dyDescent="0.25">
      <c r="A39" s="141"/>
      <c r="B39" s="141"/>
      <c r="C39" s="141"/>
      <c r="D39" s="141"/>
      <c r="E39" s="141"/>
      <c r="F39" s="141"/>
      <c r="G39" s="141"/>
      <c r="H39" s="141"/>
      <c r="I39" s="141"/>
    </row>
    <row r="40" spans="1:9" x14ac:dyDescent="0.25">
      <c r="A40" s="141"/>
      <c r="B40" s="141"/>
      <c r="C40" s="141"/>
      <c r="D40" s="141"/>
      <c r="E40" s="141"/>
      <c r="F40" s="141"/>
      <c r="G40" s="141"/>
      <c r="H40" s="141"/>
      <c r="I40" s="141"/>
    </row>
    <row r="41" spans="1:9" x14ac:dyDescent="0.25">
      <c r="A41" s="141"/>
      <c r="B41" s="141"/>
      <c r="C41" s="141"/>
      <c r="D41" s="141"/>
      <c r="E41" s="141"/>
      <c r="F41" s="141"/>
      <c r="G41" s="141"/>
      <c r="H41" s="141"/>
      <c r="I41" s="141"/>
    </row>
    <row r="42" spans="1:9" x14ac:dyDescent="0.25">
      <c r="A42" s="141"/>
      <c r="B42" s="141"/>
      <c r="C42" s="141"/>
      <c r="D42" s="141"/>
      <c r="E42" s="141"/>
      <c r="F42" s="141"/>
      <c r="G42" s="141"/>
      <c r="H42" s="141"/>
      <c r="I42" s="141"/>
    </row>
    <row r="43" spans="1:9" x14ac:dyDescent="0.25">
      <c r="A43" s="141"/>
      <c r="B43" s="141"/>
      <c r="C43" s="141"/>
      <c r="D43" s="141"/>
      <c r="E43" s="141"/>
      <c r="F43" s="141"/>
      <c r="G43" s="141"/>
      <c r="H43" s="141"/>
      <c r="I43" s="141"/>
    </row>
    <row r="44" spans="1:9" x14ac:dyDescent="0.25">
      <c r="A44" s="141"/>
      <c r="B44" s="141"/>
      <c r="C44" s="141"/>
      <c r="D44" s="141"/>
      <c r="E44" s="141"/>
      <c r="F44" s="141"/>
      <c r="G44" s="141"/>
      <c r="H44" s="141"/>
      <c r="I44" s="141"/>
    </row>
    <row r="45" spans="1:9" x14ac:dyDescent="0.25">
      <c r="A45" s="141"/>
      <c r="B45" s="141"/>
      <c r="C45" s="141"/>
      <c r="D45" s="141"/>
      <c r="E45" s="141"/>
      <c r="F45" s="141"/>
      <c r="G45" s="141"/>
      <c r="H45" s="141"/>
      <c r="I45" s="141"/>
    </row>
    <row r="46" spans="1:9" x14ac:dyDescent="0.25">
      <c r="A46" s="141"/>
      <c r="B46" s="141"/>
      <c r="C46" s="141"/>
      <c r="D46" s="141"/>
      <c r="E46" s="141"/>
      <c r="F46" s="141"/>
      <c r="G46" s="141"/>
      <c r="H46" s="141"/>
      <c r="I46" s="141"/>
    </row>
    <row r="47" spans="1:9" x14ac:dyDescent="0.25">
      <c r="A47" s="141"/>
      <c r="B47" s="141"/>
      <c r="C47" s="141"/>
      <c r="D47" s="141"/>
      <c r="E47" s="141"/>
      <c r="F47" s="141"/>
      <c r="G47" s="141"/>
      <c r="H47" s="141"/>
      <c r="I47" s="141"/>
    </row>
    <row r="48" spans="1:9" x14ac:dyDescent="0.25">
      <c r="A48" s="350" t="s">
        <v>2483</v>
      </c>
      <c r="B48" s="349"/>
      <c r="C48" s="349"/>
      <c r="D48" s="349"/>
      <c r="E48" s="349"/>
      <c r="F48" s="349"/>
      <c r="G48" s="349"/>
      <c r="H48" s="349"/>
      <c r="I48" s="349"/>
    </row>
    <row r="49" spans="1:9" x14ac:dyDescent="0.25">
      <c r="A49" s="350" t="str">
        <f>IF(Параметры!$C$9&lt;&gt;"",YEAR(Параметры!$C$9)&amp;" г.","")</f>
        <v>2026 г.</v>
      </c>
      <c r="B49" s="349"/>
      <c r="C49" s="349"/>
      <c r="D49" s="349"/>
      <c r="E49" s="349"/>
      <c r="F49" s="349"/>
      <c r="G49" s="349"/>
      <c r="H49" s="349"/>
      <c r="I49" s="349"/>
    </row>
    <row r="50" spans="1:9" x14ac:dyDescent="0.25"/>
  </sheetData>
  <mergeCells count="8">
    <mergeCell ref="A21:I21"/>
    <mergeCell ref="A49:I49"/>
    <mergeCell ref="A48:I48"/>
    <mergeCell ref="A19:I19"/>
    <mergeCell ref="A2:I2"/>
    <mergeCell ref="A3:I3"/>
    <mergeCell ref="A22:I22"/>
    <mergeCell ref="A23:I23"/>
  </mergeCells>
  <pageMargins left="0.98425196850393704" right="0.39370078740157483" top="0.74803149606299213" bottom="0.74803149606299213" header="0.31496062992125984" footer="0.31496062992125984"/>
  <pageSetup paperSize="9" orientation="portrait" r:id="rId1" fitToWidth="1" fitToHeight="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>
    <tabColor theme="6" tint="0.59999389629810485"/>
  </sheetPr>
  <dimension ref="A1:AC92"/>
  <sheetViews>
    <sheetView showGridLines="0" zoomScaleNormal="100" workbookViewId="0">
      <selection activeCell="H29" sqref="H29"/>
    </sheetView>
  </sheetViews>
  <sheetFormatPr defaultColWidth="0" defaultRowHeight="15" zeroHeight="1" x14ac:dyDescent="0.25"/>
  <cols>
    <col min="1" max="1" width="1.85546875" style="77" customWidth="1"/>
    <col min="2" max="4" width="9.140625" style="77" customWidth="1"/>
    <col min="5" max="5" width="5.42578125" style="77" customWidth="1"/>
    <col min="6" max="6" width="15.7109375" style="77" customWidth="1"/>
    <col min="7" max="7" width="5.85546875" style="77" customWidth="1"/>
    <col min="8" max="9" width="9.140625" style="77" customWidth="1"/>
    <col min="10" max="10" width="10.140625" style="77" customWidth="1"/>
    <col min="11" max="29" width="0" style="77" hidden="1" customWidth="1"/>
    <col min="30" max="30" width="9.140625" style="77" hidden="1" customWidth="1"/>
    <col min="31" max="16384" width="9.140625" style="77" hidden="1"/>
  </cols>
  <sheetData>
    <row r="1" spans="1:25" x14ac:dyDescent="0.25">
      <c r="A1" s="141"/>
      <c r="B1" s="141"/>
      <c r="C1" s="141"/>
      <c r="D1" s="141"/>
      <c r="E1" s="141"/>
      <c r="F1" s="141"/>
      <c r="G1" s="141"/>
      <c r="H1" s="141"/>
      <c r="I1" s="141"/>
      <c r="J1" s="141"/>
    </row>
    <row r="2" spans="1:25" ht="15.75" customHeight="1" x14ac:dyDescent="0.25">
      <c r="A2" s="141"/>
      <c r="B2" s="141"/>
      <c r="C2" s="121"/>
      <c r="D2" s="141"/>
      <c r="E2" s="141"/>
      <c r="F2" s="141"/>
      <c r="G2" s="141"/>
      <c r="H2" s="141"/>
      <c r="I2" s="141"/>
      <c r="J2" s="141"/>
    </row>
    <row r="3" spans="1:25" s="35" customFormat="1" ht="15" customHeight="1" x14ac:dyDescent="0.25">
      <c r="A3" s="149"/>
      <c r="B3" s="347" t="str">
        <f>Параметры!$C$3</f>
        <v>АО "Поиск Золото"</v>
      </c>
      <c r="C3" s="357"/>
      <c r="D3" s="357"/>
      <c r="E3" s="357"/>
      <c r="F3" s="357"/>
      <c r="G3" s="357"/>
      <c r="H3" s="357"/>
      <c r="I3" s="357"/>
      <c r="J3" s="357"/>
    </row>
    <row r="4" spans="1:25" ht="17.25" customHeight="1" x14ac:dyDescent="0.25">
      <c r="A4" s="141"/>
      <c r="B4" s="141"/>
      <c r="C4" s="150"/>
      <c r="D4" s="141"/>
      <c r="E4" s="141"/>
      <c r="F4" s="141"/>
      <c r="G4" s="141"/>
      <c r="H4" s="141"/>
      <c r="I4" s="141"/>
      <c r="J4" s="141"/>
    </row>
    <row r="5" spans="1:25" ht="17.25" customHeight="1" x14ac:dyDescent="0.25">
      <c r="A5" s="141"/>
      <c r="B5" s="141"/>
      <c r="C5" s="150"/>
      <c r="D5" s="141"/>
      <c r="E5" s="141"/>
      <c r="F5" s="141"/>
      <c r="G5" s="141"/>
      <c r="H5" s="141"/>
      <c r="I5" s="141"/>
      <c r="J5" s="141"/>
    </row>
    <row r="6" spans="1:25" ht="17.25" customHeight="1" x14ac:dyDescent="0.25">
      <c r="A6" s="141"/>
      <c r="B6" s="347" t="s">
        <v>2484</v>
      </c>
      <c r="C6" s="349"/>
      <c r="D6" s="349"/>
      <c r="E6" s="349"/>
      <c r="F6" s="349"/>
      <c r="G6" s="349"/>
      <c r="H6" s="349"/>
      <c r="I6" s="349"/>
      <c r="J6" s="349"/>
    </row>
    <row r="7" spans="1:25" ht="17.25" customHeight="1" x14ac:dyDescent="0.25">
      <c r="A7" s="141"/>
      <c r="B7" s="354" t="s">
        <v>2485</v>
      </c>
      <c r="C7" s="349"/>
      <c r="D7" s="349"/>
      <c r="E7" s="349"/>
      <c r="F7" s="349"/>
      <c r="G7" s="349"/>
      <c r="H7" s="349"/>
      <c r="I7" s="349"/>
      <c r="J7" s="349"/>
    </row>
    <row r="8" spans="1:25" ht="15.75" customHeight="1" x14ac:dyDescent="0.25">
      <c r="A8" s="141"/>
      <c r="B8" s="141"/>
      <c r="C8" s="121" t="s">
        <v>2486</v>
      </c>
      <c r="D8" s="141"/>
      <c r="E8" s="141"/>
      <c r="F8" s="141"/>
      <c r="G8" s="141"/>
      <c r="H8" s="141"/>
      <c r="I8" s="141"/>
      <c r="J8" s="141"/>
    </row>
    <row r="9" spans="1:25" ht="15.75" customHeight="1" x14ac:dyDescent="0.25">
      <c r="A9" s="121"/>
      <c r="B9" s="354" t="s">
        <v>2893</v>
      </c>
      <c r="C9" s="349"/>
      <c r="D9" s="349"/>
      <c r="E9" s="349"/>
      <c r="F9" s="121" t="str">
        <f>Параметры!C5</f>
        <v>Хаптагай-Хая</v>
      </c>
      <c r="G9" s="153" t="s">
        <v>2894</v>
      </c>
      <c r="H9" s="354" t="str">
        <f>Параметры!$C$7</f>
        <v xml:space="preserve"> П-10; С1-13б</v>
      </c>
      <c r="I9" s="354"/>
      <c r="J9" s="354"/>
    </row>
    <row r="10" spans="1:25" ht="15.75" customHeight="1" x14ac:dyDescent="0.25">
      <c r="A10" s="141"/>
      <c r="B10" s="141"/>
      <c r="C10" s="119"/>
      <c r="D10" s="141"/>
      <c r="E10" s="141"/>
      <c r="F10" s="141"/>
      <c r="G10" s="141"/>
      <c r="H10" s="141"/>
      <c r="I10" s="141"/>
      <c r="J10" s="141"/>
    </row>
    <row r="11" spans="1:25" ht="15.75" customHeight="1" x14ac:dyDescent="0.25">
      <c r="A11" s="141"/>
      <c r="B11" s="122" t="s">
        <v>2487</v>
      </c>
      <c r="C11" s="119" t="str">
        <f>LOOKUP(MONTH(Параметры!$C$9),{1;2;3;4;5;6;7;8;9;10;11;12},{"января";"февраля";"марта";"апреля";"мая";"июня";"июля";"августа";"сентября";"октября";"ноября";"декабря"})</f>
        <v>мая</v>
      </c>
      <c r="D11" s="119" t="str">
        <f>YEAR(Параметры!$C$9)&amp;" г."</f>
        <v>2026 г.</v>
      </c>
      <c r="E11" s="141"/>
      <c r="F11" s="141"/>
      <c r="H11" s="185"/>
      <c r="I11" s="350" t="str">
        <f>VLOOKUP(Параметры!$C$5,Справочник!$J$3:$K$16,2,0)</f>
        <v>Прииск "Эрел"</v>
      </c>
      <c r="J11" s="350"/>
    </row>
    <row r="12" spans="1:25" ht="15.75" customHeight="1" x14ac:dyDescent="0.25">
      <c r="A12" s="141"/>
      <c r="B12" s="151"/>
      <c r="C12" s="151"/>
      <c r="D12" s="151"/>
      <c r="E12" s="151"/>
      <c r="F12" s="151"/>
      <c r="G12" s="151"/>
      <c r="H12" s="151"/>
      <c r="I12" s="151"/>
      <c r="J12" s="151"/>
      <c r="K12" s="101"/>
    </row>
    <row r="13" spans="1:25" ht="15.75" customHeight="1" x14ac:dyDescent="0.25">
      <c r="A13" s="141"/>
      <c r="B13" s="141"/>
      <c r="C13" s="121" t="s">
        <v>2486</v>
      </c>
      <c r="D13" s="141"/>
      <c r="E13" s="141"/>
      <c r="F13" s="141"/>
      <c r="G13" s="141"/>
      <c r="H13" s="141"/>
      <c r="I13" s="141"/>
      <c r="J13" s="141"/>
    </row>
    <row r="14" spans="1:25" ht="20.25" customHeight="1" x14ac:dyDescent="0.25">
      <c r="A14" s="141"/>
      <c r="B14" s="353" t="str">
        <f>"Мы, нижеподписавшиеся, ответственный руководитель ВР "&amp;IFERROR(LEFT(Справочник!$N$12,FIND(CHAR(32),Справочник!$N$12,1)-1)&amp;" "&amp;MID(Справочник!$N$12,FIND(CHAR(32),Справочник!$N$12)+1,1)&amp;"."&amp;MID(Справочник!$N$12,SEARCH(CHAR(32),Справочник!$N$12,FIND(CHAR(32),Справочник!$N$12,1)+1)+1,1)&amp;".","")&amp;","</f>
        <v>Мы, нижеподписавшиеся, ответственный руководитель ВР Шмелёв С.В.,</v>
      </c>
      <c r="C14" s="349"/>
      <c r="D14" s="349"/>
      <c r="E14" s="349"/>
      <c r="F14" s="349"/>
      <c r="G14" s="349"/>
      <c r="H14" s="349"/>
      <c r="I14" s="349"/>
      <c r="J14" s="349"/>
    </row>
    <row r="15" spans="1:25" ht="15.75" customHeight="1" x14ac:dyDescent="0.25">
      <c r="A15" s="141"/>
      <c r="B15" s="353" t="str">
        <f>"маркшейдер "&amp;IFERROR(LEFT(Справочник!$N$23,FIND(CHAR(32),Справочник!$N$23,1)-1)&amp;" "&amp;MID(Справочник!$N$23,FIND(CHAR(32),Справочник!$N$23)+1,1)&amp;"."&amp;MID(Справочник!$N$23,SEARCH(CHAR(32),Справочник!$N$23,FIND(CHAR(32),Справочник!$N$23,1)+1)+1,1)&amp;".","")&amp;" , составили настоящий акт о том, что блок "&amp;$H$9</f>
        <v>маркшейдер  , составили настоящий акт о том, что блок  П-10; С1-13б</v>
      </c>
      <c r="C15" s="349"/>
      <c r="D15" s="349"/>
      <c r="E15" s="349"/>
      <c r="F15" s="349"/>
      <c r="G15" s="349"/>
      <c r="H15" s="349"/>
      <c r="I15" s="349"/>
      <c r="J15" s="349"/>
      <c r="O15" s="101"/>
      <c r="P15" s="101"/>
      <c r="Q15" s="101"/>
      <c r="R15" s="101"/>
      <c r="S15" s="101"/>
      <c r="T15" s="101"/>
      <c r="U15" s="101"/>
      <c r="V15" s="101"/>
      <c r="W15" s="101"/>
      <c r="X15" s="101"/>
      <c r="Y15" s="101"/>
    </row>
    <row r="16" spans="1:25" ht="17.25" customHeight="1" x14ac:dyDescent="0.25">
      <c r="A16" s="141"/>
      <c r="B16" s="353" t="s">
        <v>2488</v>
      </c>
      <c r="C16" s="349"/>
      <c r="D16" s="349"/>
      <c r="E16" s="349"/>
      <c r="F16" s="349"/>
      <c r="G16" s="349"/>
      <c r="H16" s="349"/>
      <c r="I16" s="349"/>
      <c r="J16" s="124"/>
    </row>
    <row r="17" spans="1:11" ht="17.25" customHeight="1" x14ac:dyDescent="0.25">
      <c r="A17" s="141"/>
      <c r="B17" s="141"/>
      <c r="C17" s="152"/>
      <c r="D17" s="141"/>
      <c r="E17" s="141"/>
      <c r="F17" s="141"/>
      <c r="G17" s="141"/>
      <c r="H17" s="141"/>
      <c r="I17" s="141"/>
      <c r="J17" s="141"/>
    </row>
    <row r="18" spans="1:11" ht="22.5" customHeight="1" x14ac:dyDescent="0.25">
      <c r="A18" s="141"/>
      <c r="B18" s="121" t="s">
        <v>2489</v>
      </c>
      <c r="C18" s="121"/>
      <c r="D18" s="121"/>
      <c r="E18" s="121"/>
      <c r="F18" s="355">
        <f>Параметры!D44</f>
        <v>7.248730964467005</v>
      </c>
      <c r="G18" s="356"/>
      <c r="H18" s="151" t="s">
        <v>2435</v>
      </c>
      <c r="I18" s="151"/>
      <c r="J18" s="151"/>
    </row>
    <row r="19" spans="1:11" ht="15.75" customHeight="1" x14ac:dyDescent="0.25">
      <c r="A19" s="141"/>
      <c r="B19" s="121" t="s">
        <v>2490</v>
      </c>
      <c r="C19" s="121"/>
      <c r="D19" s="121"/>
      <c r="E19" s="121"/>
      <c r="F19" s="360">
        <f>Параметры!D41/1000</f>
        <v>3.4420000000000002</v>
      </c>
      <c r="G19" s="361"/>
      <c r="H19" s="121" t="s">
        <v>2491</v>
      </c>
      <c r="I19" s="121"/>
      <c r="J19" s="121"/>
    </row>
    <row r="20" spans="1:11" ht="15.75" customHeight="1" x14ac:dyDescent="0.25">
      <c r="A20" s="141"/>
      <c r="B20" s="151" t="s">
        <v>2492</v>
      </c>
      <c r="C20" s="151"/>
      <c r="D20" s="151"/>
      <c r="E20" s="151"/>
      <c r="F20" s="362">
        <f>Параметры!D40</f>
        <v>197</v>
      </c>
      <c r="G20" s="361"/>
      <c r="H20" s="151" t="s">
        <v>2493</v>
      </c>
      <c r="I20" s="151"/>
      <c r="J20" s="151"/>
      <c r="K20" t="s">
        <v>2494</v>
      </c>
    </row>
    <row r="21" spans="1:11" ht="15.75" customHeight="1" x14ac:dyDescent="0.25">
      <c r="A21" s="141"/>
      <c r="B21" s="151" t="s">
        <v>2495</v>
      </c>
      <c r="C21" s="151"/>
      <c r="D21" s="151"/>
      <c r="E21" s="151"/>
      <c r="F21" s="355">
        <f>Параметры!D42/1000</f>
        <v>21.457113502538132</v>
      </c>
      <c r="G21" s="356"/>
      <c r="H21" s="151" t="s">
        <v>2496</v>
      </c>
      <c r="I21" s="151"/>
      <c r="J21" s="151"/>
    </row>
    <row r="22" spans="1:11" ht="60.75" customHeight="1" x14ac:dyDescent="0.25">
      <c r="A22" s="141"/>
      <c r="B22" s="353" t="s">
        <v>2877</v>
      </c>
      <c r="C22" s="349"/>
      <c r="D22" s="349"/>
      <c r="E22" s="349"/>
      <c r="F22" s="349"/>
      <c r="G22" s="349"/>
      <c r="H22" s="349"/>
      <c r="I22" s="349"/>
      <c r="J22" s="349"/>
    </row>
    <row r="23" spans="1:11" ht="15.75" customHeight="1" x14ac:dyDescent="0.25">
      <c r="A23" s="141"/>
      <c r="B23" s="141"/>
      <c r="C23" s="121" t="s">
        <v>2486</v>
      </c>
      <c r="D23" s="141"/>
      <c r="E23" s="141"/>
      <c r="F23" s="141"/>
      <c r="G23" s="141"/>
      <c r="H23" s="141"/>
      <c r="I23" s="141"/>
      <c r="J23" s="141"/>
    </row>
    <row r="24" spans="1:11" ht="4.5" customHeight="1" x14ac:dyDescent="0.25">
      <c r="A24" s="141"/>
      <c r="B24" s="141"/>
      <c r="C24" s="152" t="s">
        <v>2486</v>
      </c>
      <c r="D24" s="141"/>
      <c r="E24" s="141"/>
      <c r="F24" s="141"/>
      <c r="G24" s="141"/>
      <c r="H24" s="141"/>
      <c r="I24" s="141"/>
      <c r="J24" s="141"/>
    </row>
    <row r="25" spans="1:11" ht="15.75" hidden="1" customHeight="1" x14ac:dyDescent="0.25">
      <c r="A25" s="141"/>
      <c r="B25" s="141"/>
      <c r="C25" s="121"/>
      <c r="D25" s="141"/>
      <c r="E25" s="141"/>
      <c r="F25" s="141"/>
      <c r="G25" s="141"/>
      <c r="H25" s="141"/>
      <c r="I25" s="141"/>
      <c r="J25" s="141"/>
    </row>
    <row r="26" spans="1:11" ht="15.75" hidden="1" customHeight="1" x14ac:dyDescent="0.25">
      <c r="A26" s="141"/>
      <c r="B26" s="141"/>
      <c r="C26" s="121"/>
      <c r="D26" s="141"/>
      <c r="E26" s="141"/>
      <c r="F26" s="141"/>
      <c r="G26" s="141"/>
      <c r="H26" s="141"/>
      <c r="I26" s="141"/>
      <c r="J26" s="141"/>
    </row>
    <row r="27" spans="1:11" ht="15.75" customHeight="1" x14ac:dyDescent="0.25">
      <c r="A27" s="141"/>
      <c r="B27" s="141"/>
      <c r="C27" s="121"/>
      <c r="D27" s="141"/>
      <c r="E27" s="141"/>
      <c r="F27" s="141"/>
      <c r="G27" s="141"/>
      <c r="H27" s="141"/>
      <c r="I27" s="141"/>
      <c r="J27" s="141"/>
    </row>
    <row r="28" spans="1:11" ht="15.75" customHeight="1" x14ac:dyDescent="0.25">
      <c r="A28" s="141"/>
      <c r="B28" s="358" t="s">
        <v>2497</v>
      </c>
      <c r="C28" s="349"/>
      <c r="D28" s="349"/>
      <c r="E28" s="349"/>
      <c r="F28" s="349"/>
      <c r="G28" s="349"/>
      <c r="H28" s="349"/>
      <c r="I28" s="349"/>
      <c r="J28" s="349"/>
    </row>
    <row r="29" spans="1:11" ht="15.75" customHeight="1" x14ac:dyDescent="0.25">
      <c r="A29" s="141"/>
      <c r="B29" s="121" t="s">
        <v>2498</v>
      </c>
      <c r="C29" s="121"/>
      <c r="D29" s="121"/>
      <c r="E29" s="121"/>
      <c r="F29" s="121"/>
      <c r="G29" s="121"/>
      <c r="H29" s="121" t="str">
        <f>IFERROR(LEFT(Справочник!$N$12,FIND(CHAR(32),Справочник!$N$12,1)-1)&amp;" "&amp;MID(Справочник!$N$12,FIND(CHAR(32),Справочник!$N$12)+1,1)&amp;"."&amp;MID(Справочник!$N$12,SEARCH(CHAR(32),Справочник!$N$12,FIND(CHAR(32),Справочник!$N$12,1)+1)+1,1)&amp;".","")</f>
        <v>Шмелёв С.В.</v>
      </c>
      <c r="I29" s="121"/>
      <c r="J29" s="121"/>
      <c r="K29" s="66"/>
    </row>
    <row r="30" spans="1:11" ht="15.75" customHeight="1" x14ac:dyDescent="0.25">
      <c r="A30" s="141"/>
      <c r="B30" s="141"/>
      <c r="C30" s="121"/>
      <c r="D30" s="141"/>
      <c r="E30" s="141"/>
      <c r="F30" s="141"/>
      <c r="G30" s="141"/>
      <c r="H30" s="141"/>
      <c r="I30" s="141"/>
      <c r="J30" s="141"/>
    </row>
    <row r="31" spans="1:11" ht="15.75" customHeight="1" x14ac:dyDescent="0.25">
      <c r="A31" s="141"/>
      <c r="B31" s="141"/>
      <c r="C31" s="119"/>
      <c r="D31" s="141"/>
      <c r="E31" s="141"/>
      <c r="F31" s="141"/>
      <c r="G31" s="141"/>
      <c r="H31" s="141"/>
      <c r="I31" s="141"/>
      <c r="J31" s="141"/>
    </row>
    <row r="32" spans="1:11" ht="15.75" customHeight="1" x14ac:dyDescent="0.25">
      <c r="A32" s="141"/>
      <c r="B32" s="141"/>
      <c r="C32" s="121" t="s">
        <v>2499</v>
      </c>
      <c r="D32" s="121"/>
      <c r="E32" s="121"/>
      <c r="F32" s="121"/>
      <c r="G32" s="121"/>
      <c r="H32" s="121" t="str">
        <f>IFERROR(LEFT(Справочник!$N$23,FIND(CHAR(32),Справочник!$N$23,1)-1)&amp;" "&amp;MID(Справочник!$N$23,FIND(CHAR(32),Справочник!$N$23)+1,1)&amp;"."&amp;MID(Справочник!$N$23,SEARCH(CHAR(32),Справочник!$N$23,FIND(CHAR(32),Справочник!$N$23,1)+1)+1,1)&amp;".","")</f>
        <v/>
      </c>
      <c r="I32" s="121"/>
      <c r="J32" s="121"/>
      <c r="K32" s="66"/>
    </row>
    <row r="33" spans="1:28" ht="15.75" customHeight="1" x14ac:dyDescent="0.25">
      <c r="A33" s="141"/>
      <c r="B33" s="141"/>
      <c r="C33" s="153"/>
      <c r="D33" s="141"/>
      <c r="E33" s="141"/>
      <c r="F33" s="141"/>
      <c r="G33" s="141"/>
      <c r="H33" s="141"/>
      <c r="I33" s="141"/>
      <c r="J33" s="141"/>
    </row>
    <row r="34" spans="1:28" ht="15.75" customHeight="1" x14ac:dyDescent="0.25">
      <c r="A34" s="141"/>
      <c r="B34" s="141"/>
      <c r="C34" s="150"/>
      <c r="D34" s="141"/>
      <c r="E34" s="141"/>
      <c r="F34" s="141"/>
      <c r="G34" s="141"/>
      <c r="H34" s="141"/>
      <c r="I34" s="141"/>
      <c r="J34" s="141"/>
    </row>
    <row r="35" spans="1:28" ht="15.75" customHeight="1" x14ac:dyDescent="0.25">
      <c r="A35" s="141"/>
      <c r="B35" s="141"/>
      <c r="C35" s="150"/>
      <c r="D35" s="141"/>
      <c r="E35" s="141"/>
      <c r="F35" s="141"/>
      <c r="G35" s="141"/>
      <c r="H35" s="141"/>
      <c r="I35" s="141"/>
      <c r="J35" s="141"/>
    </row>
    <row r="36" spans="1:28" x14ac:dyDescent="0.25">
      <c r="A36" s="141"/>
      <c r="B36" s="141"/>
      <c r="C36" s="141"/>
      <c r="D36" s="141"/>
      <c r="E36" s="141"/>
      <c r="F36" s="141"/>
      <c r="G36" s="141"/>
      <c r="H36" s="141"/>
      <c r="I36" s="141"/>
      <c r="J36" s="141"/>
    </row>
    <row r="37" spans="1:28" x14ac:dyDescent="0.25">
      <c r="A37" s="141"/>
      <c r="B37" s="141"/>
      <c r="C37" s="141"/>
      <c r="D37" s="141"/>
      <c r="E37" s="141"/>
      <c r="F37" s="141"/>
      <c r="G37" s="141"/>
      <c r="H37" s="141"/>
      <c r="I37" s="141"/>
      <c r="J37" s="141"/>
    </row>
    <row r="38" spans="1:28" ht="15.75" customHeight="1" x14ac:dyDescent="0.25">
      <c r="A38" s="141"/>
      <c r="B38" s="141"/>
      <c r="C38" s="141"/>
      <c r="D38" s="141"/>
      <c r="E38" s="141"/>
      <c r="F38" s="141"/>
      <c r="G38" s="141"/>
      <c r="H38" s="141"/>
      <c r="I38" s="141"/>
      <c r="J38" s="141"/>
      <c r="T38" s="359" t="s">
        <v>2500</v>
      </c>
      <c r="U38" s="342"/>
      <c r="V38" s="342"/>
      <c r="W38" s="342"/>
      <c r="X38" s="342"/>
      <c r="Y38" s="342"/>
      <c r="Z38" s="342"/>
      <c r="AA38" s="342"/>
      <c r="AB38" s="342"/>
    </row>
    <row r="39" spans="1:28" hidden="1" x14ac:dyDescent="0.25"/>
    <row r="40" spans="1:28" hidden="1" x14ac:dyDescent="0.25"/>
    <row r="41" spans="1:28" hidden="1" x14ac:dyDescent="0.25"/>
    <row r="42" spans="1:28" hidden="1" x14ac:dyDescent="0.25"/>
    <row r="43" spans="1:28" hidden="1" x14ac:dyDescent="0.25"/>
    <row r="44" spans="1:28" hidden="1" x14ac:dyDescent="0.25"/>
    <row r="45" spans="1:28" hidden="1" x14ac:dyDescent="0.25"/>
    <row r="46" spans="1:28" hidden="1" x14ac:dyDescent="0.25"/>
    <row r="47" spans="1:28" hidden="1" x14ac:dyDescent="0.25"/>
    <row r="48" spans="1:2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</sheetData>
  <mergeCells count="16">
    <mergeCell ref="B28:J28"/>
    <mergeCell ref="T38:AB38"/>
    <mergeCell ref="B16:I16"/>
    <mergeCell ref="F19:G19"/>
    <mergeCell ref="F20:G20"/>
    <mergeCell ref="F18:G18"/>
    <mergeCell ref="B22:J22"/>
    <mergeCell ref="B15:J15"/>
    <mergeCell ref="B7:J7"/>
    <mergeCell ref="F21:G21"/>
    <mergeCell ref="B9:E9"/>
    <mergeCell ref="B3:J3"/>
    <mergeCell ref="B14:J14"/>
    <mergeCell ref="B6:J6"/>
    <mergeCell ref="I11:J11"/>
    <mergeCell ref="H9:J9"/>
  </mergeCells>
  <pageMargins left="0.59055118110236227" right="0.39370078740157483" top="0.74803149606299213" bottom="0.74803149606299213" header="0.31496062992125984" footer="0.31496062992125984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theme="6" tint="0.59999389629810485"/>
  </sheetPr>
  <dimension ref="A1:XFC43"/>
  <sheetViews>
    <sheetView showGridLines="0" zoomScaleNormal="100" workbookViewId="0">
      <pane ySplit="3" topLeftCell="A4" activePane="bottomLeft" state="frozen"/>
      <selection activeCell="C33" sqref="C33"/>
      <selection pane="bottomLeft" activeCell="C4" sqref="C4:D11"/>
    </sheetView>
  </sheetViews>
  <sheetFormatPr defaultColWidth="0" defaultRowHeight="15" zeroHeight="1" x14ac:dyDescent="0.25"/>
  <cols>
    <col min="1" max="1" width="1.140625" style="77" customWidth="1"/>
    <col min="2" max="2" width="6" style="77" customWidth="1"/>
    <col min="3" max="3" width="35" style="77" customWidth="1"/>
    <col min="4" max="4" width="26.28515625" style="77" customWidth="1"/>
    <col min="5" max="5" width="16.5703125" style="77" customWidth="1"/>
    <col min="6" max="6" width="1.7109375" style="77" hidden="1" customWidth="1"/>
    <col min="7" max="7" width="9.140625" style="77" hidden="1" customWidth="1"/>
    <col min="8" max="16383" width="9.140625" style="77" hidden="1"/>
    <col min="16384" max="16384" width="5.85546875" style="77" customWidth="1"/>
  </cols>
  <sheetData>
    <row r="1" spans="1:5" ht="15" customHeight="1" x14ac:dyDescent="0.25">
      <c r="A1" s="121"/>
      <c r="B1" s="185" t="s">
        <v>2501</v>
      </c>
      <c r="C1" s="185"/>
      <c r="D1" s="185"/>
      <c r="E1" s="185"/>
    </row>
    <row r="2" spans="1:5" ht="6" customHeight="1" x14ac:dyDescent="0.25">
      <c r="A2" s="141"/>
      <c r="B2" s="119"/>
      <c r="C2" s="141"/>
      <c r="D2" s="141"/>
      <c r="E2" s="141"/>
    </row>
    <row r="3" spans="1:5" ht="37.5" customHeight="1" x14ac:dyDescent="0.25">
      <c r="A3" s="141"/>
      <c r="B3" s="140" t="s">
        <v>1</v>
      </c>
      <c r="C3" s="156" t="s">
        <v>2502</v>
      </c>
      <c r="D3" s="156" t="s">
        <v>2503</v>
      </c>
      <c r="E3" s="156" t="s">
        <v>2504</v>
      </c>
    </row>
    <row r="4" spans="1:5" ht="30.75" customHeight="1" x14ac:dyDescent="0.25">
      <c r="A4" s="141"/>
      <c r="B4" s="146">
        <f ca="1">IF(INDIRECT(ADDRESS(ROW(),COLUMN()+1,4))&lt;&gt;"",ROW()-ROW($B$3),"")</f>
        <v>1</v>
      </c>
      <c r="C4" s="327" t="s">
        <v>2900</v>
      </c>
      <c r="D4" s="328" t="s">
        <v>2506</v>
      </c>
      <c r="E4" s="146"/>
    </row>
    <row r="5" spans="1:5" ht="30.75" customHeight="1" x14ac:dyDescent="0.25">
      <c r="A5" s="141"/>
      <c r="B5" s="146">
        <f ca="1">IF(INDIRECT(ADDRESS(ROW(),COLUMN()+1,4))&lt;&gt;"",ROW()-ROW($B$3),"")</f>
        <v>2</v>
      </c>
      <c r="C5" s="327" t="s">
        <v>2901</v>
      </c>
      <c r="D5" s="328" t="s">
        <v>2506</v>
      </c>
      <c r="E5" s="146"/>
    </row>
    <row r="6" spans="1:5" ht="30.75" customHeight="1" x14ac:dyDescent="0.25">
      <c r="A6" s="141"/>
      <c r="B6" s="146">
        <f ca="1">IF(INDIRECT(ADDRESS(ROW(),COLUMN()+1,4))&lt;&gt;"",ROW()-ROW($B$3),"")</f>
        <v>3</v>
      </c>
      <c r="C6" s="327" t="s">
        <v>2902</v>
      </c>
      <c r="D6" s="328" t="s">
        <v>2505</v>
      </c>
      <c r="E6" s="146"/>
    </row>
    <row r="7" spans="1:5" ht="30.75" customHeight="1" x14ac:dyDescent="0.25">
      <c r="A7" s="141"/>
      <c r="B7" s="146">
        <v>4</v>
      </c>
      <c r="C7" s="327" t="s">
        <v>2907</v>
      </c>
      <c r="D7" s="328" t="s">
        <v>2506</v>
      </c>
      <c r="E7" s="146"/>
    </row>
    <row r="8" spans="1:5" ht="30.75" customHeight="1" x14ac:dyDescent="0.25">
      <c r="A8" s="141"/>
      <c r="B8" s="146">
        <v>5</v>
      </c>
      <c r="C8" s="154" t="s">
        <v>2903</v>
      </c>
      <c r="D8" s="328" t="s">
        <v>2505</v>
      </c>
      <c r="E8" s="146"/>
    </row>
    <row r="9" spans="1:5" ht="30.75" customHeight="1" x14ac:dyDescent="0.25">
      <c r="A9" s="141"/>
      <c r="B9" s="146">
        <v>6</v>
      </c>
      <c r="C9" s="154" t="s">
        <v>2904</v>
      </c>
      <c r="D9" s="328" t="s">
        <v>2505</v>
      </c>
      <c r="E9" s="146"/>
    </row>
    <row r="10" spans="1:5" ht="30.75" customHeight="1" x14ac:dyDescent="0.25">
      <c r="A10" s="141"/>
      <c r="B10" s="146">
        <v>7</v>
      </c>
      <c r="C10" s="154" t="s">
        <v>2905</v>
      </c>
      <c r="D10" s="328" t="s">
        <v>2505</v>
      </c>
      <c r="E10" s="146"/>
    </row>
    <row r="11" spans="1:5" ht="30.75" customHeight="1" x14ac:dyDescent="0.25">
      <c r="A11" s="141"/>
      <c r="B11" s="146">
        <v>8</v>
      </c>
      <c r="C11" s="154" t="s">
        <v>2906</v>
      </c>
      <c r="D11" s="328" t="s">
        <v>2506</v>
      </c>
      <c r="E11" s="146"/>
    </row>
    <row r="12" spans="1:5" ht="30.75" customHeight="1" x14ac:dyDescent="0.25">
      <c r="A12" s="141"/>
      <c r="B12" s="146">
        <v>9</v>
      </c>
      <c r="C12" s="86"/>
      <c r="D12" s="86"/>
      <c r="E12" s="146"/>
    </row>
    <row r="13" spans="1:5" ht="30.75" customHeight="1" x14ac:dyDescent="0.25">
      <c r="A13" s="141"/>
      <c r="B13" s="146">
        <v>10</v>
      </c>
      <c r="C13" s="154"/>
      <c r="D13" s="155"/>
      <c r="E13" s="146"/>
    </row>
    <row r="14" spans="1:5" ht="30.75" customHeight="1" x14ac:dyDescent="0.25">
      <c r="A14" s="141"/>
      <c r="B14" s="146">
        <v>11</v>
      </c>
      <c r="C14" s="154"/>
      <c r="D14" s="155"/>
      <c r="E14" s="146"/>
    </row>
    <row r="15" spans="1:5" ht="30.75" customHeight="1" x14ac:dyDescent="0.25">
      <c r="A15" s="141"/>
      <c r="B15" s="146">
        <v>12</v>
      </c>
      <c r="C15" s="154"/>
      <c r="D15" s="155"/>
      <c r="E15" s="146"/>
    </row>
    <row r="16" spans="1:5" ht="30.75" customHeight="1" x14ac:dyDescent="0.25">
      <c r="A16" s="141"/>
      <c r="B16" s="146">
        <v>13</v>
      </c>
      <c r="C16" s="154"/>
      <c r="D16" s="155"/>
      <c r="E16" s="146"/>
    </row>
    <row r="17" spans="1:5" ht="30.75" customHeight="1" x14ac:dyDescent="0.25">
      <c r="A17" s="141"/>
      <c r="B17" s="146">
        <v>14</v>
      </c>
      <c r="C17" s="154"/>
      <c r="D17" s="155"/>
      <c r="E17" s="146"/>
    </row>
    <row r="18" spans="1:5" ht="30.75" customHeight="1" x14ac:dyDescent="0.25">
      <c r="A18" s="141"/>
      <c r="B18" s="146">
        <v>15</v>
      </c>
      <c r="C18" s="154"/>
      <c r="D18" s="155"/>
      <c r="E18" s="146"/>
    </row>
    <row r="19" spans="1:5" ht="30.75" customHeight="1" x14ac:dyDescent="0.25">
      <c r="A19" s="141"/>
      <c r="B19" s="146">
        <v>16</v>
      </c>
      <c r="C19" s="154"/>
      <c r="D19" s="155"/>
      <c r="E19" s="146"/>
    </row>
    <row r="20" spans="1:5" ht="30.75" customHeight="1" x14ac:dyDescent="0.25">
      <c r="A20" s="141"/>
      <c r="B20" s="146">
        <v>17</v>
      </c>
      <c r="C20" s="154"/>
      <c r="D20" s="155"/>
      <c r="E20" s="146"/>
    </row>
    <row r="21" spans="1:5" ht="30.75" customHeight="1" x14ac:dyDescent="0.25">
      <c r="A21" s="141"/>
      <c r="B21" s="146">
        <v>18</v>
      </c>
      <c r="C21" s="154"/>
      <c r="D21" s="155"/>
      <c r="E21" s="146"/>
    </row>
    <row r="22" spans="1:5" ht="30.75" customHeight="1" x14ac:dyDescent="0.25">
      <c r="A22" s="141"/>
      <c r="B22" s="146">
        <v>19</v>
      </c>
      <c r="C22" s="154"/>
      <c r="D22" s="155"/>
      <c r="E22" s="146"/>
    </row>
    <row r="23" spans="1:5" hidden="1" x14ac:dyDescent="0.25"/>
    <row r="24" spans="1:5" hidden="1" x14ac:dyDescent="0.25"/>
    <row r="25" spans="1:5" hidden="1" x14ac:dyDescent="0.25"/>
    <row r="26" spans="1:5" hidden="1" x14ac:dyDescent="0.25"/>
    <row r="27" spans="1:5" hidden="1" x14ac:dyDescent="0.25"/>
    <row r="28" spans="1:5" hidden="1" x14ac:dyDescent="0.25"/>
    <row r="29" spans="1:5" hidden="1" x14ac:dyDescent="0.25"/>
    <row r="30" spans="1:5" hidden="1" x14ac:dyDescent="0.25"/>
    <row r="31" spans="1:5" hidden="1" x14ac:dyDescent="0.25"/>
    <row r="32" spans="1:5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</sheetData>
  <pageMargins left="0.59055118110236227" right="0.39370078740157483" top="0.74803149606299213" bottom="0.74803149606299213" header="0.31496062992125984" footer="0.31496062992125984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9">
    <tabColor theme="6" tint="0.59999389629810485"/>
  </sheetPr>
  <dimension ref="A1:AF69"/>
  <sheetViews>
    <sheetView showGridLines="0" showZeros="0" zoomScaleNormal="100" workbookViewId="0">
      <selection activeCell="B37" sqref="B37:J37"/>
    </sheetView>
  </sheetViews>
  <sheetFormatPr defaultColWidth="0" defaultRowHeight="15" zeroHeight="1" x14ac:dyDescent="0.25"/>
  <cols>
    <col min="1" max="1" width="2.7109375" style="77" customWidth="1"/>
    <col min="2" max="2" width="9.140625" style="77" customWidth="1"/>
    <col min="3" max="3" width="9.5703125" style="77" customWidth="1"/>
    <col min="4" max="10" width="9.140625" style="77" customWidth="1"/>
    <col min="11" max="11" width="2.42578125" style="77" hidden="1" customWidth="1"/>
    <col min="12" max="32" width="0" style="77" hidden="1" customWidth="1"/>
    <col min="33" max="16384" width="9.140625" style="77" hidden="1"/>
  </cols>
  <sheetData>
    <row r="1" spans="1:20" ht="15.75" customHeight="1" x14ac:dyDescent="0.25">
      <c r="A1" s="141"/>
      <c r="B1" s="153"/>
      <c r="C1" s="363" t="s">
        <v>2886</v>
      </c>
      <c r="D1" s="363"/>
      <c r="E1" s="363"/>
      <c r="F1" s="363"/>
      <c r="G1" s="363"/>
      <c r="H1" s="363"/>
      <c r="I1" s="363"/>
      <c r="J1" s="363"/>
    </row>
    <row r="2" spans="1:20" ht="15.75" customHeight="1" x14ac:dyDescent="0.25">
      <c r="A2" s="141"/>
      <c r="B2" s="153"/>
      <c r="C2" s="363" t="str">
        <f>Справочник!$M$5&amp;" "&amp;Параметры!$C$3</f>
        <v>Главный инженер АО "Поиск Золото"</v>
      </c>
      <c r="D2" s="363"/>
      <c r="E2" s="363"/>
      <c r="F2" s="363"/>
      <c r="G2" s="363"/>
      <c r="H2" s="363"/>
      <c r="I2" s="363"/>
      <c r="J2" s="363"/>
      <c r="N2" s="66"/>
      <c r="O2" s="66"/>
    </row>
    <row r="3" spans="1:20" ht="27.75" customHeight="1" x14ac:dyDescent="0.25">
      <c r="A3" s="141"/>
      <c r="B3" s="364" t="str">
        <f>"________________________"&amp;IFERROR(LEFT(Справочник!$N$5,FIND(CHAR(32),Справочник!$N$5,1)-1)&amp;" "&amp;MID(Справочник!$N$5,FIND(CHAR(32),Справочник!$N$5)+1,1)&amp;"."&amp;MID(Справочник!$N$5,SEARCH(CHAR(32),Справочник!$N$5,FIND(CHAR(32),Справочник!$N$5,1)+1)+1,1)&amp;".","")</f>
        <v>________________________Парамонов В.И.</v>
      </c>
      <c r="C3" s="364"/>
      <c r="D3" s="364"/>
      <c r="E3" s="364"/>
      <c r="F3" s="364"/>
      <c r="G3" s="364"/>
      <c r="H3" s="364"/>
      <c r="I3" s="364"/>
      <c r="J3" s="364"/>
    </row>
    <row r="4" spans="1:20" ht="15.75" customHeight="1" x14ac:dyDescent="0.25">
      <c r="A4" s="141"/>
      <c r="B4" s="119"/>
      <c r="C4" s="141"/>
      <c r="D4" s="141"/>
      <c r="E4" s="141"/>
      <c r="F4" s="141"/>
      <c r="G4" s="141"/>
      <c r="H4" s="141"/>
      <c r="I4" s="141"/>
      <c r="J4" s="141"/>
      <c r="M4" s="92"/>
    </row>
    <row r="5" spans="1:20" ht="18.75" customHeight="1" x14ac:dyDescent="0.25">
      <c r="A5" s="141"/>
      <c r="B5" s="347" t="s">
        <v>2507</v>
      </c>
      <c r="C5" s="349"/>
      <c r="D5" s="349"/>
      <c r="E5" s="349"/>
      <c r="F5" s="349"/>
      <c r="G5" s="349"/>
      <c r="H5" s="349"/>
      <c r="I5" s="349"/>
      <c r="J5" s="349"/>
      <c r="N5" s="66"/>
      <c r="O5" s="66"/>
      <c r="P5" s="66"/>
      <c r="Q5" s="66"/>
      <c r="R5" s="66"/>
      <c r="S5" s="66"/>
      <c r="T5" s="66"/>
    </row>
    <row r="6" spans="1:20" ht="18.75" customHeight="1" x14ac:dyDescent="0.25">
      <c r="A6" s="141"/>
      <c r="B6" s="347" t="s">
        <v>2508</v>
      </c>
      <c r="C6" s="369"/>
      <c r="D6" s="369"/>
      <c r="E6" s="369"/>
      <c r="F6" s="369"/>
      <c r="G6" s="369"/>
      <c r="H6" s="369"/>
      <c r="I6" s="369"/>
      <c r="J6" s="369"/>
    </row>
    <row r="7" spans="1:20" ht="18.75" customHeight="1" x14ac:dyDescent="0.25">
      <c r="A7" s="141"/>
      <c r="B7" s="150"/>
      <c r="C7" s="150"/>
      <c r="D7" s="150"/>
      <c r="E7" s="150"/>
      <c r="F7" s="150"/>
      <c r="G7" s="150"/>
      <c r="H7" s="150"/>
      <c r="I7" s="150"/>
      <c r="J7" s="150"/>
    </row>
    <row r="8" spans="1:20" ht="15.75" customHeight="1" x14ac:dyDescent="0.25">
      <c r="A8" s="153" t="s">
        <v>2509</v>
      </c>
      <c r="B8" s="350" t="s">
        <v>2893</v>
      </c>
      <c r="C8" s="350"/>
      <c r="D8" s="350"/>
      <c r="E8" s="354" t="str">
        <f>Параметры!$C$5</f>
        <v>Хаптагай-Хая</v>
      </c>
      <c r="F8" s="354"/>
      <c r="G8" s="119" t="s">
        <v>2894</v>
      </c>
      <c r="H8" s="354" t="str">
        <f>Параметры!$C$7</f>
        <v xml:space="preserve"> П-10; С1-13б</v>
      </c>
      <c r="I8" s="354"/>
      <c r="J8" s="354"/>
    </row>
    <row r="9" spans="1:20" ht="15.75" customHeight="1" x14ac:dyDescent="0.25">
      <c r="A9" s="141"/>
      <c r="B9" s="121" t="s">
        <v>2510</v>
      </c>
      <c r="C9" s="121"/>
      <c r="D9" s="160" t="str">
        <f>"'' "&amp;DAY(Параметры!$C$9)&amp;" ''"</f>
        <v>'' 25 ''</v>
      </c>
      <c r="E9" s="160" t="str">
        <f>LOOKUP(MONTH(Параметры!$C$9),{1;2;3;4;5;6;7;8;9;10;11;12},{"января";"февраля";"марта";"апреля";"мая";"июня";"июля";"августа";"сентября";"октября";"ноября";"декабря"})</f>
        <v>мая</v>
      </c>
      <c r="F9" s="160" t="str">
        <f>YEAR(Параметры!$C$9)&amp;" г."</f>
        <v>2026 г.</v>
      </c>
      <c r="G9" s="161"/>
      <c r="H9" s="161"/>
      <c r="I9" s="161"/>
      <c r="J9" s="121"/>
    </row>
    <row r="10" spans="1:20" ht="15.75" customHeight="1" x14ac:dyDescent="0.25">
      <c r="A10" s="141"/>
      <c r="B10" s="121" t="s">
        <v>2878</v>
      </c>
      <c r="C10" s="121"/>
      <c r="D10" s="354" t="s">
        <v>2511</v>
      </c>
      <c r="E10" s="349"/>
      <c r="F10" s="354" t="str">
        <f>E8</f>
        <v>Хаптагай-Хая</v>
      </c>
      <c r="G10" s="354"/>
      <c r="H10" s="185"/>
      <c r="I10" s="363" t="str">
        <f>IFERROR(VLOOKUP(F10,Справочник!$J$3:$K$16,2,0),0)</f>
        <v>Прииск "Эрел"</v>
      </c>
      <c r="J10" s="363"/>
      <c r="K10" s="66"/>
    </row>
    <row r="11" spans="1:20" ht="15.75" customHeight="1" x14ac:dyDescent="0.25">
      <c r="A11" s="141"/>
      <c r="B11" s="121" t="s">
        <v>2879</v>
      </c>
      <c r="C11" s="121"/>
      <c r="D11" s="372" t="str">
        <f>"c "&amp;Параметры!$C$15&amp;" до "&amp;Параметры!$C$17&amp;" по местному времени"</f>
        <v>c 18-00 до 18-25 по местному времени</v>
      </c>
      <c r="E11" s="356"/>
      <c r="F11" s="356"/>
      <c r="G11" s="356"/>
      <c r="H11" s="356"/>
      <c r="I11" s="356"/>
      <c r="J11" s="356"/>
      <c r="K11" s="66"/>
    </row>
    <row r="12" spans="1:20" ht="15.75" customHeight="1" x14ac:dyDescent="0.25">
      <c r="A12" s="141"/>
      <c r="B12" s="121" t="s">
        <v>2880</v>
      </c>
      <c r="C12" s="121"/>
      <c r="D12" s="121"/>
      <c r="E12" s="162" t="str">
        <f>D9</f>
        <v>'' 25 ''</v>
      </c>
      <c r="F12" s="161" t="str">
        <f>E9</f>
        <v>мая</v>
      </c>
      <c r="G12" s="161" t="str">
        <f>F9</f>
        <v>2026 г.</v>
      </c>
      <c r="H12" s="161" t="str">
        <f>"c "&amp;Параметры!$C$11</f>
        <v>c 07-00</v>
      </c>
      <c r="I12" s="161" t="str">
        <f>"до "&amp;Параметры!$C$13</f>
        <v>до 17-00</v>
      </c>
      <c r="J12" s="121"/>
    </row>
    <row r="13" spans="1:20" ht="15.75" customHeight="1" x14ac:dyDescent="0.25">
      <c r="A13" s="141"/>
      <c r="B13" s="121" t="str">
        <f>"5.    Способы инициирования зарядов, взрывной сети: электрический"</f>
        <v>5.    Способы инициирования зарядов, взрывной сети: электрический</v>
      </c>
      <c r="C13" s="121"/>
      <c r="D13" s="121"/>
      <c r="E13" s="121"/>
      <c r="F13" s="121"/>
      <c r="G13" s="121"/>
      <c r="H13" s="121"/>
      <c r="I13" s="121"/>
      <c r="J13" s="121"/>
      <c r="K13" s="66"/>
    </row>
    <row r="14" spans="1:20" ht="15.75" customHeight="1" x14ac:dyDescent="0.25">
      <c r="A14" s="141"/>
      <c r="B14" s="121" t="s">
        <v>2881</v>
      </c>
      <c r="C14" s="121"/>
      <c r="D14" s="121"/>
      <c r="E14" s="121"/>
      <c r="F14" s="121"/>
      <c r="G14" s="121"/>
      <c r="H14" s="161">
        <f>n_скважин</f>
        <v>197</v>
      </c>
      <c r="I14" s="121"/>
      <c r="J14" s="121"/>
      <c r="K14" s="66"/>
    </row>
    <row r="15" spans="1:20" ht="27.75" customHeight="1" x14ac:dyDescent="0.25">
      <c r="A15" s="141"/>
      <c r="B15" s="353" t="str">
        <f>"7.    Способ взрывания:  инициирующий  импульс  от  капсюля - детонатора                                              "&amp;Параметры!$B$68</f>
        <v>7.    Способ взрывания:  инициирующий  импульс  от  капсюля - детонатора                                              Искра-В (Старт-600м)</v>
      </c>
      <c r="C15" s="353"/>
      <c r="D15" s="353"/>
      <c r="E15" s="353"/>
      <c r="F15" s="353"/>
      <c r="G15" s="353"/>
      <c r="H15" s="353"/>
      <c r="I15" s="353"/>
      <c r="J15" s="353"/>
      <c r="K15" s="136"/>
      <c r="L15" s="136"/>
      <c r="M15" s="136"/>
      <c r="N15" s="135"/>
      <c r="O15" s="135"/>
      <c r="P15" s="135"/>
      <c r="Q15" s="135"/>
      <c r="R15" s="135"/>
      <c r="S15" s="135"/>
      <c r="T15" s="135"/>
    </row>
    <row r="16" spans="1:20" ht="15.75" customHeight="1" x14ac:dyDescent="0.25">
      <c r="A16" s="141"/>
      <c r="B16" s="151" t="str">
        <f>"устройства "&amp;TRIM(MID(Параметры!$B$65,1,FIND("(",Параметры!$B$65,1)-1))&amp;", с интервалом замедления: "&amp;MID(Параметры!$B$65,FIND("(",Параметры!$B$65,1)+1,FIND(")",Параметры!$B$65,1)-FIND("(",Параметры!$B$65,1)-1)</f>
        <v>устройства Искра-С, с интервалом замедления: 500 мс</v>
      </c>
      <c r="C16" s="151"/>
      <c r="D16" s="151"/>
      <c r="E16" s="151"/>
      <c r="F16" s="151"/>
      <c r="G16" s="151"/>
      <c r="H16" s="151"/>
      <c r="I16" s="151"/>
      <c r="J16" s="151"/>
      <c r="K16" s="135"/>
      <c r="L16" s="135"/>
      <c r="M16" s="135"/>
      <c r="N16" s="135"/>
      <c r="O16" s="135"/>
      <c r="P16" s="135"/>
      <c r="Q16" s="135"/>
      <c r="R16" s="135"/>
      <c r="S16" s="135"/>
      <c r="T16" s="135"/>
    </row>
    <row r="17" spans="1:10" ht="24" customHeight="1" x14ac:dyDescent="0.25">
      <c r="A17" s="141"/>
      <c r="B17" s="121" t="str">
        <f>"8.   Тип замедлителей: ИСКРА-П("&amp;IF(Параметры!D67&gt;0,"42; ","")&amp;IF(Параметры!D66&gt;0,"67","")&amp;") мс"</f>
        <v>8.   Тип замедлителей: ИСКРА-П(42; 67) мс</v>
      </c>
      <c r="C17" s="121"/>
      <c r="D17" s="121"/>
      <c r="E17" s="121"/>
      <c r="F17" s="121"/>
      <c r="G17" s="121"/>
      <c r="H17" s="121"/>
      <c r="I17" s="121"/>
      <c r="J17" s="121"/>
    </row>
    <row r="18" spans="1:10" s="66" customFormat="1" ht="15.75" customHeight="1" x14ac:dyDescent="0.25">
      <c r="A18" s="121"/>
      <c r="B18" s="121" t="s">
        <v>2887</v>
      </c>
      <c r="C18" s="121"/>
      <c r="D18" s="121"/>
      <c r="E18" s="121"/>
      <c r="F18" s="121"/>
      <c r="G18" s="121"/>
      <c r="H18" s="121"/>
      <c r="I18" s="121"/>
      <c r="J18" s="121"/>
    </row>
    <row r="19" spans="1:10" s="66" customFormat="1" ht="15.75" customHeight="1" x14ac:dyDescent="0.25">
      <c r="A19" s="121"/>
      <c r="B19" s="121" t="s">
        <v>2882</v>
      </c>
      <c r="C19" s="121"/>
      <c r="D19" s="121"/>
      <c r="E19" s="121"/>
      <c r="F19" s="121"/>
      <c r="G19" s="121"/>
      <c r="H19" s="121"/>
      <c r="I19" s="121"/>
      <c r="J19" s="121"/>
    </row>
    <row r="20" spans="1:10" s="66" customFormat="1" ht="15.75" customHeight="1" x14ac:dyDescent="0.25">
      <c r="A20" s="121"/>
      <c r="B20" s="121" t="s">
        <v>2512</v>
      </c>
      <c r="C20" s="121"/>
      <c r="D20" s="121"/>
      <c r="E20" s="121"/>
      <c r="F20" s="121"/>
      <c r="G20" s="121"/>
      <c r="H20" s="121"/>
      <c r="I20" s="121"/>
      <c r="J20" s="121"/>
    </row>
    <row r="21" spans="1:10" s="66" customFormat="1" ht="15.75" customHeight="1" x14ac:dyDescent="0.25">
      <c r="A21" s="121"/>
      <c r="B21" s="121" t="s">
        <v>2513</v>
      </c>
      <c r="C21" s="121"/>
      <c r="D21" s="121"/>
      <c r="E21" s="121"/>
      <c r="F21" s="121"/>
      <c r="G21" s="121"/>
      <c r="H21" s="121"/>
      <c r="I21" s="121"/>
      <c r="J21" s="121"/>
    </row>
    <row r="22" spans="1:10" ht="14.25" customHeight="1" x14ac:dyDescent="0.25">
      <c r="A22" s="141"/>
      <c r="B22" s="141"/>
      <c r="C22" s="141"/>
      <c r="D22" s="163" t="s">
        <v>2883</v>
      </c>
      <c r="E22" s="141"/>
      <c r="F22" s="141"/>
      <c r="G22" s="141"/>
      <c r="H22" s="141"/>
      <c r="I22" s="141"/>
      <c r="J22" s="141"/>
    </row>
    <row r="23" spans="1:10" ht="14.25" customHeight="1" x14ac:dyDescent="0.25">
      <c r="A23" s="141"/>
      <c r="B23" s="141"/>
      <c r="C23" s="141"/>
      <c r="D23" s="163" t="s">
        <v>2884</v>
      </c>
      <c r="E23" s="141"/>
      <c r="F23" s="141"/>
      <c r="G23" s="141"/>
      <c r="H23" s="141"/>
      <c r="I23" s="141"/>
      <c r="J23" s="141"/>
    </row>
    <row r="24" spans="1:10" ht="14.25" customHeight="1" x14ac:dyDescent="0.25">
      <c r="A24" s="141"/>
      <c r="B24" s="141"/>
      <c r="C24" s="141"/>
      <c r="D24" s="163" t="s">
        <v>2885</v>
      </c>
      <c r="E24" s="141"/>
      <c r="F24" s="141"/>
      <c r="G24" s="141"/>
      <c r="H24" s="141"/>
      <c r="I24" s="141"/>
      <c r="J24" s="141"/>
    </row>
    <row r="25" spans="1:10" s="66" customFormat="1" ht="15.75" customHeight="1" x14ac:dyDescent="0.25">
      <c r="A25" s="121"/>
      <c r="B25" s="121" t="s">
        <v>2514</v>
      </c>
      <c r="C25" s="121"/>
      <c r="D25" s="121"/>
      <c r="E25" s="121"/>
      <c r="F25" s="121"/>
      <c r="G25" s="375" t="s">
        <v>2515</v>
      </c>
      <c r="H25" s="356"/>
      <c r="I25" s="356"/>
      <c r="J25" s="356"/>
    </row>
    <row r="26" spans="1:10" s="66" customFormat="1" ht="15.75" customHeight="1" x14ac:dyDescent="0.25">
      <c r="A26" s="121"/>
      <c r="B26" s="121" t="s">
        <v>2516</v>
      </c>
      <c r="C26" s="121"/>
      <c r="D26" s="121"/>
      <c r="E26" s="121"/>
      <c r="F26" s="121"/>
      <c r="G26" s="121"/>
      <c r="H26" s="121"/>
      <c r="I26" s="121"/>
      <c r="J26" s="121"/>
    </row>
    <row r="27" spans="1:10" s="36" customFormat="1" ht="15.75" customHeight="1" x14ac:dyDescent="0.25">
      <c r="A27" s="161"/>
      <c r="B27" s="370" t="s">
        <v>2517</v>
      </c>
      <c r="C27" s="356"/>
      <c r="D27" s="356"/>
      <c r="E27" s="356"/>
      <c r="F27" s="356"/>
      <c r="G27" s="356"/>
      <c r="H27" s="356"/>
      <c r="I27" s="356"/>
      <c r="J27" s="356"/>
    </row>
    <row r="28" spans="1:10" s="66" customFormat="1" ht="15.75" customHeight="1" x14ac:dyDescent="0.25">
      <c r="A28" s="121"/>
      <c r="B28" s="121" t="s">
        <v>2518</v>
      </c>
      <c r="C28" s="121"/>
      <c r="D28" s="121"/>
      <c r="E28" s="121"/>
      <c r="F28" s="121"/>
      <c r="G28" s="121"/>
      <c r="H28" s="121"/>
      <c r="I28" s="121"/>
      <c r="J28" s="121"/>
    </row>
    <row r="29" spans="1:10" ht="15.75" customHeight="1" x14ac:dyDescent="0.25">
      <c r="A29" s="141"/>
      <c r="B29" s="164" t="s">
        <v>2519</v>
      </c>
      <c r="C29" s="151" t="s">
        <v>2520</v>
      </c>
      <c r="D29" s="141"/>
      <c r="E29" s="141"/>
      <c r="F29" s="141"/>
      <c r="G29" s="141"/>
      <c r="H29" s="141"/>
      <c r="I29" s="141"/>
      <c r="J29" s="141"/>
    </row>
    <row r="30" spans="1:10" s="62" customFormat="1" ht="15" customHeight="1" x14ac:dyDescent="0.25">
      <c r="A30" s="121"/>
      <c r="B30" s="121"/>
      <c r="C30" s="121" t="s">
        <v>2521</v>
      </c>
      <c r="D30" s="121"/>
      <c r="E30" s="121"/>
      <c r="F30" s="121"/>
      <c r="G30" s="121"/>
      <c r="H30" s="121"/>
      <c r="I30" s="121"/>
      <c r="J30" s="121"/>
    </row>
    <row r="31" spans="1:10" s="66" customFormat="1" ht="15.75" customHeight="1" x14ac:dyDescent="0.25">
      <c r="A31" s="121"/>
      <c r="B31" s="121" t="s">
        <v>2522</v>
      </c>
      <c r="C31" s="121"/>
      <c r="D31" s="121"/>
      <c r="E31" s="121"/>
      <c r="F31" s="121"/>
      <c r="G31" s="121"/>
      <c r="H31" s="121"/>
      <c r="I31" s="121"/>
      <c r="J31" s="121"/>
    </row>
    <row r="32" spans="1:10" s="66" customFormat="1" ht="15.75" customHeight="1" x14ac:dyDescent="0.25">
      <c r="A32" s="121"/>
      <c r="B32" s="121" t="s">
        <v>2523</v>
      </c>
      <c r="C32" s="121"/>
      <c r="D32" s="121"/>
      <c r="E32" s="121"/>
      <c r="F32" s="121"/>
      <c r="H32" s="121"/>
      <c r="I32" s="121"/>
      <c r="J32" s="121"/>
    </row>
    <row r="33" spans="1:10" ht="16.5" customHeight="1" x14ac:dyDescent="0.25">
      <c r="A33" s="141"/>
      <c r="B33" s="370" t="str">
        <f>Справочник!$M$12&amp;" "&amp;IFERROR(LEFT(Справочник!$N$12,FIND(CHAR(32),Справочник!$N$12,1)-1)&amp;" "&amp;MID(Справочник!$N$12,FIND(CHAR(32),Справочник!$N$12)+1,1)&amp;"."&amp;MID(Справочник!$N$12,SEARCH(CHAR(32),Справочник!$N$12,FIND(CHAR(32),Справочник!$N$12,1)+1)+1,1)&amp;".","")</f>
        <v xml:space="preserve"> Начальник участка "Хаптагай-Хая" Шмелёв С.В.</v>
      </c>
      <c r="C33" s="356"/>
      <c r="D33" s="356"/>
      <c r="E33" s="356"/>
      <c r="F33" s="356"/>
      <c r="G33" s="356"/>
      <c r="H33" s="356"/>
      <c r="I33" s="356"/>
      <c r="J33" s="356"/>
    </row>
    <row r="34" spans="1:10" ht="12" customHeight="1" x14ac:dyDescent="0.25">
      <c r="A34" s="141"/>
      <c r="B34" s="164" t="s">
        <v>2524</v>
      </c>
      <c r="C34" s="141"/>
      <c r="D34" s="157"/>
      <c r="E34" s="157"/>
      <c r="F34" s="157"/>
      <c r="G34" s="157"/>
      <c r="H34" s="157"/>
      <c r="I34" s="157"/>
      <c r="J34" s="157"/>
    </row>
    <row r="35" spans="1:10" ht="5.25" customHeight="1" x14ac:dyDescent="0.25">
      <c r="A35" s="141"/>
      <c r="B35" s="164"/>
      <c r="C35" s="141"/>
      <c r="D35" s="141"/>
      <c r="E35" s="141"/>
      <c r="F35" s="141"/>
      <c r="G35" s="141"/>
      <c r="H35" s="141"/>
      <c r="I35" s="141"/>
      <c r="J35" s="141"/>
    </row>
    <row r="36" spans="1:10" s="37" customFormat="1" ht="16.5" customHeight="1" x14ac:dyDescent="0.25">
      <c r="A36" s="158"/>
      <c r="B36" s="353" t="s">
        <v>2525</v>
      </c>
      <c r="C36" s="371"/>
      <c r="D36" s="371"/>
      <c r="E36" s="371"/>
      <c r="F36" s="371"/>
      <c r="G36" s="371"/>
      <c r="H36" s="371"/>
      <c r="I36" s="371"/>
      <c r="J36" s="371"/>
    </row>
    <row r="37" spans="1:10" s="37" customFormat="1" ht="17.25" customHeight="1" x14ac:dyDescent="0.25">
      <c r="A37" s="158"/>
      <c r="B37" s="377" t="str">
        <f>"Специализированным автомобилем: "&amp;Справочник!$O$24&amp;", "&amp;Справочник!$M$24&amp;": "&amp;IFERROR(LEFT(Справочник!$N$24,FIND(CHAR(32),Справочник!$N$24,1)-1)&amp;" "&amp;MID(Справочник!$N$24,FIND(CHAR(32),Справочник!$N$24)+1,1)&amp;"."&amp;MID(Справочник!$N$24,SEARCH(CHAR(32),Справочник!$N$24,FIND(CHAR(32),Справочник!$N$24,1)+1)+1,1)&amp;".","")</f>
        <v xml:space="preserve">Специализированным автомобилем: КамАЗ 43118 Х 873 МК 14, Водитель : </v>
      </c>
      <c r="C37" s="356"/>
      <c r="D37" s="356"/>
      <c r="E37" s="356"/>
      <c r="F37" s="356"/>
      <c r="G37" s="356"/>
      <c r="H37" s="356"/>
      <c r="I37" s="356"/>
      <c r="J37" s="356"/>
    </row>
    <row r="38" spans="1:10" ht="14.25" customHeight="1" x14ac:dyDescent="0.25">
      <c r="A38" s="141"/>
      <c r="B38" s="376" t="s">
        <v>2526</v>
      </c>
      <c r="C38" s="368"/>
      <c r="D38" s="368"/>
      <c r="E38" s="368"/>
      <c r="F38" s="368"/>
      <c r="G38" s="368"/>
      <c r="H38" s="368"/>
      <c r="I38" s="368"/>
      <c r="J38" s="368"/>
    </row>
    <row r="39" spans="1:10" ht="15" customHeight="1" x14ac:dyDescent="0.25">
      <c r="A39" s="141"/>
      <c r="B39" s="364" t="s">
        <v>2527</v>
      </c>
      <c r="C39" s="349"/>
      <c r="D39" s="349"/>
      <c r="E39" s="374" t="str">
        <f>Справочник!$M$6&amp;" "&amp;IFERROR(LEFT(Справочник!$N$6,FIND(CHAR(32),Справочник!$N$6,1)-1)&amp;" "&amp;MID(Справочник!$N$6,FIND(CHAR(32),Справочник!$N$6)+1,1)&amp;"."&amp;MID(Справочник!$N$6,SEARCH(CHAR(32),Справочник!$N$6,FIND(CHAR(32),Справочник!$N$6,1)+1)+1,1)&amp;".","")</f>
        <v xml:space="preserve"> Начальник участка "Хаптагай-Хая" Шмелёв С.В.</v>
      </c>
      <c r="F39" s="356"/>
      <c r="G39" s="356"/>
      <c r="H39" s="356"/>
      <c r="I39" s="356"/>
      <c r="J39" s="356"/>
    </row>
    <row r="40" spans="1:10" ht="20.25" customHeight="1" x14ac:dyDescent="0.25">
      <c r="A40" s="141"/>
      <c r="B40" s="165"/>
      <c r="C40" s="165"/>
      <c r="D40" s="165"/>
      <c r="E40" s="373" t="s">
        <v>2528</v>
      </c>
      <c r="F40" s="349"/>
      <c r="G40" s="349"/>
      <c r="H40" s="349"/>
      <c r="I40" s="349"/>
      <c r="J40" s="159"/>
    </row>
    <row r="41" spans="1:10" s="66" customFormat="1" ht="15.75" customHeight="1" x14ac:dyDescent="0.25">
      <c r="A41" s="121"/>
      <c r="B41" s="121" t="s">
        <v>2529</v>
      </c>
      <c r="C41" s="121"/>
      <c r="D41" s="121"/>
      <c r="E41" s="121"/>
      <c r="F41" s="121"/>
      <c r="G41" s="121"/>
      <c r="H41" s="121"/>
      <c r="I41" s="365" t="s">
        <v>2898</v>
      </c>
      <c r="J41" s="365"/>
    </row>
    <row r="42" spans="1:10" hidden="1" x14ac:dyDescent="0.25">
      <c r="A42" s="141"/>
      <c r="B42" s="141"/>
      <c r="C42" s="141"/>
      <c r="D42" s="141"/>
      <c r="E42" s="141"/>
      <c r="F42" s="141"/>
      <c r="G42" s="141"/>
      <c r="H42" s="366" t="s">
        <v>2530</v>
      </c>
      <c r="I42" s="366"/>
      <c r="J42" s="366"/>
    </row>
    <row r="43" spans="1:10" ht="6.75" customHeight="1" x14ac:dyDescent="0.25">
      <c r="A43" s="141"/>
      <c r="B43" s="152"/>
      <c r="C43" s="141"/>
      <c r="D43" s="141"/>
      <c r="E43" s="141"/>
      <c r="F43" s="141"/>
      <c r="G43" s="141"/>
      <c r="H43" s="141"/>
      <c r="I43" s="141"/>
      <c r="J43" s="141"/>
    </row>
    <row r="44" spans="1:10" ht="15.75" customHeight="1" x14ac:dyDescent="0.25">
      <c r="A44" s="141"/>
      <c r="B44" s="121" t="s">
        <v>2531</v>
      </c>
      <c r="C44" s="121"/>
      <c r="D44" s="121"/>
      <c r="E44" s="372"/>
      <c r="F44" s="356"/>
      <c r="G44" s="356"/>
      <c r="H44" s="356"/>
      <c r="I44" s="356"/>
      <c r="J44" s="356"/>
    </row>
    <row r="45" spans="1:10" hidden="1" x14ac:dyDescent="0.25">
      <c r="A45" s="141"/>
      <c r="B45" s="141"/>
      <c r="C45" s="121"/>
      <c r="D45" s="121"/>
      <c r="E45" s="367" t="s">
        <v>2532</v>
      </c>
      <c r="F45" s="368"/>
      <c r="G45" s="368"/>
      <c r="H45" s="368"/>
      <c r="I45" s="368"/>
      <c r="J45" s="368"/>
    </row>
    <row r="46" spans="1:10" hidden="1" x14ac:dyDescent="0.25"/>
    <row r="47" spans="1:10" hidden="1" x14ac:dyDescent="0.25"/>
    <row r="48" spans="1:10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</sheetData>
  <mergeCells count="26">
    <mergeCell ref="E45:J45"/>
    <mergeCell ref="D10:E10"/>
    <mergeCell ref="B6:J6"/>
    <mergeCell ref="B33:J33"/>
    <mergeCell ref="B5:J5"/>
    <mergeCell ref="B36:J36"/>
    <mergeCell ref="D11:J11"/>
    <mergeCell ref="E40:I40"/>
    <mergeCell ref="E39:J39"/>
    <mergeCell ref="B27:J27"/>
    <mergeCell ref="E44:J44"/>
    <mergeCell ref="G25:J25"/>
    <mergeCell ref="B38:J38"/>
    <mergeCell ref="B39:D39"/>
    <mergeCell ref="B37:J37"/>
    <mergeCell ref="F10:G10"/>
    <mergeCell ref="C1:J1"/>
    <mergeCell ref="C2:J2"/>
    <mergeCell ref="B3:J3"/>
    <mergeCell ref="I41:J41"/>
    <mergeCell ref="H42:J42"/>
    <mergeCell ref="B8:D8"/>
    <mergeCell ref="E8:F8"/>
    <mergeCell ref="H8:J8"/>
    <mergeCell ref="B15:J15"/>
    <mergeCell ref="I10:J10"/>
  </mergeCells>
  <pageMargins left="0.59055118110236227" right="0.39370078740157483" top="0.74803149606299213" bottom="0.74803149606299213" header="0.31496062992125984" footer="0.31496062992125984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0">
    <tabColor theme="6" tint="0.59999389629810485"/>
  </sheetPr>
  <dimension ref="A1:AA56"/>
  <sheetViews>
    <sheetView showGridLines="0" showZeros="0" view="pageBreakPreview" zoomScaleNormal="100" zoomScaleSheetLayoutView="100" workbookViewId="0">
      <pane ySplit="6" topLeftCell="A7" activePane="bottomLeft" state="frozen"/>
      <selection activeCell="C33" sqref="C33"/>
      <selection pane="bottomLeft" activeCell="K28" sqref="K28"/>
    </sheetView>
  </sheetViews>
  <sheetFormatPr defaultColWidth="0" defaultRowHeight="15" customHeight="1" zeroHeight="1" x14ac:dyDescent="0.25"/>
  <cols>
    <col min="1" max="1" width="2.5703125" style="77" customWidth="1"/>
    <col min="2" max="2" width="4" style="77" customWidth="1"/>
    <col min="3" max="3" width="5.5703125" style="77" customWidth="1"/>
    <col min="4" max="4" width="10.28515625" style="77" customWidth="1"/>
    <col min="5" max="5" width="8.5703125" style="77" customWidth="1"/>
    <col min="6" max="6" width="9.7109375" style="77" customWidth="1"/>
    <col min="7" max="7" width="9.5703125" style="77" customWidth="1"/>
    <col min="8" max="8" width="7.85546875" style="77" customWidth="1"/>
    <col min="9" max="9" width="5.7109375" style="77" customWidth="1"/>
    <col min="10" max="10" width="7.5703125" style="77" customWidth="1"/>
    <col min="11" max="11" width="5.5703125" style="77" customWidth="1"/>
    <col min="12" max="12" width="7.5703125" style="77" customWidth="1"/>
    <col min="13" max="13" width="6.7109375" style="77" customWidth="1"/>
    <col min="14" max="14" width="7.5703125" style="77" customWidth="1"/>
    <col min="15" max="15" width="5.42578125" style="77" customWidth="1"/>
    <col min="16" max="16" width="7" style="77" customWidth="1"/>
    <col min="17" max="17" width="10.140625" style="77" customWidth="1"/>
    <col min="18" max="18" width="5.5703125" style="77" customWidth="1"/>
    <col min="19" max="19" width="7.85546875" style="77" customWidth="1"/>
    <col min="20" max="20" width="8" style="77" customWidth="1"/>
    <col min="21" max="21" width="10.140625" style="77" customWidth="1"/>
    <col min="22" max="22" width="5.5703125" style="77" customWidth="1"/>
    <col min="23" max="23" width="7.5703125" style="77" customWidth="1"/>
    <col min="24" max="24" width="5.5703125" style="77" customWidth="1"/>
    <col min="25" max="25" width="7.5703125" style="77" customWidth="1"/>
    <col min="26" max="26" width="16.7109375" style="77" customWidth="1"/>
    <col min="27" max="27" width="2.7109375" style="77" hidden="1" customWidth="1"/>
    <col min="28" max="28" width="9.140625" style="77" hidden="1" customWidth="1"/>
    <col min="29" max="16384" width="9.140625" style="77" hidden="1"/>
  </cols>
  <sheetData>
    <row r="1" spans="1:27" x14ac:dyDescent="0.25">
      <c r="A1" s="141"/>
      <c r="B1" s="347" t="s">
        <v>2533</v>
      </c>
      <c r="C1" s="347"/>
      <c r="D1" s="347"/>
      <c r="E1" s="347"/>
      <c r="F1" s="347"/>
      <c r="G1" s="347"/>
      <c r="H1" s="347"/>
      <c r="I1" s="347"/>
      <c r="J1" s="347"/>
      <c r="K1" s="347"/>
      <c r="L1" s="347"/>
      <c r="M1" s="347"/>
      <c r="N1" s="347"/>
      <c r="O1" s="347"/>
      <c r="P1" s="347"/>
      <c r="Q1" s="347"/>
      <c r="R1" s="347"/>
      <c r="S1" s="347"/>
      <c r="T1" s="185"/>
      <c r="U1" s="185"/>
      <c r="V1" s="185"/>
      <c r="W1" s="185"/>
      <c r="X1" s="185"/>
      <c r="Y1" s="185"/>
      <c r="Z1" s="185"/>
      <c r="AA1" s="185"/>
    </row>
    <row r="2" spans="1:27" x14ac:dyDescent="0.25">
      <c r="A2" s="141"/>
      <c r="B2" s="347" t="s">
        <v>2534</v>
      </c>
      <c r="C2" s="347"/>
      <c r="D2" s="347"/>
      <c r="E2" s="347"/>
      <c r="F2" s="347"/>
      <c r="G2" s="347"/>
      <c r="H2" s="347"/>
      <c r="I2" s="347"/>
      <c r="J2" s="347"/>
      <c r="K2" s="347"/>
      <c r="L2" s="347"/>
      <c r="M2" s="347"/>
      <c r="N2" s="347"/>
      <c r="O2" s="347"/>
      <c r="P2" s="347"/>
      <c r="Q2" s="347"/>
      <c r="R2" s="347"/>
      <c r="S2" s="347"/>
      <c r="T2" s="185"/>
      <c r="U2" s="185"/>
      <c r="V2" s="185"/>
      <c r="W2" s="185"/>
      <c r="X2" s="185"/>
      <c r="Y2" s="185"/>
      <c r="Z2" s="185"/>
      <c r="AA2" s="185"/>
    </row>
    <row r="3" spans="1:27" x14ac:dyDescent="0.25">
      <c r="A3" s="141"/>
      <c r="B3" s="350" t="str">
        <f>"на россыпном месторождении золота "&amp;Параметры!$C$5&amp;" Блок "&amp;Параметры!$C$7&amp;" на взрыв "" "&amp;DAY(Параметры!$C$9)&amp;" ''"&amp;" "&amp;IF(Параметры!$C$9=0,"",LOOKUP(MONTH(Параметры!$C$9),{1;2;3;4;5;6;7;8;9;10;11;12},{"января";"февраля";"марта";"апреля";"мая";"июня";"июля";"августа";"сентября";"октября";"ноября";"декабря"}))&amp;" "&amp;YEAR(Параметры!$C$9)&amp;" г."</f>
        <v>на россыпном месторождении золота Хаптагай-Хая Блок  П-10; С1-13б на взрыв " 25 '' мая 2026 г.</v>
      </c>
      <c r="C3" s="350"/>
      <c r="D3" s="350"/>
      <c r="E3" s="350"/>
      <c r="F3" s="350"/>
      <c r="G3" s="350"/>
      <c r="H3" s="350"/>
      <c r="I3" s="350"/>
      <c r="J3" s="350"/>
      <c r="K3" s="350"/>
      <c r="L3" s="350"/>
      <c r="M3" s="350"/>
      <c r="N3" s="350"/>
      <c r="O3" s="350"/>
      <c r="P3" s="350"/>
      <c r="Q3" s="350"/>
      <c r="R3" s="350"/>
      <c r="S3" s="350"/>
      <c r="T3" s="185"/>
      <c r="U3" s="185"/>
      <c r="V3" s="185"/>
      <c r="W3" s="185"/>
      <c r="X3" s="185"/>
      <c r="Y3" s="185"/>
      <c r="Z3" s="185"/>
      <c r="AA3" s="185"/>
    </row>
    <row r="4" spans="1:27" x14ac:dyDescent="0.25">
      <c r="A4" s="141"/>
      <c r="B4" s="141"/>
      <c r="C4" s="141"/>
      <c r="D4" s="141"/>
      <c r="E4" s="141"/>
      <c r="F4" s="141"/>
      <c r="G4" s="141"/>
      <c r="H4" s="141"/>
      <c r="I4" s="141"/>
      <c r="J4" s="141"/>
      <c r="K4" s="141"/>
      <c r="L4" s="141"/>
      <c r="M4" s="141"/>
      <c r="N4" s="141"/>
      <c r="O4" s="141"/>
      <c r="P4" s="141"/>
      <c r="Q4" s="141"/>
      <c r="R4" s="141"/>
      <c r="S4" s="141"/>
      <c r="T4" s="141"/>
      <c r="U4" s="141"/>
      <c r="V4" s="141"/>
      <c r="W4" s="141"/>
      <c r="X4" s="141"/>
      <c r="Y4" s="141"/>
      <c r="Z4" s="141"/>
      <c r="AA4" s="141"/>
    </row>
    <row r="5" spans="1:27" ht="45" customHeight="1" x14ac:dyDescent="0.25">
      <c r="A5" s="141"/>
      <c r="B5" s="39" t="s">
        <v>1</v>
      </c>
      <c r="C5" s="381" t="s">
        <v>2535</v>
      </c>
      <c r="D5" s="382"/>
      <c r="E5" s="381" t="s">
        <v>2454</v>
      </c>
      <c r="F5" s="382"/>
      <c r="G5" s="383" t="s">
        <v>2536</v>
      </c>
      <c r="H5" s="382"/>
      <c r="I5" s="383" t="s">
        <v>2537</v>
      </c>
      <c r="J5" s="382"/>
      <c r="K5" s="381" t="s">
        <v>2538</v>
      </c>
      <c r="L5" s="382"/>
      <c r="M5" s="383" t="s">
        <v>2539</v>
      </c>
      <c r="N5" s="382"/>
      <c r="O5" s="383" t="s">
        <v>2540</v>
      </c>
      <c r="P5" s="382"/>
      <c r="Q5" s="383" t="s">
        <v>2541</v>
      </c>
      <c r="R5" s="382"/>
      <c r="S5" s="381" t="s">
        <v>8</v>
      </c>
      <c r="T5" s="141"/>
      <c r="U5" s="141"/>
      <c r="V5" s="141"/>
      <c r="W5" s="141"/>
      <c r="X5" s="141"/>
      <c r="Y5" s="141"/>
      <c r="Z5" s="141"/>
      <c r="AA5" s="141"/>
    </row>
    <row r="6" spans="1:27" x14ac:dyDescent="0.25">
      <c r="A6" s="141"/>
      <c r="B6" s="40"/>
      <c r="C6" s="10" t="s">
        <v>2542</v>
      </c>
      <c r="D6" s="10" t="s">
        <v>2543</v>
      </c>
      <c r="E6" s="10" t="s">
        <v>2542</v>
      </c>
      <c r="F6" s="10" t="s">
        <v>2543</v>
      </c>
      <c r="G6" s="10" t="s">
        <v>2542</v>
      </c>
      <c r="H6" s="10" t="s">
        <v>2543</v>
      </c>
      <c r="I6" s="10" t="s">
        <v>2542</v>
      </c>
      <c r="J6" s="10" t="s">
        <v>2543</v>
      </c>
      <c r="K6" s="10" t="s">
        <v>2542</v>
      </c>
      <c r="L6" s="10" t="s">
        <v>2543</v>
      </c>
      <c r="M6" s="10" t="s">
        <v>2542</v>
      </c>
      <c r="N6" s="10" t="s">
        <v>2543</v>
      </c>
      <c r="O6" s="10" t="s">
        <v>2542</v>
      </c>
      <c r="P6" s="10" t="s">
        <v>2543</v>
      </c>
      <c r="Q6" s="10" t="s">
        <v>2542</v>
      </c>
      <c r="R6" s="10" t="s">
        <v>2543</v>
      </c>
      <c r="S6" s="384"/>
      <c r="T6" s="141"/>
      <c r="U6" s="141"/>
      <c r="V6" s="141"/>
      <c r="W6" s="141"/>
      <c r="X6" s="141"/>
      <c r="Y6" s="141"/>
      <c r="Z6" s="141"/>
      <c r="AA6" s="141"/>
    </row>
    <row r="7" spans="1:27" x14ac:dyDescent="0.25">
      <c r="A7" s="141"/>
      <c r="B7" s="144">
        <f t="shared" ref="B7:B18" ca="1" si="0">IF(INDIRECT(ADDRESS(ROW(),COLUMN()+1,4))&gt;0,ROW()-ROW($B$6),"")</f>
        <v>1</v>
      </c>
      <c r="C7" s="129">
        <f t="array" ref="C7">IFERROR(INDEX(Скважины,MATCH(SUM(COUNTIF(C$6:C6, Скважины)),COUNTIF(Скважины,"&gt;"&amp; Скважины),0)),0)</f>
        <v>8</v>
      </c>
      <c r="D7" s="126"/>
      <c r="E7" s="131">
        <f>IF(C7&lt;&gt;"",IFERROR(COUNTIF('Зарядная карта'!$C$5:$BJ$44,Таблица!C7),0),0)</f>
        <v>160</v>
      </c>
      <c r="F7" s="126"/>
      <c r="G7" s="129">
        <f>IF(E7&gt;0,Параметры!$D$33,0)</f>
        <v>5.5</v>
      </c>
      <c r="H7" s="126"/>
      <c r="I7" s="129">
        <f>IF(E7&gt;0,Параметры!$D$34,0)</f>
        <v>5</v>
      </c>
      <c r="J7" s="126"/>
      <c r="K7" s="166">
        <f t="shared" ref="K7:K18" si="1">IF(E7&gt;0,d_скважины*1000,0)</f>
        <v>215</v>
      </c>
      <c r="L7" s="126"/>
      <c r="M7" s="148">
        <f>IF(E7&gt;0,SUMIF(Скважины,Таблица!$C7,'Каталог скважин'!$E$8:$E$2407)/$E7+$G$22,0)</f>
        <v>188.94410000000042</v>
      </c>
      <c r="N7" s="126"/>
      <c r="O7" s="128">
        <f>IF(E7&gt;0,SUMIF(Скважины,Таблица!$C7,'Каталог скважин'!$N$8:$N$2407)/$E7,0)</f>
        <v>6</v>
      </c>
      <c r="P7" s="126"/>
      <c r="Q7" s="128">
        <f>IF(E7&gt;0,SUMIF(Скважины,Таблица!$C7,'Каталог скважин'!$F$8:$F$2407)/$E7,0)</f>
        <v>2</v>
      </c>
      <c r="R7" s="126"/>
      <c r="S7" s="128" t="s">
        <v>2494</v>
      </c>
      <c r="T7" s="141"/>
      <c r="U7" s="141"/>
      <c r="V7" s="141"/>
      <c r="W7" s="141"/>
      <c r="X7" s="141"/>
      <c r="Y7" s="141"/>
      <c r="Z7" s="141"/>
      <c r="AA7" s="141"/>
    </row>
    <row r="8" spans="1:27" x14ac:dyDescent="0.25">
      <c r="A8" s="141"/>
      <c r="B8" s="144">
        <f t="shared" ca="1" si="0"/>
        <v>2</v>
      </c>
      <c r="C8" s="129">
        <f t="array" ref="C8">IFERROR(INDEX(Скважины,MATCH(SUM(COUNTIF(C$6:C7, Скважины)),COUNTIF(Скважины,"&gt;"&amp; Скважины),0)),0)</f>
        <v>4</v>
      </c>
      <c r="D8" s="126"/>
      <c r="E8" s="131">
        <f>IF(C8&lt;&gt;"",IFERROR(COUNTIF('Зарядная карта'!$C$5:$BJ$44,Таблица!C8),0),0)</f>
        <v>37</v>
      </c>
      <c r="F8" s="126"/>
      <c r="G8" s="129">
        <f>IF(E8&gt;0,Параметры!$D$33,0)</f>
        <v>5.5</v>
      </c>
      <c r="H8" s="126"/>
      <c r="I8" s="129">
        <f>IF(E8&gt;0,Параметры!$D$34,0)</f>
        <v>5</v>
      </c>
      <c r="J8" s="126"/>
      <c r="K8" s="166">
        <f t="shared" si="1"/>
        <v>215</v>
      </c>
      <c r="L8" s="126"/>
      <c r="M8" s="148">
        <f>IF(E8&gt;0,SUMIF(Скважины,Таблица!$C8,'Каталог скважин'!$E$8:$E$2407)/$E8+$G$22,0)</f>
        <v>63.314699999999952</v>
      </c>
      <c r="N8" s="126"/>
      <c r="O8" s="128">
        <f>IF(E8&gt;0,SUMIF(Скважины,Таблица!$C8,'Каталог скважин'!$N$8:$N$2407)/$E8,0)</f>
        <v>2</v>
      </c>
      <c r="P8" s="126"/>
      <c r="Q8" s="128">
        <f>IF(E8&gt;0,SUMIF(Скважины,Таблица!$C8,'Каталог скважин'!$F$8:$F$2407)/$E8,0)</f>
        <v>2</v>
      </c>
      <c r="R8" s="126"/>
      <c r="S8" s="128"/>
      <c r="T8" s="141"/>
      <c r="U8" s="141"/>
      <c r="V8" s="141"/>
      <c r="W8" s="141"/>
      <c r="X8" s="141"/>
      <c r="Y8" s="141"/>
      <c r="Z8" s="141"/>
      <c r="AA8" s="141"/>
    </row>
    <row r="9" spans="1:27" x14ac:dyDescent="0.25">
      <c r="A9" s="141"/>
      <c r="B9" s="144" t="str">
        <f t="shared" ca="1" si="0"/>
        <v/>
      </c>
      <c r="C9" s="129">
        <f t="array" ref="C9">IFERROR(INDEX(Скважины,MATCH(SUM(COUNTIF(C$6:C8, Скважины)),COUNTIF(Скважины,"&gt;"&amp; Скважины),0)),0)</f>
        <v>0</v>
      </c>
      <c r="D9" s="126"/>
      <c r="E9" s="131">
        <f>IF(C9&lt;&gt;"",IFERROR(COUNTIF('Зарядная карта'!$C$5:$BJ$44,Таблица!C9),0),0)</f>
        <v>0</v>
      </c>
      <c r="F9" s="126"/>
      <c r="G9" s="129">
        <f>IF(E9&gt;0,Параметры!$D$33,0)</f>
        <v>0</v>
      </c>
      <c r="H9" s="126"/>
      <c r="I9" s="129">
        <f>IF(E9&gt;0,Параметры!$D$34,0)</f>
        <v>0</v>
      </c>
      <c r="J9" s="126"/>
      <c r="K9" s="166">
        <f t="shared" si="1"/>
        <v>0</v>
      </c>
      <c r="L9" s="126"/>
      <c r="M9" s="148">
        <f>IF(E9&gt;0,SUMIF(Скважины,Таблица!$C9,'Каталог скважин'!$E$8:$E$2407)/$E9+$G$22,0)</f>
        <v>0</v>
      </c>
      <c r="N9" s="126"/>
      <c r="O9" s="128">
        <f>IF(E9&gt;0,SUMIF(Скважины,Таблица!$C9,'Каталог скважин'!$N$8:$N$2407)/$E9,0)</f>
        <v>0</v>
      </c>
      <c r="P9" s="126"/>
      <c r="Q9" s="128">
        <f>IF(E9&gt;0,SUMIF(Скважины,Таблица!$C9,'Каталог скважин'!$F$8:$F$2407)/$E9,0)</f>
        <v>0</v>
      </c>
      <c r="R9" s="126"/>
      <c r="S9" s="128"/>
      <c r="T9" s="141"/>
      <c r="U9" s="141"/>
      <c r="V9" s="141"/>
      <c r="W9" s="141"/>
      <c r="X9" s="141"/>
      <c r="Y9" s="141"/>
      <c r="Z9" s="141"/>
      <c r="AA9" s="141"/>
    </row>
    <row r="10" spans="1:27" x14ac:dyDescent="0.25">
      <c r="A10" s="141"/>
      <c r="B10" s="144" t="str">
        <f t="shared" ca="1" si="0"/>
        <v/>
      </c>
      <c r="C10" s="129">
        <f t="array" ref="C10">IFERROR(INDEX(Скважины,MATCH(SUM(COUNTIF(C$6:C9, Скважины)),COUNTIF(Скважины,"&gt;"&amp; Скважины),0)),0)</f>
        <v>0</v>
      </c>
      <c r="D10" s="126"/>
      <c r="E10" s="131">
        <f>IF(C10&lt;&gt;"",IFERROR(COUNTIF('Зарядная карта'!$C$5:$BJ$44,Таблица!C10),0),0)</f>
        <v>0</v>
      </c>
      <c r="F10" s="126"/>
      <c r="G10" s="129">
        <f>IF(E10&gt;0,Параметры!$D$33,0)</f>
        <v>0</v>
      </c>
      <c r="H10" s="126"/>
      <c r="I10" s="129">
        <f>IF(E10&gt;0,Параметры!$D$34,0)</f>
        <v>0</v>
      </c>
      <c r="J10" s="126"/>
      <c r="K10" s="166">
        <f t="shared" si="1"/>
        <v>0</v>
      </c>
      <c r="L10" s="126"/>
      <c r="M10" s="148">
        <f>IF(E10&gt;0,SUMIF(Скважины,Таблица!$C10,'Каталог скважин'!$E$8:$E$2407)/$E10+$G$22,0)</f>
        <v>0</v>
      </c>
      <c r="N10" s="126"/>
      <c r="O10" s="128">
        <f>IF(E10&gt;0,SUMIF(Скважины,Таблица!$C10,'Каталог скважин'!$N$8:$N$2407)/$E10,0)</f>
        <v>0</v>
      </c>
      <c r="P10" s="126"/>
      <c r="Q10" s="128">
        <f>IF(E10&gt;0,SUMIF(Скважины,Таблица!$C10,'Каталог скважин'!$F$8:$F$2407)/$E10,0)</f>
        <v>0</v>
      </c>
      <c r="R10" s="126"/>
      <c r="S10" s="128"/>
      <c r="T10" s="141"/>
      <c r="U10" s="141"/>
      <c r="V10" s="141"/>
      <c r="W10" s="141"/>
      <c r="X10" s="141"/>
      <c r="Y10" s="141"/>
      <c r="Z10" s="141"/>
      <c r="AA10" s="141"/>
    </row>
    <row r="11" spans="1:27" x14ac:dyDescent="0.25">
      <c r="A11" s="141"/>
      <c r="B11" s="144" t="str">
        <f t="shared" ca="1" si="0"/>
        <v/>
      </c>
      <c r="C11" s="129">
        <f t="array" ref="C11">IFERROR(INDEX(Скважины,MATCH(SUM(COUNTIF(C$6:C10, Скважины)),COUNTIF(Скважины,"&gt;"&amp; Скважины),0)),0)</f>
        <v>0</v>
      </c>
      <c r="D11" s="126"/>
      <c r="E11" s="131">
        <f>IF(C11&lt;&gt;"",IFERROR(COUNTIF('Зарядная карта'!$C$5:$BJ$44,Таблица!C11),0),0)</f>
        <v>0</v>
      </c>
      <c r="F11" s="126"/>
      <c r="G11" s="129">
        <f>IF(E11&gt;0,Параметры!$D$33,0)</f>
        <v>0</v>
      </c>
      <c r="H11" s="126"/>
      <c r="I11" s="129">
        <f>IF(E11&gt;0,Параметры!$D$34,0)</f>
        <v>0</v>
      </c>
      <c r="J11" s="126"/>
      <c r="K11" s="166">
        <f t="shared" si="1"/>
        <v>0</v>
      </c>
      <c r="L11" s="126"/>
      <c r="M11" s="148">
        <f>IF(E11&gt;0,SUMIF(Скважины,Таблица!$C11,'Каталог скважин'!$E$8:$E$2407)/$E11+$G$22,0)</f>
        <v>0</v>
      </c>
      <c r="N11" s="126"/>
      <c r="O11" s="128">
        <f>IF(E11&gt;0,SUMIF(Скважины,Таблица!$C11,'Каталог скважин'!$N$8:$N$2407)/$E11,0)</f>
        <v>0</v>
      </c>
      <c r="P11" s="126"/>
      <c r="Q11" s="128">
        <f>IF(E11&gt;0,SUMIF(Скважины,Таблица!$C11,'Каталог скважин'!$F$8:$F$2407)/$E11,0)</f>
        <v>0</v>
      </c>
      <c r="R11" s="126"/>
      <c r="S11" s="128"/>
      <c r="T11" s="141"/>
      <c r="U11" s="141"/>
      <c r="V11" s="141"/>
      <c r="W11" s="141"/>
      <c r="X11" s="141"/>
      <c r="Y11" s="141"/>
      <c r="Z11" s="141"/>
      <c r="AA11" s="141"/>
    </row>
    <row r="12" spans="1:27" x14ac:dyDescent="0.25">
      <c r="A12" s="141"/>
      <c r="B12" s="144" t="str">
        <f t="shared" ca="1" si="0"/>
        <v/>
      </c>
      <c r="C12" s="129">
        <f t="array" ref="C12">IFERROR(INDEX(Скважины,MATCH(SUM(COUNTIF(C$6:C11, Скважины)),COUNTIF(Скважины,"&gt;"&amp; Скважины),0)),0)</f>
        <v>0</v>
      </c>
      <c r="D12" s="126"/>
      <c r="E12" s="131">
        <f>IF(C12&lt;&gt;"",IFERROR(COUNTIF('Зарядная карта'!$C$5:$BJ$44,Таблица!C12),0),0)</f>
        <v>0</v>
      </c>
      <c r="F12" s="126"/>
      <c r="G12" s="129">
        <f>IF(E12&gt;0,Параметры!$D$33,0)</f>
        <v>0</v>
      </c>
      <c r="H12" s="126"/>
      <c r="I12" s="129">
        <f>IF(E12&gt;0,Параметры!$D$34,0)</f>
        <v>0</v>
      </c>
      <c r="J12" s="126"/>
      <c r="K12" s="166">
        <f t="shared" si="1"/>
        <v>0</v>
      </c>
      <c r="L12" s="126"/>
      <c r="M12" s="148">
        <f>IF(E12&gt;0,SUMIF(Скважины,Таблица!$C12,'Каталог скважин'!$E$8:$E$2407)/$E12+$G$22,0)</f>
        <v>0</v>
      </c>
      <c r="N12" s="126"/>
      <c r="O12" s="128">
        <f>IF(E12&gt;0,SUMIF(Скважины,Таблица!$C12,'Каталог скважин'!$N$8:$N$2407)/$E12,0)</f>
        <v>0</v>
      </c>
      <c r="P12" s="126"/>
      <c r="Q12" s="128">
        <f>IF(E12&gt;0,SUMIF(Скважины,Таблица!$C12,'Каталог скважин'!$F$8:$F$2407)/$E12,0)</f>
        <v>0</v>
      </c>
      <c r="R12" s="126"/>
      <c r="S12" s="128"/>
      <c r="T12" s="141"/>
      <c r="U12" s="141"/>
      <c r="V12" s="141"/>
      <c r="W12" s="141"/>
      <c r="X12" s="141"/>
      <c r="Y12" s="141"/>
      <c r="Z12" s="141"/>
      <c r="AA12" s="141"/>
    </row>
    <row r="13" spans="1:27" x14ac:dyDescent="0.25">
      <c r="A13" s="141"/>
      <c r="B13" s="144" t="str">
        <f t="shared" ca="1" si="0"/>
        <v/>
      </c>
      <c r="C13" s="129">
        <f t="array" ref="C13">IFERROR(INDEX(Скважины,MATCH(SUM(COUNTIF(C$6:C12, Скважины)),COUNTIF(Скважины,"&gt;"&amp; Скважины),0)),0)</f>
        <v>0</v>
      </c>
      <c r="D13" s="126"/>
      <c r="E13" s="131">
        <f>IF(C13&lt;&gt;"",IFERROR(COUNTIF('Зарядная карта'!$C$5:$BJ$44,Таблица!C13),0),0)</f>
        <v>0</v>
      </c>
      <c r="F13" s="126"/>
      <c r="G13" s="129">
        <f>IF(E13&gt;0,Параметры!$D$33,0)</f>
        <v>0</v>
      </c>
      <c r="H13" s="126"/>
      <c r="I13" s="129">
        <f>IF(E13&gt;0,Параметры!$D$34,0)</f>
        <v>0</v>
      </c>
      <c r="J13" s="126"/>
      <c r="K13" s="166">
        <f t="shared" si="1"/>
        <v>0</v>
      </c>
      <c r="L13" s="126"/>
      <c r="M13" s="148">
        <f>IF(E13&gt;0,SUMIF(Скважины,Таблица!$C13,'Каталог скважин'!$E$8:$E$2407)/$E13+$G$22,0)</f>
        <v>0</v>
      </c>
      <c r="N13" s="126"/>
      <c r="O13" s="128">
        <f>IF(E13&gt;0,SUMIF(Скважины,Таблица!$C13,'Каталог скважин'!$N$8:$N$2407)/$E13,0)</f>
        <v>0</v>
      </c>
      <c r="P13" s="126"/>
      <c r="Q13" s="128">
        <f>IF(E13&gt;0,SUMIF(Скважины,Таблица!$C13,'Каталог скважин'!$F$8:$F$2407)/$E13,0)</f>
        <v>0</v>
      </c>
      <c r="R13" s="126"/>
      <c r="S13" s="128"/>
      <c r="T13" s="141"/>
      <c r="U13" s="141"/>
      <c r="V13" s="141"/>
      <c r="W13" s="141"/>
      <c r="X13" s="141"/>
      <c r="Y13" s="141"/>
      <c r="Z13" s="141"/>
      <c r="AA13" s="141"/>
    </row>
    <row r="14" spans="1:27" x14ac:dyDescent="0.25">
      <c r="A14" s="141"/>
      <c r="B14" s="144" t="str">
        <f t="shared" ca="1" si="0"/>
        <v/>
      </c>
      <c r="C14" s="129">
        <f t="array" ref="C14">IFERROR(INDEX(Скважины,MATCH(SUM(COUNTIF(C$6:C13, Скважины)),COUNTIF(Скважины,"&gt;"&amp; Скважины),0)),0)</f>
        <v>0</v>
      </c>
      <c r="D14" s="126"/>
      <c r="E14" s="131">
        <f>IF(C14&lt;&gt;"",IFERROR(COUNTIF('Зарядная карта'!$C$5:$BJ$44,Таблица!C14),0),0)</f>
        <v>0</v>
      </c>
      <c r="F14" s="126"/>
      <c r="G14" s="129">
        <f>IF(E14&gt;0,Параметры!$D$33,0)</f>
        <v>0</v>
      </c>
      <c r="H14" s="126"/>
      <c r="I14" s="129">
        <f>IF(E14&gt;0,Параметры!$D$34,0)</f>
        <v>0</v>
      </c>
      <c r="J14" s="126"/>
      <c r="K14" s="166">
        <f t="shared" si="1"/>
        <v>0</v>
      </c>
      <c r="L14" s="126"/>
      <c r="M14" s="148">
        <f>IF(E14&gt;0,SUMIF(Скважины,Таблица!$C14,'Каталог скважин'!$E$8:$E$2407)/$E14+$G$22,0)</f>
        <v>0</v>
      </c>
      <c r="N14" s="126"/>
      <c r="O14" s="128">
        <f>IF(E14&gt;0,SUMIF(Скважины,Таблица!$C14,'Каталог скважин'!$N$8:$N$2407)/$E14,0)</f>
        <v>0</v>
      </c>
      <c r="P14" s="126"/>
      <c r="Q14" s="128">
        <f>IF(E14&gt;0,SUMIF(Скважины,Таблица!$C14,'Каталог скважин'!$F$8:$F$2407)/$E14,0)</f>
        <v>0</v>
      </c>
      <c r="R14" s="126"/>
      <c r="S14" s="128"/>
      <c r="T14" s="141"/>
      <c r="U14" s="141"/>
      <c r="V14" s="141"/>
      <c r="W14" s="141"/>
      <c r="X14" s="141"/>
      <c r="Y14" s="141"/>
      <c r="Z14" s="141"/>
      <c r="AA14" s="141"/>
    </row>
    <row r="15" spans="1:27" ht="15" customHeight="1" x14ac:dyDescent="0.25">
      <c r="A15" s="141"/>
      <c r="B15" s="144" t="str">
        <f t="shared" ca="1" si="0"/>
        <v/>
      </c>
      <c r="C15" s="129">
        <f t="array" ref="C15">IFERROR(INDEX(Скважины,MATCH(SUM(COUNTIF(C$6:C14, Скважины)),COUNTIF(Скважины,"&gt;"&amp; Скважины),0)),0)</f>
        <v>0</v>
      </c>
      <c r="D15" s="126"/>
      <c r="E15" s="131">
        <f>IF(C15&lt;&gt;"",IFERROR(COUNTIF('Зарядная карта'!$C$5:$BJ$44,Таблица!C15),0),0)</f>
        <v>0</v>
      </c>
      <c r="F15" s="126"/>
      <c r="G15" s="129">
        <f>IF(E15&gt;0,Параметры!$D$33,0)</f>
        <v>0</v>
      </c>
      <c r="H15" s="126"/>
      <c r="I15" s="129">
        <f>IF(E15&gt;0,Параметры!$D$34,0)</f>
        <v>0</v>
      </c>
      <c r="J15" s="126"/>
      <c r="K15" s="166">
        <f t="shared" si="1"/>
        <v>0</v>
      </c>
      <c r="L15" s="126"/>
      <c r="M15" s="148">
        <f>IF(E15&gt;0,SUMIF(Скважины,Таблица!$C15,'Каталог скважин'!$E$8:$E$2407)/$E15+$G$22,0)</f>
        <v>0</v>
      </c>
      <c r="N15" s="126"/>
      <c r="O15" s="128">
        <f>IF(E15&gt;0,SUMIF(Скважины,Таблица!$C15,'Каталог скважин'!$N$8:$N$2407)/$E15,0)</f>
        <v>0</v>
      </c>
      <c r="P15" s="126"/>
      <c r="Q15" s="128">
        <f>IF(E15&gt;0,SUMIF(Скважины,Таблица!$C15,'Каталог скважин'!$F$8:$F$2407)/$E15,0)</f>
        <v>0</v>
      </c>
      <c r="R15" s="126"/>
      <c r="S15" s="128"/>
      <c r="T15" s="141"/>
      <c r="U15" s="141"/>
      <c r="V15" s="141"/>
      <c r="W15" s="141"/>
      <c r="X15" s="141"/>
      <c r="Y15" s="141"/>
      <c r="Z15" s="141"/>
      <c r="AA15" s="141"/>
    </row>
    <row r="16" spans="1:27" x14ac:dyDescent="0.25">
      <c r="A16" s="141"/>
      <c r="B16" s="144" t="str">
        <f t="shared" ca="1" si="0"/>
        <v/>
      </c>
      <c r="C16" s="129">
        <f t="array" ref="C16">IFERROR(INDEX(Скважины,MATCH(SUM(COUNTIF(C$6:C15, Скважины)),COUNTIF(Скважины,"&gt;"&amp; Скважины),0)),0)</f>
        <v>0</v>
      </c>
      <c r="D16" s="126"/>
      <c r="E16" s="131">
        <f>IF(C16&lt;&gt;"",IFERROR(COUNTIF('Зарядная карта'!$C$5:$BJ$44,Таблица!C16),0),0)</f>
        <v>0</v>
      </c>
      <c r="F16" s="126"/>
      <c r="G16" s="129">
        <f>IF(E16&gt;0,Параметры!$D$33,0)</f>
        <v>0</v>
      </c>
      <c r="H16" s="126"/>
      <c r="I16" s="129">
        <f>IF(E16&gt;0,Параметры!$D$34,0)</f>
        <v>0</v>
      </c>
      <c r="J16" s="126"/>
      <c r="K16" s="166">
        <f t="shared" si="1"/>
        <v>0</v>
      </c>
      <c r="L16" s="126"/>
      <c r="M16" s="148">
        <f>IF(E16&gt;0,SUMIF(Скважины,Таблица!$C16,'Каталог скважин'!$E$8:$E$2407)/$E16+$G$22,0)</f>
        <v>0</v>
      </c>
      <c r="N16" s="126"/>
      <c r="O16" s="128">
        <f>IF(E16&gt;0,SUMIF(Скважины,Таблица!$C16,'Каталог скважин'!$N$8:$N$2407)/$E16,0)</f>
        <v>0</v>
      </c>
      <c r="P16" s="126"/>
      <c r="Q16" s="128">
        <f>IF(E16&gt;0,SUMIF(Скважины,Таблица!$C16,'Каталог скважин'!$F$8:$F$2407)/$E16,0)</f>
        <v>0</v>
      </c>
      <c r="R16" s="126"/>
      <c r="S16" s="128"/>
      <c r="T16" s="141"/>
      <c r="U16" s="141"/>
      <c r="V16" s="141"/>
      <c r="W16" s="141"/>
      <c r="X16" s="141"/>
      <c r="Y16" s="141"/>
      <c r="Z16" s="141"/>
      <c r="AA16" s="141"/>
    </row>
    <row r="17" spans="1:27" x14ac:dyDescent="0.25">
      <c r="A17" s="141"/>
      <c r="B17" s="144" t="str">
        <f t="shared" ca="1" si="0"/>
        <v/>
      </c>
      <c r="C17" s="129">
        <f t="array" ref="C17">IFERROR(INDEX(Скважины,MATCH(SUM(COUNTIF(C$6:C16, Скважины)),COUNTIF(Скважины,"&gt;"&amp; Скважины),0)),0)</f>
        <v>0</v>
      </c>
      <c r="D17" s="126"/>
      <c r="E17" s="131">
        <f>IF(C17&lt;&gt;"",IFERROR(COUNTIF('Зарядная карта'!$C$5:$BJ$44,Таблица!C17),0),0)</f>
        <v>0</v>
      </c>
      <c r="F17" s="126"/>
      <c r="G17" s="129">
        <f>IF(E17&gt;0,Параметры!$D$33,0)</f>
        <v>0</v>
      </c>
      <c r="H17" s="126"/>
      <c r="I17" s="129">
        <f>IF(E17&gt;0,Параметры!$D$34,0)</f>
        <v>0</v>
      </c>
      <c r="J17" s="126"/>
      <c r="K17" s="166">
        <f t="shared" si="1"/>
        <v>0</v>
      </c>
      <c r="L17" s="126"/>
      <c r="M17" s="148">
        <f>IF(E17&gt;0,SUMIF(Скважины,Таблица!$C17,'Каталог скважин'!$E$8:$E$2407)/$E17+$G$22,0)</f>
        <v>0</v>
      </c>
      <c r="N17" s="126"/>
      <c r="O17" s="128">
        <f>IF(E17&gt;0,SUMIF(Скважины,Таблица!$C17,'Каталог скважин'!$N$8:$N$2407)/$E17,0)</f>
        <v>0</v>
      </c>
      <c r="P17" s="126"/>
      <c r="Q17" s="128">
        <f>IF(E17&gt;0,SUMIF(Скважины,Таблица!$C17,'Каталог скважин'!$F$8:$F$2407)/$E17,0)</f>
        <v>0</v>
      </c>
      <c r="R17" s="126"/>
      <c r="S17" s="128"/>
      <c r="T17" s="141"/>
      <c r="U17" s="141"/>
      <c r="V17" s="141"/>
      <c r="W17" s="141"/>
      <c r="X17" s="141"/>
      <c r="Y17" s="141"/>
      <c r="Z17" s="141"/>
      <c r="AA17" s="141"/>
    </row>
    <row r="18" spans="1:27" x14ac:dyDescent="0.25">
      <c r="A18" s="141"/>
      <c r="B18" s="144" t="str">
        <f t="shared" ca="1" si="0"/>
        <v/>
      </c>
      <c r="C18" s="129">
        <f t="array" ref="C18">IFERROR(INDEX(Скважины,MATCH(SUM(COUNTIF(C$6:C17, Скважины)),COUNTIF(Скважины,"&gt;"&amp; Скважины),0)),0)</f>
        <v>0</v>
      </c>
      <c r="D18" s="126"/>
      <c r="E18" s="131">
        <f>IF(C18&lt;&gt;"",IFERROR(COUNTIF('Зарядная карта'!$C$5:$BJ$44,Таблица!C18),0),0)</f>
        <v>0</v>
      </c>
      <c r="F18" s="126"/>
      <c r="G18" s="129">
        <f>IF(E18&gt;0,Параметры!$D$33,0)</f>
        <v>0</v>
      </c>
      <c r="H18" s="126"/>
      <c r="I18" s="129">
        <f>IF(E18&gt;0,Параметры!$D$34,0)</f>
        <v>0</v>
      </c>
      <c r="J18" s="126"/>
      <c r="K18" s="166">
        <f t="shared" si="1"/>
        <v>0</v>
      </c>
      <c r="L18" s="126"/>
      <c r="M18" s="148">
        <f>IF(E18&gt;0,SUMIF(Скважины,Таблица!$C18,'Каталог скважин'!$E$8:$E$2407)/$E18+$G$22,0)</f>
        <v>0</v>
      </c>
      <c r="N18" s="126"/>
      <c r="O18" s="128">
        <f>IF(E18&gt;0,SUMIF(Скважины,Таблица!$C18,'Каталог скважин'!$N$8:$N$2407)/$E18,0)</f>
        <v>0</v>
      </c>
      <c r="P18" s="126"/>
      <c r="Q18" s="128">
        <f>IF(E18&gt;0,SUMIF(Скважины,Таблица!$C18,'Каталог скважин'!$F$8:$F$2407)/$E18,0)</f>
        <v>0</v>
      </c>
      <c r="R18" s="126"/>
      <c r="S18" s="128"/>
      <c r="T18" s="141"/>
      <c r="U18" s="141"/>
      <c r="V18" s="141"/>
      <c r="W18" s="141"/>
      <c r="X18" s="141"/>
      <c r="Y18" s="141"/>
      <c r="Z18" s="141"/>
      <c r="AA18" s="141"/>
    </row>
    <row r="19" spans="1:27" x14ac:dyDescent="0.25">
      <c r="A19" s="141"/>
      <c r="B19" s="141"/>
      <c r="C19" s="141"/>
      <c r="D19" s="141"/>
      <c r="E19" s="141"/>
      <c r="F19" s="141"/>
      <c r="G19" s="141"/>
      <c r="H19" s="141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41"/>
      <c r="W19" s="141"/>
      <c r="X19" s="141"/>
      <c r="Y19" s="141"/>
      <c r="Z19" s="141"/>
      <c r="AA19" s="141"/>
    </row>
    <row r="20" spans="1:27" ht="15" customHeight="1" x14ac:dyDescent="0.25">
      <c r="A20" s="141"/>
      <c r="B20" s="141"/>
      <c r="C20" s="141"/>
      <c r="D20" s="141"/>
      <c r="E20" s="141"/>
      <c r="F20" s="141"/>
      <c r="G20" s="141"/>
      <c r="H20" s="141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41"/>
      <c r="W20" s="141"/>
      <c r="X20" s="141"/>
      <c r="Y20" s="141"/>
      <c r="Z20" s="141"/>
      <c r="AA20" s="141"/>
    </row>
    <row r="21" spans="1:27" x14ac:dyDescent="0.25">
      <c r="A21" s="141"/>
      <c r="B21" s="141"/>
      <c r="C21" s="41" t="s">
        <v>2544</v>
      </c>
      <c r="D21" s="141"/>
      <c r="E21" s="141"/>
      <c r="F21" s="141"/>
      <c r="G21" s="141"/>
      <c r="H21" s="141"/>
      <c r="I21" s="141"/>
      <c r="J21" s="380" t="s">
        <v>2545</v>
      </c>
      <c r="K21" s="380"/>
      <c r="L21" s="380"/>
      <c r="M21" s="380"/>
      <c r="N21" s="329"/>
      <c r="O21" s="329"/>
      <c r="P21" s="332" t="s">
        <v>2546</v>
      </c>
      <c r="Q21" s="332"/>
      <c r="R21" s="332"/>
      <c r="S21" s="332"/>
      <c r="U21" s="141"/>
      <c r="V21" s="141"/>
      <c r="W21" s="141"/>
      <c r="X21" s="141"/>
      <c r="Y21" s="141"/>
      <c r="Z21" s="141"/>
      <c r="AA21" s="141"/>
    </row>
    <row r="22" spans="1:27" x14ac:dyDescent="0.25">
      <c r="A22" s="141"/>
      <c r="B22" s="141"/>
      <c r="C22" s="141" t="str">
        <f>"1. Боевик "&amp;Параметры!$B$69</f>
        <v>1. Боевик ПТ-П-500</v>
      </c>
      <c r="D22" s="141"/>
      <c r="E22" s="141"/>
      <c r="F22" s="141"/>
      <c r="G22" s="118">
        <f>Параметры!$D$61</f>
        <v>0.5</v>
      </c>
      <c r="H22" s="141" t="s">
        <v>2470</v>
      </c>
      <c r="I22" s="141"/>
      <c r="J22" s="350" t="s">
        <v>2547</v>
      </c>
      <c r="K22" s="350"/>
      <c r="L22" s="350"/>
      <c r="M22" s="168">
        <f>Параметры!$D$54+Параметры!$D$55</f>
        <v>32475.199899999989</v>
      </c>
      <c r="N22" s="329" t="s">
        <v>2470</v>
      </c>
      <c r="O22" s="329"/>
      <c r="P22" s="333" t="s">
        <v>2548</v>
      </c>
      <c r="Q22" s="333"/>
      <c r="R22" s="333"/>
      <c r="S22" s="233">
        <f>Параметры!$D$68</f>
        <v>1</v>
      </c>
      <c r="V22" s="141"/>
      <c r="W22" s="141"/>
      <c r="X22" s="141"/>
      <c r="Y22" s="141"/>
      <c r="Z22" s="141"/>
      <c r="AA22" s="141"/>
    </row>
    <row r="23" spans="1:27" x14ac:dyDescent="0.25">
      <c r="A23" s="141"/>
      <c r="B23" s="141"/>
      <c r="C23" s="141" t="s">
        <v>2549</v>
      </c>
      <c r="D23" s="141"/>
      <c r="E23" s="141"/>
      <c r="F23" s="141"/>
      <c r="G23" s="125">
        <f>Параметры!$D$59</f>
        <v>156.25472081218268</v>
      </c>
      <c r="H23" s="141" t="s">
        <v>2470</v>
      </c>
      <c r="I23" s="141"/>
      <c r="J23" s="378" t="str">
        <f>"2. "&amp;Параметры!$B$69</f>
        <v>2. ПТ-П-500</v>
      </c>
      <c r="K23" s="378"/>
      <c r="L23" s="378"/>
      <c r="M23" s="118">
        <f>Параметры!$D$56</f>
        <v>98.5</v>
      </c>
      <c r="N23" s="329" t="s">
        <v>2470</v>
      </c>
      <c r="O23" s="329"/>
      <c r="P23" s="333" t="s">
        <v>2550</v>
      </c>
      <c r="Q23" s="333"/>
      <c r="R23" s="333"/>
      <c r="S23" s="233">
        <f>Параметры!$D$65</f>
        <v>197</v>
      </c>
      <c r="V23" s="141"/>
      <c r="W23" s="141"/>
      <c r="X23" s="141"/>
      <c r="Y23" s="141"/>
      <c r="Z23" s="141"/>
      <c r="AA23" s="141"/>
    </row>
    <row r="24" spans="1:27" x14ac:dyDescent="0.25">
      <c r="A24" s="141"/>
      <c r="B24" s="141"/>
      <c r="C24" s="141" t="s">
        <v>2551</v>
      </c>
      <c r="D24" s="141"/>
      <c r="E24" s="141"/>
      <c r="F24" s="141"/>
      <c r="G24" s="125">
        <f>Параметры!$D$60</f>
        <v>8.5940096446700682</v>
      </c>
      <c r="H24" s="141" t="s">
        <v>2470</v>
      </c>
      <c r="I24" s="141"/>
      <c r="J24" s="379" t="s">
        <v>2552</v>
      </c>
      <c r="K24" s="379"/>
      <c r="L24" s="379"/>
      <c r="M24" s="169">
        <f>Параметры!$D$53</f>
        <v>32573.699899999989</v>
      </c>
      <c r="N24" s="331" t="s">
        <v>2470</v>
      </c>
      <c r="O24" s="329"/>
      <c r="P24" s="333" t="s">
        <v>2553</v>
      </c>
      <c r="Q24" s="333"/>
      <c r="R24" s="333"/>
      <c r="S24" s="233">
        <f>Параметры!$D$67</f>
        <v>20</v>
      </c>
      <c r="V24" s="141"/>
      <c r="W24" s="141"/>
      <c r="X24" s="141"/>
      <c r="Y24" s="141"/>
      <c r="Z24" s="141"/>
      <c r="AA24" s="141"/>
    </row>
    <row r="25" spans="1:27" x14ac:dyDescent="0.25">
      <c r="A25" s="141"/>
      <c r="B25" s="141"/>
      <c r="C25" s="141"/>
      <c r="D25" s="141"/>
      <c r="E25" s="141"/>
      <c r="F25" s="7" t="s">
        <v>2554</v>
      </c>
      <c r="G25" s="170">
        <f>SUM(G22:G24)</f>
        <v>165.34873045685276</v>
      </c>
      <c r="H25" s="31" t="s">
        <v>2470</v>
      </c>
      <c r="I25" s="141"/>
      <c r="J25" s="141"/>
      <c r="K25" s="329"/>
      <c r="L25" s="329"/>
      <c r="M25" s="329"/>
      <c r="N25" s="329"/>
      <c r="O25" s="329"/>
      <c r="P25" s="333" t="s">
        <v>2555</v>
      </c>
      <c r="Q25" s="333"/>
      <c r="R25" s="333"/>
      <c r="S25" s="233">
        <f>Параметры!$D$66</f>
        <v>177</v>
      </c>
      <c r="V25" s="141"/>
      <c r="W25" s="141"/>
      <c r="X25" s="141"/>
      <c r="Y25" s="141"/>
      <c r="Z25" s="141"/>
      <c r="AA25" s="141"/>
    </row>
    <row r="26" spans="1:27" x14ac:dyDescent="0.25">
      <c r="A26" s="141"/>
      <c r="B26" s="141"/>
      <c r="C26" s="141"/>
      <c r="D26" s="141"/>
      <c r="E26" s="141"/>
      <c r="F26" s="141"/>
      <c r="G26" s="141"/>
      <c r="H26" s="141"/>
      <c r="I26" s="141"/>
      <c r="J26" s="141"/>
      <c r="K26" s="329"/>
      <c r="L26" s="329"/>
      <c r="M26" s="329"/>
      <c r="N26" s="329"/>
      <c r="O26" s="329"/>
      <c r="P26" s="329"/>
      <c r="Q26" s="329"/>
      <c r="R26" s="329"/>
      <c r="S26" s="329"/>
      <c r="U26" s="141"/>
      <c r="V26" s="141"/>
      <c r="W26" s="141"/>
      <c r="X26" s="141"/>
      <c r="Y26" s="141"/>
      <c r="Z26" s="141"/>
      <c r="AA26" s="141"/>
    </row>
    <row r="27" spans="1:27" x14ac:dyDescent="0.25">
      <c r="A27" s="141"/>
      <c r="B27" s="141"/>
      <c r="C27" s="379" t="s">
        <v>2556</v>
      </c>
      <c r="D27" s="379"/>
      <c r="E27" s="379"/>
      <c r="F27" s="141"/>
      <c r="G27" s="141"/>
      <c r="H27" s="141"/>
      <c r="I27" s="141"/>
      <c r="J27" s="141"/>
      <c r="K27" s="329"/>
      <c r="L27" s="329"/>
      <c r="M27" s="329"/>
      <c r="N27" s="329"/>
      <c r="O27" s="331" t="s">
        <v>2557</v>
      </c>
      <c r="P27" s="329"/>
      <c r="Q27" s="329"/>
      <c r="R27" s="329"/>
      <c r="S27" s="329"/>
      <c r="U27" s="141"/>
      <c r="V27" s="141"/>
      <c r="W27" s="141"/>
      <c r="X27" s="141"/>
      <c r="Y27" s="141"/>
      <c r="Z27" s="141"/>
      <c r="AA27" s="141"/>
    </row>
    <row r="28" spans="1:27" x14ac:dyDescent="0.25">
      <c r="A28" s="141"/>
      <c r="B28" s="141"/>
      <c r="C28" s="320" t="str">
        <f>Справочник!$M$6</f>
        <v xml:space="preserve"> Начальник участка "Хаптагай-Хая"</v>
      </c>
      <c r="D28" s="320"/>
      <c r="E28" s="320"/>
      <c r="F28" s="320"/>
      <c r="G28" s="385" t="str">
        <f>IFERROR(LEFT(Справочник!$N$6,FIND(CHAR(32),Справочник!$N$6,1)-1)&amp;" "&amp;MID(Справочник!$N$6,FIND(CHAR(32),Справочник!$N$6)+1,1)&amp;"."&amp;MID(Справочник!$N$6,SEARCH(CHAR(32),Справочник!$N$6,FIND(CHAR(32),Справочник!$N$6,1)+1)+1,1)&amp;".","")</f>
        <v>Шмелёв С.В.</v>
      </c>
      <c r="H28" s="385"/>
      <c r="I28" s="167"/>
      <c r="J28" s="141"/>
      <c r="K28" s="329"/>
      <c r="L28" s="329"/>
      <c r="M28" s="329"/>
      <c r="N28" s="329"/>
      <c r="O28" s="329" t="str">
        <f>Справочник!$M$5</f>
        <v>Главный инженер</v>
      </c>
      <c r="P28" s="329"/>
      <c r="Q28" s="330"/>
      <c r="R28" s="334" t="str">
        <f>IFERROR(LEFT(Справочник!$N$5,FIND(CHAR(32),Справочник!$N$5,1)-1)&amp;" "&amp;MID(Справочник!$N$5,FIND(CHAR(32),Справочник!$N$5)+1,1)&amp;"."&amp;MID(Справочник!$N$5,SEARCH(CHAR(32),Справочник!$N$5,FIND(CHAR(32),Справочник!$N$5,1)+1)+1,1)&amp;".","")</f>
        <v>Парамонов В.И.</v>
      </c>
      <c r="S28" s="330"/>
      <c r="U28" s="167"/>
      <c r="V28" s="141"/>
      <c r="W28" s="141"/>
      <c r="X28" s="141"/>
      <c r="Y28" s="141"/>
      <c r="Z28" s="141"/>
      <c r="AA28" s="141"/>
    </row>
    <row r="29" spans="1:27" x14ac:dyDescent="0.25">
      <c r="A29" s="141"/>
      <c r="B29" s="141"/>
      <c r="C29" s="141"/>
      <c r="D29" s="141"/>
      <c r="E29" s="141"/>
      <c r="F29" s="141"/>
      <c r="G29" s="141"/>
      <c r="H29" s="141"/>
      <c r="I29" s="141"/>
      <c r="J29" s="141"/>
      <c r="K29" s="329"/>
      <c r="L29" s="329"/>
      <c r="M29" s="329"/>
      <c r="N29" s="329"/>
      <c r="O29" s="329"/>
      <c r="P29" s="329"/>
      <c r="Q29" s="329"/>
      <c r="R29" s="329"/>
      <c r="S29" s="329"/>
      <c r="U29" s="141"/>
      <c r="V29" s="141"/>
      <c r="W29" s="141"/>
      <c r="X29" s="141"/>
      <c r="Y29" s="141"/>
      <c r="Z29" s="141"/>
      <c r="AA29" s="141"/>
    </row>
    <row r="30" spans="1:27" x14ac:dyDescent="0.25">
      <c r="A30" s="141"/>
      <c r="B30" s="141"/>
      <c r="C30" s="141"/>
      <c r="D30" s="171"/>
      <c r="E30" s="167"/>
      <c r="F30" s="172" t="str">
        <f>IF(Параметры!$C$9&lt;&gt;"",""" "&amp;DAY(Параметры!$C$9)&amp;" """)&amp;" "&amp;IF(Параметры!$C$9=0,"",LOOKUP(MONTH(Параметры!$C$9),{1;2;3;4;5;6;7;8;9;10;11;12},{"января";"февраля";"марта";"апреля";"мая";"июня";"июля";"августа";"сентября";"октября";"ноября";"декабря"}))&amp;" "&amp;YEAR(Параметры!$C$9)&amp;" г."</f>
        <v>" 25 " мая 2026 г.</v>
      </c>
      <c r="G30" s="141"/>
      <c r="H30" s="141"/>
      <c r="I30" s="141"/>
      <c r="J30" s="141"/>
      <c r="K30" s="329" t="s">
        <v>2558</v>
      </c>
      <c r="L30" s="329"/>
      <c r="M30" s="329"/>
      <c r="N30" s="329"/>
      <c r="O30" s="334"/>
      <c r="P30" s="330"/>
      <c r="Q30" s="172" t="str">
        <f>F30</f>
        <v>" 25 " мая 2026 г.</v>
      </c>
      <c r="R30" s="329"/>
      <c r="S30" s="329"/>
      <c r="U30" s="141"/>
      <c r="V30" s="141"/>
      <c r="W30" s="141"/>
      <c r="X30" s="141"/>
      <c r="Y30" s="141"/>
      <c r="Z30" s="141"/>
      <c r="AA30" s="141"/>
    </row>
    <row r="31" spans="1:27" x14ac:dyDescent="0.25">
      <c r="A31" s="141"/>
      <c r="B31" s="141"/>
      <c r="C31" s="141"/>
      <c r="D31" s="141"/>
      <c r="E31" s="141"/>
      <c r="F31" s="141"/>
      <c r="G31" s="141"/>
      <c r="H31" s="141"/>
      <c r="I31" s="141"/>
      <c r="J31" s="141"/>
      <c r="K31" s="329"/>
      <c r="L31" s="329"/>
      <c r="M31" s="329"/>
      <c r="N31" s="329"/>
      <c r="O31" s="329"/>
      <c r="P31" s="329"/>
      <c r="Q31" s="329"/>
      <c r="R31" s="329"/>
      <c r="S31" s="329"/>
      <c r="U31" s="141"/>
      <c r="V31" s="141"/>
      <c r="W31" s="141"/>
      <c r="X31" s="141"/>
      <c r="Y31" s="141"/>
      <c r="Z31" s="141"/>
      <c r="AA31" s="141"/>
    </row>
    <row r="32" spans="1:27" x14ac:dyDescent="0.25">
      <c r="A32" s="141"/>
      <c r="B32" s="141"/>
      <c r="C32" s="141"/>
      <c r="D32" s="141"/>
      <c r="E32" s="141"/>
      <c r="F32" s="141"/>
      <c r="G32" s="141"/>
      <c r="H32" s="141"/>
      <c r="I32" s="141"/>
      <c r="J32" s="141"/>
      <c r="K32" s="141"/>
      <c r="L32" s="118"/>
      <c r="M32" s="141"/>
      <c r="N32" s="141"/>
      <c r="O32" s="141"/>
      <c r="P32" s="141"/>
      <c r="Q32" s="141"/>
      <c r="R32" s="141"/>
      <c r="S32" s="141"/>
      <c r="T32" s="141"/>
      <c r="U32" s="141"/>
      <c r="V32" s="141"/>
      <c r="W32" s="141"/>
      <c r="X32" s="141"/>
      <c r="Y32" s="141"/>
      <c r="Z32" s="141"/>
      <c r="AA32" s="141"/>
    </row>
    <row r="33" ht="15" hidden="1" customHeight="1" x14ac:dyDescent="0.25"/>
    <row r="34" ht="15" hidden="1" customHeight="1" x14ac:dyDescent="0.25"/>
    <row r="35" ht="15" hidden="1" customHeight="1" x14ac:dyDescent="0.25"/>
    <row r="36" ht="15" hidden="1" customHeight="1" x14ac:dyDescent="0.25"/>
    <row r="37" ht="15" hidden="1" customHeight="1" x14ac:dyDescent="0.25"/>
    <row r="38" ht="15" hidden="1" customHeight="1" x14ac:dyDescent="0.25"/>
    <row r="39" ht="15" hidden="1" customHeight="1" x14ac:dyDescent="0.25"/>
    <row r="40" ht="15" hidden="1" customHeight="1" x14ac:dyDescent="0.25"/>
    <row r="41" ht="15" hidden="1" customHeight="1" x14ac:dyDescent="0.25"/>
    <row r="42" ht="15" hidden="1" customHeight="1" x14ac:dyDescent="0.25"/>
    <row r="43" ht="15" hidden="1" customHeight="1" x14ac:dyDescent="0.25"/>
    <row r="44" ht="15" hidden="1" customHeight="1" x14ac:dyDescent="0.25"/>
    <row r="45" ht="15" hidden="1" customHeight="1" x14ac:dyDescent="0.25"/>
    <row r="46" ht="15" hidden="1" customHeight="1" x14ac:dyDescent="0.25"/>
    <row r="47" ht="15" hidden="1" customHeight="1" x14ac:dyDescent="0.25"/>
    <row r="48" ht="15" hidden="1" customHeight="1" x14ac:dyDescent="0.25"/>
    <row r="49" ht="15" hidden="1" customHeight="1" x14ac:dyDescent="0.25"/>
    <row r="50" ht="15" hidden="1" customHeight="1" x14ac:dyDescent="0.25"/>
    <row r="51" ht="15" hidden="1" customHeight="1" x14ac:dyDescent="0.25"/>
    <row r="52" ht="15" hidden="1" customHeight="1" x14ac:dyDescent="0.25"/>
    <row r="53" ht="15" hidden="1" customHeight="1" x14ac:dyDescent="0.25"/>
    <row r="54" ht="15" hidden="1" customHeight="1" x14ac:dyDescent="0.25"/>
    <row r="55" ht="15" hidden="1" customHeight="1" x14ac:dyDescent="0.25"/>
    <row r="56" ht="15" hidden="1" customHeight="1" x14ac:dyDescent="0.25"/>
  </sheetData>
  <mergeCells count="18">
    <mergeCell ref="G28:H28"/>
    <mergeCell ref="C27:E27"/>
    <mergeCell ref="J22:L22"/>
    <mergeCell ref="J23:L23"/>
    <mergeCell ref="J24:L24"/>
    <mergeCell ref="J21:M21"/>
    <mergeCell ref="B1:S1"/>
    <mergeCell ref="B2:S2"/>
    <mergeCell ref="B3:S3"/>
    <mergeCell ref="C5:D5"/>
    <mergeCell ref="G5:H5"/>
    <mergeCell ref="E5:F5"/>
    <mergeCell ref="I5:J5"/>
    <mergeCell ref="O5:P5"/>
    <mergeCell ref="Q5:R5"/>
    <mergeCell ref="K5:L5"/>
    <mergeCell ref="M5:N5"/>
    <mergeCell ref="S5:S6"/>
  </mergeCells>
  <pageMargins left="0.59055118110236227" right="0.39370078740157483" top="0.74803149606299213" bottom="0.74803149606299213" header="0.31496062992125984" footer="0.31496062992125984"/>
  <pageSetup paperSize="9" orientation="landscape" r:id="rId1"/>
  <colBreaks count="1" manualBreakCount="1">
    <brk id="26" max="1048575" man="1"/>
  </colBreaks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1">
    <tabColor theme="6" tint="0.59999389629810485"/>
    <pageSetUpPr fitToPage="1"/>
  </sheetPr>
  <dimension ref="A1:K66"/>
  <sheetViews>
    <sheetView showGridLines="0" zoomScale="85" zoomScaleNormal="85" workbookViewId="0">
      <selection activeCell="B22" sqref="B22:J22"/>
    </sheetView>
  </sheetViews>
  <sheetFormatPr defaultColWidth="0" defaultRowHeight="15" zeroHeight="1" x14ac:dyDescent="0.25"/>
  <cols>
    <col min="1" max="1" width="7.42578125" style="77" customWidth="1"/>
    <col min="2" max="2" width="12" style="77" customWidth="1"/>
    <col min="3" max="3" width="10.5703125" style="77" customWidth="1"/>
    <col min="4" max="4" width="9.140625" style="77" customWidth="1"/>
    <col min="5" max="5" width="11.7109375" style="77" customWidth="1"/>
    <col min="6" max="9" width="9.140625" style="77" customWidth="1"/>
    <col min="10" max="10" width="7.85546875" style="77" customWidth="1"/>
    <col min="11" max="11" width="9.140625" style="77" hidden="1" customWidth="1"/>
    <col min="12" max="16384" width="9.140625" style="77" hidden="1"/>
  </cols>
  <sheetData>
    <row r="1" spans="1:10" ht="0.75" customHeight="1" x14ac:dyDescent="0.25">
      <c r="A1" s="141"/>
      <c r="B1" s="141"/>
      <c r="C1" s="141"/>
      <c r="D1" s="141"/>
      <c r="E1" s="141"/>
      <c r="F1" s="141"/>
      <c r="G1" s="141"/>
      <c r="H1" s="141"/>
      <c r="I1" s="141"/>
      <c r="J1" s="141"/>
    </row>
    <row r="2" spans="1:10" ht="15.75" customHeight="1" x14ac:dyDescent="0.25">
      <c r="A2" s="141"/>
      <c r="B2" s="151" t="s">
        <v>2865</v>
      </c>
      <c r="C2" s="151"/>
      <c r="D2" s="151"/>
      <c r="E2" s="151"/>
      <c r="F2" s="372" t="str">
        <f>IFERROR(LEFT(Справочник!$N$6,FIND(CHAR(32),Справочник!$N$6,1)-1)&amp;" "&amp;MID(Справочник!$N$6,FIND(CHAR(32),Справочник!$N$6)+1,1)&amp;"."&amp;MID(Справочник!$N$6,SEARCH(CHAR(32),Справочник!$N$6,FIND(CHAR(32),Справочник!$N$6,1)+1)+1,1)&amp;".","")</f>
        <v>Шмелёв С.В.</v>
      </c>
      <c r="G2" s="356"/>
      <c r="H2" s="356"/>
      <c r="I2" s="356"/>
      <c r="J2" s="356"/>
    </row>
    <row r="3" spans="1:10" x14ac:dyDescent="0.25">
      <c r="A3" s="141"/>
      <c r="B3" s="141"/>
      <c r="C3" s="121"/>
      <c r="D3" s="121"/>
      <c r="E3" s="121"/>
      <c r="F3" s="367" t="s">
        <v>2559</v>
      </c>
      <c r="G3" s="368"/>
      <c r="H3" s="368"/>
      <c r="I3" s="368"/>
      <c r="J3" s="368"/>
    </row>
    <row r="4" spans="1:10" ht="44.25" customHeight="1" x14ac:dyDescent="0.25">
      <c r="A4" s="141"/>
      <c r="B4" s="400" t="e">
        <f ca="1">"1.    Непосредственное руководство работой персонала  при подготовке и проведении массового взрыва, учет и сохранность ВМ при заряжании скважин возложить на:  "&amp;(LEFT(Справочник!$M$6,FIND(CHAR(32),Справочник!$M$6,1)-1))&amp;MID(Справочник!$M$6,FIND(" ",Справочник!$M$6)+1,LEN(Справочник!$M$6))&amp;" "&amp;IFERROR((LEFT(Справочник!$N$6,FIND(CHAR(32),Справочник!$N$6,1)-1))&amp;" "&amp;MID(Справочник!$N$6,FIND(CHAR(32),Справочник!$N$6)+1,1)&amp;"."&amp;MID(Справочник!$N$6,SEARCH(CHAR(32),Справочник!$N$6,FIND(CHAR(32),Справочник!$N$6,1)+1)+1,1)&amp;".","")</f>
        <v>#NAME?</v>
      </c>
      <c r="C4" s="400"/>
      <c r="D4" s="400"/>
      <c r="E4" s="400"/>
      <c r="F4" s="400"/>
      <c r="G4" s="400"/>
      <c r="H4" s="400"/>
      <c r="I4" s="400"/>
      <c r="J4" s="234"/>
    </row>
    <row r="5" spans="1:10" ht="9.75" customHeight="1" x14ac:dyDescent="0.25">
      <c r="A5" s="141"/>
      <c r="B5" s="354" t="s">
        <v>2560</v>
      </c>
      <c r="C5" s="349"/>
      <c r="D5" s="349"/>
      <c r="E5" s="349"/>
      <c r="F5" s="349"/>
      <c r="G5" s="349"/>
      <c r="H5" s="349"/>
      <c r="I5" s="349"/>
      <c r="J5" s="349"/>
    </row>
    <row r="6" spans="1:10" ht="15.75" customHeight="1" x14ac:dyDescent="0.25">
      <c r="A6" s="141"/>
      <c r="B6" s="353" t="s">
        <v>2561</v>
      </c>
      <c r="C6" s="349"/>
      <c r="D6" s="349"/>
      <c r="E6" s="349"/>
      <c r="F6" s="349"/>
      <c r="G6" s="349"/>
      <c r="H6" s="349"/>
      <c r="I6" s="349"/>
      <c r="J6" s="349"/>
    </row>
    <row r="7" spans="1:10" ht="15.75" customHeight="1" x14ac:dyDescent="0.25">
      <c r="A7" s="141"/>
      <c r="B7" s="173" t="s">
        <v>2562</v>
      </c>
      <c r="C7" s="391" t="str">
        <f>Справочник!$M$13&amp;" "&amp;IFERROR(LEFT(Справочник!$N$13,FIND(CHAR(32),Справочник!$N$13,1)-1)&amp;" "&amp;MID(Справочник!$N$13,FIND(CHAR(32),Справочник!$N$13)+1,1)&amp;"."&amp;MID(Справочник!$N$13,SEARCH(CHAR(32),Справочник!$N$13,FIND(CHAR(32),Справочник!$N$13,1)+1)+1,1)&amp;".","")</f>
        <v xml:space="preserve"> Начальник участка "Хаптагай-Хая" Шмелёв С.В.</v>
      </c>
      <c r="D7" s="391"/>
      <c r="E7" s="391"/>
      <c r="F7" s="391"/>
      <c r="G7" s="391"/>
      <c r="H7" s="391"/>
      <c r="I7" s="391"/>
      <c r="J7" s="234"/>
    </row>
    <row r="8" spans="1:10" ht="14.25" customHeight="1" x14ac:dyDescent="0.25">
      <c r="A8" s="141"/>
      <c r="B8" s="354" t="s">
        <v>2560</v>
      </c>
      <c r="C8" s="349"/>
      <c r="D8" s="349"/>
      <c r="E8" s="349"/>
      <c r="F8" s="349"/>
      <c r="G8" s="349"/>
      <c r="H8" s="349"/>
      <c r="I8" s="349"/>
      <c r="J8" s="349"/>
    </row>
    <row r="9" spans="1:10" ht="15.75" customHeight="1" x14ac:dyDescent="0.25">
      <c r="A9" s="141"/>
      <c r="B9" s="389" t="s">
        <v>2563</v>
      </c>
      <c r="C9" s="356"/>
      <c r="D9" s="356"/>
      <c r="E9" s="356"/>
      <c r="F9" s="356"/>
      <c r="G9" s="356"/>
      <c r="H9" s="356"/>
      <c r="I9" s="356"/>
      <c r="J9" s="356"/>
    </row>
    <row r="10" spans="1:10" ht="15.75" customHeight="1" x14ac:dyDescent="0.25">
      <c r="A10" s="141"/>
      <c r="B10" s="173" t="s">
        <v>2562</v>
      </c>
      <c r="C10" s="396" t="str">
        <f>Справочник!$M$17&amp;" "&amp;IFERROR(LEFT(Справочник!$N$17,FIND(CHAR(32),Справочник!$N$17,1)-1)&amp;" "&amp;MID(Справочник!$N$17,FIND(CHAR(32),Справочник!$N$17)+1,1)&amp;"."&amp;MID(Справочник!$N$17,SEARCH(CHAR(32),Справочник!$N$17,FIND(CHAR(32),Справочник!$N$17,1)+1)+1,1)&amp;".","")</f>
        <v>Старший взрывник Фурман А.С.</v>
      </c>
      <c r="D10" s="361"/>
      <c r="E10" s="361"/>
      <c r="F10" s="361"/>
      <c r="G10" s="361"/>
      <c r="H10" s="361"/>
      <c r="I10" s="361"/>
      <c r="J10" s="361"/>
    </row>
    <row r="11" spans="1:10" ht="14.25" customHeight="1" x14ac:dyDescent="0.25">
      <c r="A11" s="141"/>
      <c r="B11" s="141"/>
      <c r="C11" s="367" t="s">
        <v>2560</v>
      </c>
      <c r="D11" s="368"/>
      <c r="E11" s="368"/>
      <c r="F11" s="368"/>
      <c r="G11" s="368"/>
      <c r="H11" s="368"/>
      <c r="I11" s="368"/>
      <c r="J11" s="368"/>
    </row>
    <row r="12" spans="1:10" ht="15.75" customHeight="1" x14ac:dyDescent="0.25">
      <c r="A12" s="141"/>
      <c r="B12" s="399" t="s">
        <v>2888</v>
      </c>
      <c r="C12" s="399"/>
      <c r="D12" s="399"/>
      <c r="E12" s="399"/>
      <c r="F12" s="399"/>
      <c r="G12" s="399"/>
      <c r="H12" s="399"/>
      <c r="I12" s="399"/>
      <c r="J12" s="302"/>
    </row>
    <row r="13" spans="1:10" ht="15.75" customHeight="1" x14ac:dyDescent="0.25">
      <c r="A13" s="141"/>
      <c r="B13" s="299" t="s">
        <v>2562</v>
      </c>
      <c r="C13" s="391" t="str">
        <f>Справочник!$M$18&amp;" "&amp;IFERROR(LEFT(Справочник!$N$18,FIND(CHAR(32),Справочник!$N$18,1)-1)&amp;" "&amp;MID(Справочник!$N$18,FIND(CHAR(32),Справочник!$N$18)+1,1)&amp;"."&amp;MID(Справочник!$N$18,SEARCH(CHAR(32),Справочник!$N$18,FIND(CHAR(32),Справочник!$N$18,1)+1)+1,1)&amp;".","")</f>
        <v xml:space="preserve"> Начальник участка "Хаптагай-Хая" Шмелёв С.В.</v>
      </c>
      <c r="D13" s="392"/>
      <c r="E13" s="392"/>
      <c r="F13" s="392"/>
      <c r="G13" s="392"/>
      <c r="H13" s="392"/>
      <c r="I13" s="392"/>
      <c r="J13" s="392"/>
    </row>
    <row r="14" spans="1:10" x14ac:dyDescent="0.25">
      <c r="A14" s="141"/>
      <c r="B14" s="298"/>
      <c r="C14" s="386" t="s">
        <v>2560</v>
      </c>
      <c r="D14" s="387"/>
      <c r="E14" s="387"/>
      <c r="F14" s="387"/>
      <c r="G14" s="387"/>
      <c r="H14" s="387"/>
      <c r="I14" s="387"/>
      <c r="J14" s="387"/>
    </row>
    <row r="15" spans="1:10" ht="15.75" customHeight="1" x14ac:dyDescent="0.25">
      <c r="A15" s="141"/>
      <c r="B15" s="297" t="s">
        <v>2564</v>
      </c>
      <c r="C15" s="301"/>
      <c r="D15" s="301"/>
      <c r="E15" s="301"/>
      <c r="F15" s="301"/>
      <c r="G15" s="301"/>
      <c r="H15" s="301"/>
      <c r="I15" s="301"/>
      <c r="J15" s="301"/>
    </row>
    <row r="16" spans="1:10" ht="15.75" customHeight="1" x14ac:dyDescent="0.25">
      <c r="A16" s="141"/>
      <c r="B16" s="395" t="str">
        <f>Справочник!$M$13&amp;" "&amp;IFERROR(LEFT(Справочник!$N$13,FIND(CHAR(32),Справочник!$N$13,1)-1)&amp;" "&amp;MID(Справочник!$N$13,FIND(CHAR(32),Справочник!$N$13)+1,1)&amp;"."&amp;MID(Справочник!$N$13,SEARCH(CHAR(32),Справочник!$N$13,FIND(CHAR(32),Справочник!$N$13,1)+1)+1,1)&amp;".","")</f>
        <v xml:space="preserve"> Начальник участка "Хаптагай-Хая" Шмелёв С.В.</v>
      </c>
      <c r="C16" s="392"/>
      <c r="D16" s="392"/>
      <c r="E16" s="392"/>
      <c r="F16" s="392"/>
      <c r="G16" s="392"/>
      <c r="H16" s="392"/>
      <c r="I16" s="392"/>
      <c r="J16" s="392"/>
    </row>
    <row r="17" spans="1:10" ht="13.5" customHeight="1" x14ac:dyDescent="0.25">
      <c r="A17" s="141"/>
      <c r="B17" s="398" t="s">
        <v>2560</v>
      </c>
      <c r="C17" s="394"/>
      <c r="D17" s="394"/>
      <c r="E17" s="394"/>
      <c r="F17" s="394"/>
      <c r="G17" s="394"/>
      <c r="H17" s="394"/>
      <c r="I17" s="394"/>
      <c r="J17" s="394"/>
    </row>
    <row r="18" spans="1:10" ht="45" customHeight="1" x14ac:dyDescent="0.25">
      <c r="A18" s="141"/>
      <c r="B18" s="399" t="s">
        <v>2565</v>
      </c>
      <c r="C18" s="399"/>
      <c r="D18" s="399"/>
      <c r="E18" s="399"/>
      <c r="F18" s="399"/>
      <c r="G18" s="399"/>
      <c r="H18" s="399"/>
      <c r="I18" s="399"/>
      <c r="J18" s="302"/>
    </row>
    <row r="19" spans="1:10" ht="15.75" customHeight="1" x14ac:dyDescent="0.25">
      <c r="A19" s="141"/>
      <c r="B19" s="297" t="s">
        <v>2566</v>
      </c>
      <c r="C19" s="299"/>
      <c r="D19" s="391" t="str">
        <f>Справочник!$M$19&amp;" "&amp;IFERROR(LEFT(Справочник!$N$19,FIND(CHAR(32),Справочник!$N$19,1)-1)&amp;" "&amp;MID(Справочник!$N$19,FIND(CHAR(32),Справочник!$N$19)+1,1)&amp;"."&amp;MID(Справочник!$N$19,SEARCH(CHAR(32),Справочник!$N$19,FIND(CHAR(32),Справочник!$N$19,1)+1)+1,1)&amp;".","")</f>
        <v xml:space="preserve"> Начальник участка "Хаптагай-Хая" Шмелёв С.В.</v>
      </c>
      <c r="E19" s="392"/>
      <c r="F19" s="392"/>
      <c r="G19" s="392"/>
      <c r="H19" s="392"/>
      <c r="I19" s="392"/>
      <c r="J19" s="392"/>
    </row>
    <row r="20" spans="1:10" x14ac:dyDescent="0.25">
      <c r="A20" s="141"/>
      <c r="B20" s="298"/>
      <c r="C20" s="301"/>
      <c r="D20" s="386" t="s">
        <v>2560</v>
      </c>
      <c r="E20" s="387"/>
      <c r="F20" s="387"/>
      <c r="G20" s="387"/>
      <c r="H20" s="387"/>
      <c r="I20" s="387"/>
      <c r="J20" s="387"/>
    </row>
    <row r="21" spans="1:10" ht="15.75" customHeight="1" x14ac:dyDescent="0.25">
      <c r="A21" s="141"/>
      <c r="B21" s="393" t="s">
        <v>2567</v>
      </c>
      <c r="C21" s="394"/>
      <c r="D21" s="394"/>
      <c r="E21" s="394"/>
      <c r="F21" s="394"/>
      <c r="G21" s="394"/>
      <c r="H21" s="394"/>
      <c r="I21" s="394"/>
      <c r="J21" s="394"/>
    </row>
    <row r="22" spans="1:10" ht="15.75" customHeight="1" x14ac:dyDescent="0.25">
      <c r="A22" s="141"/>
      <c r="B22" s="395" t="str">
        <f>Справочник!$M$6&amp;" "&amp;IFERROR(LEFT(Справочник!$N$6,FIND(CHAR(32),Справочник!$N$6,1)-1)&amp;" "&amp;MID(Справочник!$N$6,FIND(CHAR(32),Справочник!$N$6)+1,1)&amp;"."&amp;MID(Справочник!$N$6,SEARCH(CHAR(32),Справочник!$N$6,FIND(CHAR(32),Справочник!$N$6,1)+1)+1,1)&amp;".","")</f>
        <v xml:space="preserve"> Начальник участка "Хаптагай-Хая" Шмелёв С.В.</v>
      </c>
      <c r="C22" s="392"/>
      <c r="D22" s="392"/>
      <c r="E22" s="392"/>
      <c r="F22" s="392"/>
      <c r="G22" s="392"/>
      <c r="H22" s="392"/>
      <c r="I22" s="392"/>
      <c r="J22" s="392"/>
    </row>
    <row r="23" spans="1:10" ht="12" customHeight="1" x14ac:dyDescent="0.25">
      <c r="A23" s="141"/>
      <c r="B23" s="398" t="s">
        <v>2560</v>
      </c>
      <c r="C23" s="394"/>
      <c r="D23" s="394"/>
      <c r="E23" s="394"/>
      <c r="F23" s="394"/>
      <c r="G23" s="394"/>
      <c r="H23" s="394"/>
      <c r="I23" s="394"/>
      <c r="J23" s="394"/>
    </row>
    <row r="24" spans="1:10" ht="15.75" customHeight="1" x14ac:dyDescent="0.25">
      <c r="A24" s="141"/>
      <c r="B24" s="397" t="s">
        <v>2568</v>
      </c>
      <c r="C24" s="394"/>
      <c r="D24" s="394"/>
      <c r="E24" s="394"/>
      <c r="F24" s="394"/>
      <c r="G24" s="394"/>
      <c r="H24" s="394"/>
      <c r="I24" s="394"/>
      <c r="J24" s="394"/>
    </row>
    <row r="25" spans="1:10" ht="15.75" customHeight="1" x14ac:dyDescent="0.25">
      <c r="A25" s="141"/>
      <c r="B25" s="391" t="str">
        <f>Справочник!$M$6&amp;" "&amp;IFERROR(LEFT(Справочник!$N$6,FIND(CHAR(32),Справочник!$N$6,1)-1)&amp;" "&amp;MID(Справочник!$N$6,FIND(CHAR(32),Справочник!$N$6)+1,1)&amp;"."&amp;MID(Справочник!$N$6,SEARCH(CHAR(32),Справочник!$N$6,FIND(CHAR(32),Справочник!$N$6,1)+1)+1,1)&amp;".","")</f>
        <v xml:space="preserve"> Начальник участка "Хаптагай-Хая" Шмелёв С.В.</v>
      </c>
      <c r="C25" s="392"/>
      <c r="D25" s="392"/>
      <c r="E25" s="392"/>
      <c r="F25" s="392"/>
      <c r="G25" s="392"/>
      <c r="H25" s="392"/>
      <c r="I25" s="392"/>
      <c r="J25" s="392"/>
    </row>
    <row r="26" spans="1:10" ht="15" customHeight="1" x14ac:dyDescent="0.25">
      <c r="A26" s="141"/>
      <c r="B26" s="386" t="s">
        <v>2560</v>
      </c>
      <c r="C26" s="387"/>
      <c r="D26" s="387"/>
      <c r="E26" s="387"/>
      <c r="F26" s="387"/>
      <c r="G26" s="387"/>
      <c r="H26" s="387"/>
      <c r="I26" s="387"/>
      <c r="J26" s="387"/>
    </row>
    <row r="27" spans="1:10" ht="12.75" customHeight="1" x14ac:dyDescent="0.25">
      <c r="A27" s="141"/>
      <c r="B27" s="301" t="s">
        <v>2569</v>
      </c>
      <c r="C27" s="301"/>
      <c r="D27" s="301"/>
      <c r="E27" s="301"/>
      <c r="F27" s="301"/>
      <c r="G27" s="301"/>
      <c r="H27" s="301"/>
      <c r="I27" s="301"/>
      <c r="J27" s="301"/>
    </row>
    <row r="28" spans="1:10" ht="15.75" customHeight="1" x14ac:dyDescent="0.25">
      <c r="A28" s="141"/>
      <c r="B28" s="395" t="s">
        <v>2558</v>
      </c>
      <c r="C28" s="392"/>
      <c r="D28" s="392"/>
      <c r="E28" s="392"/>
      <c r="F28" s="392"/>
      <c r="G28" s="392"/>
      <c r="H28" s="392"/>
      <c r="I28" s="392"/>
      <c r="J28" s="392"/>
    </row>
    <row r="29" spans="1:10" ht="9" customHeight="1" x14ac:dyDescent="0.25">
      <c r="A29" s="141"/>
      <c r="B29" s="386"/>
      <c r="C29" s="387"/>
      <c r="D29" s="387"/>
      <c r="E29" s="387"/>
      <c r="F29" s="387"/>
      <c r="G29" s="387"/>
      <c r="H29" s="387"/>
      <c r="I29" s="387"/>
      <c r="J29" s="387"/>
    </row>
    <row r="30" spans="1:10" ht="15" customHeight="1" x14ac:dyDescent="0.25">
      <c r="A30" s="141"/>
      <c r="B30" s="298"/>
      <c r="C30" s="303" t="s">
        <v>2570</v>
      </c>
      <c r="D30" s="395" t="str">
        <f>IFERROR(LEFT(Справочник!$N$21,FIND(CHAR(32),Справочник!$N$21,1)-1)&amp;" "&amp;MID(Справочник!$N$21,FIND(CHAR(32),Справочник!$N$21)+1,1)&amp;"."&amp;MID(Справочник!$N$21,SEARCH(CHAR(32),Справочник!$N$21,FIND(CHAR(32),Справочник!$N$21,1)+1)+1,1)&amp;".","")</f>
        <v>Шмелёв С.В.</v>
      </c>
      <c r="E30" s="392"/>
      <c r="F30" s="392"/>
      <c r="G30" s="392"/>
      <c r="H30" s="392"/>
      <c r="I30" s="392"/>
      <c r="J30" s="392"/>
    </row>
    <row r="31" spans="1:10" ht="11.25" customHeight="1" x14ac:dyDescent="0.25">
      <c r="A31" s="141"/>
      <c r="B31" s="151" t="s">
        <v>2571</v>
      </c>
      <c r="C31" s="122"/>
      <c r="D31" s="388" t="s">
        <v>2572</v>
      </c>
      <c r="E31" s="368"/>
      <c r="F31" s="368"/>
      <c r="G31" s="368"/>
      <c r="H31" s="368"/>
      <c r="I31" s="368"/>
      <c r="J31" s="368"/>
    </row>
    <row r="32" spans="1:10" ht="15" customHeight="1" x14ac:dyDescent="0.25">
      <c r="A32" s="141"/>
      <c r="B32" s="370" t="s">
        <v>2573</v>
      </c>
      <c r="C32" s="356"/>
      <c r="D32" s="356"/>
      <c r="E32" s="356"/>
      <c r="F32" s="356"/>
      <c r="G32" s="356"/>
      <c r="H32" s="356"/>
      <c r="I32" s="356"/>
      <c r="J32" s="356"/>
    </row>
    <row r="33" spans="1:11" ht="13.5" customHeight="1" x14ac:dyDescent="0.25">
      <c r="A33" s="141"/>
      <c r="B33" s="376" t="s">
        <v>2574</v>
      </c>
      <c r="C33" s="368"/>
      <c r="D33" s="368"/>
      <c r="E33" s="368"/>
      <c r="F33" s="368"/>
      <c r="G33" s="368"/>
      <c r="H33" s="368"/>
      <c r="I33" s="368"/>
      <c r="J33" s="368"/>
    </row>
    <row r="34" spans="1:11" ht="15.75" customHeight="1" x14ac:dyDescent="0.25">
      <c r="A34" s="141"/>
      <c r="B34" s="121" t="s">
        <v>2575</v>
      </c>
      <c r="C34" s="121"/>
      <c r="D34" s="121"/>
      <c r="E34" s="121"/>
      <c r="F34" s="121"/>
      <c r="G34" s="121"/>
      <c r="H34" s="121"/>
      <c r="I34" s="121"/>
      <c r="J34" s="121"/>
    </row>
    <row r="35" spans="1:11" ht="15.75" customHeight="1" x14ac:dyDescent="0.25">
      <c r="A35" s="141"/>
      <c r="B35" s="370" t="s">
        <v>2576</v>
      </c>
      <c r="C35" s="356"/>
      <c r="D35" s="356"/>
      <c r="E35" s="356"/>
      <c r="F35" s="356"/>
      <c r="G35" s="356"/>
      <c r="H35" s="356"/>
      <c r="I35" s="356"/>
      <c r="J35" s="356"/>
    </row>
    <row r="36" spans="1:11" x14ac:dyDescent="0.25">
      <c r="A36" s="141"/>
      <c r="B36" s="354"/>
      <c r="C36" s="349"/>
      <c r="D36" s="349"/>
      <c r="E36" s="349"/>
      <c r="F36" s="349"/>
      <c r="G36" s="349"/>
      <c r="H36" s="349"/>
      <c r="I36" s="349"/>
      <c r="J36" s="349"/>
    </row>
    <row r="37" spans="1:11" ht="32.25" customHeight="1" x14ac:dyDescent="0.25">
      <c r="B37" s="353" t="s">
        <v>2577</v>
      </c>
      <c r="C37" s="353"/>
      <c r="D37" s="353"/>
      <c r="E37" s="353"/>
      <c r="F37" s="353"/>
      <c r="G37" s="353"/>
      <c r="H37" s="353"/>
      <c r="I37" s="353"/>
      <c r="J37" s="191"/>
    </row>
    <row r="38" spans="1:11" ht="15.75" customHeight="1" x14ac:dyDescent="0.25">
      <c r="A38" s="141"/>
      <c r="B38" s="370" t="s">
        <v>2578</v>
      </c>
      <c r="C38" s="356"/>
      <c r="D38" s="356"/>
      <c r="E38" s="356"/>
      <c r="F38" s="356"/>
      <c r="G38" s="356"/>
      <c r="H38" s="356"/>
      <c r="I38" s="356"/>
      <c r="J38" s="356"/>
    </row>
    <row r="39" spans="1:11" x14ac:dyDescent="0.25">
      <c r="A39" s="141"/>
      <c r="B39" s="141"/>
      <c r="C39" s="121"/>
      <c r="D39" s="121"/>
      <c r="E39" s="354" t="s">
        <v>2579</v>
      </c>
      <c r="F39" s="349"/>
      <c r="G39" s="349"/>
      <c r="H39" s="349"/>
      <c r="I39" s="349"/>
      <c r="J39" s="349"/>
    </row>
    <row r="40" spans="1:11" ht="65.25" customHeight="1" x14ac:dyDescent="0.25">
      <c r="A40" s="141"/>
      <c r="B40" s="353" t="s">
        <v>2580</v>
      </c>
      <c r="C40" s="353"/>
      <c r="D40" s="353"/>
      <c r="E40" s="353"/>
      <c r="F40" s="353"/>
      <c r="G40" s="353"/>
      <c r="H40" s="353"/>
      <c r="I40" s="353"/>
      <c r="J40" s="185"/>
    </row>
    <row r="41" spans="1:11" ht="21.75" customHeight="1" x14ac:dyDescent="0.25">
      <c r="A41" s="141"/>
      <c r="B41" s="353" t="s">
        <v>2581</v>
      </c>
      <c r="C41" s="349"/>
      <c r="D41" s="349"/>
      <c r="E41" s="349"/>
      <c r="F41" s="390" t="str">
        <f>Справочник!$M$17&amp;" "&amp;IFERROR(LEFT(Справочник!$N$17,FIND(CHAR(32),Справочник!$N$17,1)-1)&amp;" "&amp;MID(Справочник!$N$17,FIND(CHAR(32),Справочник!$N$17)+1,1)&amp;"."&amp;MID(Справочник!$N$17,SEARCH(CHAR(32),Справочник!$N$17,FIND(CHAR(32),Справочник!$N$17,1)+1)+1,1)&amp;".","")</f>
        <v>Старший взрывник Фурман А.С.</v>
      </c>
      <c r="G41" s="356"/>
      <c r="H41" s="356"/>
      <c r="I41" s="356"/>
      <c r="J41" s="356"/>
    </row>
    <row r="42" spans="1:11" ht="13.5" customHeight="1" x14ac:dyDescent="0.25">
      <c r="A42" s="141"/>
      <c r="B42" s="141"/>
      <c r="C42" s="141"/>
      <c r="D42" s="141"/>
      <c r="E42" s="141"/>
      <c r="F42" s="388" t="s">
        <v>2582</v>
      </c>
      <c r="G42" s="368"/>
      <c r="H42" s="368"/>
      <c r="I42" s="368"/>
      <c r="J42" s="368"/>
    </row>
    <row r="43" spans="1:11" ht="19.5" customHeight="1" x14ac:dyDescent="0.25">
      <c r="A43" s="141"/>
      <c r="B43" s="121" t="s">
        <v>2583</v>
      </c>
      <c r="C43" s="121"/>
      <c r="D43" s="121"/>
      <c r="E43" s="121"/>
      <c r="F43" s="121"/>
      <c r="G43" s="121"/>
      <c r="H43" s="121"/>
      <c r="I43" s="121"/>
      <c r="J43" s="121"/>
      <c r="K43" s="66"/>
    </row>
    <row r="44" spans="1:11" ht="14.25" customHeight="1" x14ac:dyDescent="0.25">
      <c r="A44" s="141"/>
      <c r="B44" s="370" t="s">
        <v>2584</v>
      </c>
      <c r="C44" s="356"/>
      <c r="D44" s="356"/>
      <c r="E44" s="356"/>
      <c r="F44" s="356"/>
      <c r="G44" s="356"/>
      <c r="H44" s="356"/>
      <c r="I44" s="356"/>
      <c r="J44" s="356"/>
    </row>
    <row r="45" spans="1:11" ht="15.75" customHeight="1" x14ac:dyDescent="0.25">
      <c r="A45" s="141"/>
      <c r="B45" s="121" t="s">
        <v>2585</v>
      </c>
      <c r="C45" s="121"/>
      <c r="D45" s="121"/>
      <c r="E45" s="121"/>
      <c r="F45" s="121"/>
      <c r="G45" s="121"/>
      <c r="H45" s="121"/>
      <c r="I45" s="121"/>
      <c r="J45" s="121"/>
    </row>
    <row r="46" spans="1:11" ht="15.75" hidden="1" customHeight="1" x14ac:dyDescent="0.25">
      <c r="B46" s="66"/>
    </row>
    <row r="47" spans="1:11" hidden="1" x14ac:dyDescent="0.25"/>
    <row r="48" spans="1:11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</sheetData>
  <mergeCells count="40">
    <mergeCell ref="F2:J2"/>
    <mergeCell ref="B33:J33"/>
    <mergeCell ref="D31:J31"/>
    <mergeCell ref="B5:J5"/>
    <mergeCell ref="C11:J11"/>
    <mergeCell ref="B23:J23"/>
    <mergeCell ref="C14:J14"/>
    <mergeCell ref="B8:J8"/>
    <mergeCell ref="D30:J30"/>
    <mergeCell ref="B16:J16"/>
    <mergeCell ref="B25:J25"/>
    <mergeCell ref="B22:J22"/>
    <mergeCell ref="B4:I4"/>
    <mergeCell ref="C13:J13"/>
    <mergeCell ref="F3:J3"/>
    <mergeCell ref="B28:J28"/>
    <mergeCell ref="C10:J10"/>
    <mergeCell ref="D20:J20"/>
    <mergeCell ref="B26:J26"/>
    <mergeCell ref="B6:J6"/>
    <mergeCell ref="B24:J24"/>
    <mergeCell ref="B17:J17"/>
    <mergeCell ref="C7:I7"/>
    <mergeCell ref="B12:I12"/>
    <mergeCell ref="B18:I18"/>
    <mergeCell ref="B44:J44"/>
    <mergeCell ref="B29:J29"/>
    <mergeCell ref="B41:E41"/>
    <mergeCell ref="F42:J42"/>
    <mergeCell ref="B9:J9"/>
    <mergeCell ref="F41:J41"/>
    <mergeCell ref="D19:J19"/>
    <mergeCell ref="B40:I40"/>
    <mergeCell ref="E39:J39"/>
    <mergeCell ref="B21:J21"/>
    <mergeCell ref="B36:J36"/>
    <mergeCell ref="B32:J32"/>
    <mergeCell ref="B37:I37"/>
    <mergeCell ref="B35:J35"/>
    <mergeCell ref="B38:J38"/>
  </mergeCells>
  <pageMargins left="0.59055118110236227" right="0.39370078740157483" top="0.74803149606299213" bottom="0.74803149606299213" header="0.31496062992125984" footer="0.31496062992125984"/>
  <pageSetup paperSize="9" orientation="portrait" r:id="rId1" fitToWidth="1" fitToHeight="1"/>
  <colBreaks count="1" manualBreakCount="1">
    <brk id="10" max="39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2">
    <tabColor theme="6" tint="0.59999389629810485"/>
  </sheetPr>
  <dimension ref="A1:AX83"/>
  <sheetViews>
    <sheetView showGridLines="0" zoomScale="85" zoomScaleNormal="85" workbookViewId="0">
      <selection activeCell="C30" sqref="C30:L30"/>
    </sheetView>
  </sheetViews>
  <sheetFormatPr defaultColWidth="0" defaultRowHeight="15" zeroHeight="1" x14ac:dyDescent="0.25"/>
  <cols>
    <col min="1" max="1" width="4.140625" style="77" customWidth="1"/>
    <col min="2" max="2" width="2.7109375" style="77" customWidth="1"/>
    <col min="3" max="3" width="9.140625" style="77" customWidth="1"/>
    <col min="4" max="4" width="11.140625" style="77" customWidth="1"/>
    <col min="5" max="8" width="9.140625" style="77" customWidth="1"/>
    <col min="9" max="9" width="7.7109375" style="77" customWidth="1"/>
    <col min="10" max="11" width="9.140625" style="77" customWidth="1"/>
    <col min="12" max="12" width="10.140625" style="77" customWidth="1"/>
    <col min="13" max="13" width="7" style="77" customWidth="1"/>
    <col min="14" max="18" width="9.140625" style="77" hidden="1" customWidth="1"/>
    <col min="19" max="19" width="3.42578125" style="77" hidden="1" customWidth="1"/>
    <col min="20" max="42" width="9.140625" style="77" hidden="1" customWidth="1"/>
    <col min="43" max="50" width="0" style="77" hidden="1" customWidth="1"/>
    <col min="51" max="51" width="9.140625" style="77" hidden="1" customWidth="1"/>
    <col min="52" max="16384" width="9.140625" style="77" hidden="1"/>
  </cols>
  <sheetData>
    <row r="1" spans="1:50" x14ac:dyDescent="0.25">
      <c r="A1" s="175"/>
      <c r="B1" s="175"/>
      <c r="C1" s="175"/>
      <c r="D1" s="175"/>
      <c r="E1" s="175"/>
      <c r="F1" s="175"/>
      <c r="G1" s="175"/>
      <c r="H1" s="175"/>
      <c r="I1" s="175"/>
      <c r="J1" s="175"/>
      <c r="K1" s="175"/>
      <c r="L1" s="175"/>
      <c r="M1" s="175"/>
    </row>
    <row r="2" spans="1:50" ht="15.75" customHeight="1" x14ac:dyDescent="0.25">
      <c r="A2" s="175"/>
      <c r="B2" s="402" t="s">
        <v>2586</v>
      </c>
      <c r="C2" s="403"/>
      <c r="D2" s="403"/>
      <c r="E2" s="403"/>
      <c r="F2" s="403"/>
      <c r="G2" s="403"/>
      <c r="H2" s="403"/>
      <c r="I2" s="403"/>
      <c r="J2" s="403"/>
      <c r="K2" s="403"/>
      <c r="L2" s="403"/>
      <c r="M2" s="175"/>
    </row>
    <row r="3" spans="1:50" ht="16.5" customHeight="1" x14ac:dyDescent="0.25">
      <c r="A3" s="175"/>
      <c r="B3" s="298"/>
      <c r="C3" s="410" t="str">
        <f>Справочник!$M$14&amp;" "&amp;IFERROR(LEFT(Справочник!$N$14,FIND(CHAR(32),Справочник!$N$14,1)-1)&amp;" "&amp;MID(Справочник!$N$14,FIND(CHAR(32),Справочник!$N$14)+1,1)&amp;"."&amp;MID(Справочник!$N$14,SEARCH(CHAR(32),Справочник!$N$14,FIND(CHAR(32),Справочник!$N$14,1)+1)+1,1)&amp;".","")</f>
        <v>Старший взрывник Фурман А.С.</v>
      </c>
      <c r="D3" s="410"/>
      <c r="E3" s="410"/>
      <c r="F3" s="410"/>
      <c r="G3" s="410"/>
      <c r="H3" s="410"/>
      <c r="I3" s="410"/>
      <c r="J3" s="410"/>
      <c r="K3" s="410"/>
      <c r="L3" s="234"/>
      <c r="M3" s="176"/>
      <c r="N3" s="100"/>
      <c r="O3" s="100"/>
      <c r="P3" s="100"/>
      <c r="Q3" s="100"/>
      <c r="R3" s="100"/>
      <c r="S3" s="100"/>
      <c r="T3" s="100"/>
      <c r="U3" s="100"/>
      <c r="V3" s="100"/>
    </row>
    <row r="4" spans="1:50" x14ac:dyDescent="0.25">
      <c r="A4" s="175"/>
      <c r="B4" s="408" t="s">
        <v>2587</v>
      </c>
      <c r="C4" s="394"/>
      <c r="D4" s="394"/>
      <c r="E4" s="394"/>
      <c r="F4" s="394"/>
      <c r="G4" s="394"/>
      <c r="H4" s="394"/>
      <c r="I4" s="394"/>
      <c r="J4" s="394"/>
      <c r="K4" s="394"/>
      <c r="L4" s="394"/>
      <c r="M4" s="175"/>
    </row>
    <row r="5" spans="1:50" ht="15.75" customHeight="1" x14ac:dyDescent="0.25">
      <c r="A5" s="175"/>
      <c r="B5" s="298"/>
      <c r="C5" s="301" t="s">
        <v>2588</v>
      </c>
      <c r="D5" s="301"/>
      <c r="E5" s="301"/>
      <c r="F5" s="301"/>
      <c r="G5" s="301"/>
      <c r="H5" s="301"/>
      <c r="I5" s="401" t="str">
        <f ca="1">IFERROR((LEFT(Справочник!$N$6,FIND(CHAR(32),Справочник!$N$6,1)-1))&amp;" "&amp;MID(Справочник!$N$6,FIND(CHAR(32),Справочник!$N$6)+1,1)&amp;"."&amp;MID(Справочник!$N$6,SEARCH(CHAR(32),Справочник!$N$6,FIND(CHAR(32),Справочник!$N$6,1)+1)+1,1)&amp;".","")</f>
        <v/>
      </c>
      <c r="J5" s="401"/>
      <c r="K5" s="401"/>
      <c r="L5" s="234"/>
      <c r="M5" s="177"/>
      <c r="N5" s="66"/>
      <c r="O5" s="66"/>
      <c r="P5" s="66"/>
      <c r="Q5" s="66"/>
      <c r="R5" s="66"/>
      <c r="S5" s="66"/>
      <c r="T5" s="66"/>
      <c r="U5" s="66"/>
    </row>
    <row r="6" spans="1:50" x14ac:dyDescent="0.25">
      <c r="A6" s="175"/>
      <c r="B6" s="298"/>
      <c r="C6" s="306"/>
      <c r="D6" s="298"/>
      <c r="E6" s="298"/>
      <c r="F6" s="298"/>
      <c r="G6" s="298"/>
      <c r="H6" s="411" t="s">
        <v>2589</v>
      </c>
      <c r="I6" s="411"/>
      <c r="J6" s="411"/>
      <c r="K6" s="411"/>
      <c r="L6" s="307"/>
      <c r="M6" s="175"/>
    </row>
    <row r="7" spans="1:50" s="66" customFormat="1" ht="15.75" customHeight="1" x14ac:dyDescent="0.25">
      <c r="A7" s="177"/>
      <c r="B7" s="301" t="s">
        <v>2590</v>
      </c>
      <c r="C7" s="301"/>
      <c r="D7" s="301"/>
      <c r="E7" s="407" t="s">
        <v>2591</v>
      </c>
      <c r="F7" s="392"/>
      <c r="G7" s="392"/>
      <c r="H7" s="392"/>
      <c r="I7" s="392"/>
      <c r="J7" s="392"/>
      <c r="K7" s="392"/>
      <c r="L7" s="392"/>
      <c r="M7" s="177"/>
    </row>
    <row r="8" spans="1:50" s="38" customFormat="1" ht="15" customHeight="1" x14ac:dyDescent="0.25">
      <c r="A8" s="177"/>
      <c r="B8" s="398"/>
      <c r="C8" s="409"/>
      <c r="D8" s="409"/>
      <c r="E8" s="386" t="s">
        <v>2592</v>
      </c>
      <c r="F8" s="387"/>
      <c r="G8" s="387"/>
      <c r="H8" s="387"/>
      <c r="I8" s="387"/>
      <c r="J8" s="387"/>
      <c r="K8" s="387"/>
      <c r="L8" s="387"/>
      <c r="M8" s="177"/>
    </row>
    <row r="9" spans="1:50" s="66" customFormat="1" ht="15.75" customHeight="1" x14ac:dyDescent="0.25">
      <c r="A9" s="177"/>
      <c r="B9" s="301" t="s">
        <v>2593</v>
      </c>
      <c r="C9" s="301"/>
      <c r="D9" s="301"/>
      <c r="E9" s="301"/>
      <c r="F9" s="301"/>
      <c r="G9" s="301"/>
      <c r="H9" s="301"/>
      <c r="I9" s="401" t="s">
        <v>2594</v>
      </c>
      <c r="J9" s="401"/>
      <c r="K9" s="401"/>
      <c r="L9" s="234"/>
      <c r="M9" s="177"/>
    </row>
    <row r="10" spans="1:50" ht="15.75" customHeight="1" x14ac:dyDescent="0.25">
      <c r="A10" s="175"/>
      <c r="B10" s="298"/>
      <c r="C10" s="308"/>
      <c r="D10" s="298"/>
      <c r="E10" s="298"/>
      <c r="F10" s="298"/>
      <c r="G10" s="298"/>
      <c r="H10" s="298"/>
      <c r="I10" s="412" t="s">
        <v>2595</v>
      </c>
      <c r="J10" s="412"/>
      <c r="K10" s="412"/>
      <c r="L10" s="307"/>
      <c r="M10" s="177"/>
      <c r="N10" s="66"/>
      <c r="O10" s="66"/>
      <c r="P10" s="66"/>
      <c r="Q10" s="66"/>
      <c r="R10" s="66"/>
      <c r="S10" s="66"/>
      <c r="T10" s="66"/>
      <c r="U10" s="66"/>
      <c r="V10" s="66"/>
      <c r="W10" s="66"/>
      <c r="X10" s="66"/>
      <c r="Y10" s="66"/>
      <c r="Z10" s="66"/>
      <c r="AA10" s="66"/>
      <c r="AB10" s="66"/>
      <c r="AC10" s="66"/>
      <c r="AD10" s="66"/>
      <c r="AE10" s="66"/>
      <c r="AF10" s="66"/>
      <c r="AG10" s="66"/>
      <c r="AH10" s="66"/>
      <c r="AI10" s="66"/>
      <c r="AJ10" s="66"/>
      <c r="AK10" s="66"/>
      <c r="AL10" s="66"/>
      <c r="AM10" s="66"/>
      <c r="AN10" s="66"/>
      <c r="AO10" s="66"/>
      <c r="AP10" s="66"/>
      <c r="AQ10" s="66"/>
      <c r="AR10" s="66"/>
      <c r="AS10" s="66"/>
      <c r="AT10" s="66"/>
      <c r="AU10" s="66"/>
      <c r="AV10" s="66"/>
      <c r="AW10" s="66"/>
      <c r="AX10" s="66"/>
    </row>
    <row r="11" spans="1:50" s="66" customFormat="1" ht="15.75" customHeight="1" x14ac:dyDescent="0.25">
      <c r="A11" s="177"/>
      <c r="B11" s="301" t="s">
        <v>2596</v>
      </c>
      <c r="C11" s="301"/>
      <c r="D11" s="301"/>
      <c r="E11" s="407" t="s">
        <v>2597</v>
      </c>
      <c r="F11" s="392"/>
      <c r="G11" s="392"/>
      <c r="H11" s="392"/>
      <c r="I11" s="392"/>
      <c r="J11" s="392"/>
      <c r="K11" s="392"/>
      <c r="L11" s="392"/>
      <c r="M11" s="177"/>
    </row>
    <row r="12" spans="1:50" ht="15.75" customHeight="1" x14ac:dyDescent="0.25">
      <c r="A12" s="175"/>
      <c r="B12" s="298"/>
      <c r="C12" s="308" t="s">
        <v>2598</v>
      </c>
      <c r="D12" s="298"/>
      <c r="E12" s="298"/>
      <c r="F12" s="298"/>
      <c r="G12" s="298"/>
      <c r="H12" s="298"/>
      <c r="I12" s="298"/>
      <c r="J12" s="298"/>
      <c r="K12" s="298"/>
      <c r="L12" s="301"/>
      <c r="M12" s="177"/>
      <c r="N12" s="66"/>
      <c r="O12" s="66"/>
      <c r="P12" s="66"/>
      <c r="Q12" s="66"/>
      <c r="R12" s="66"/>
      <c r="S12" s="66"/>
      <c r="T12" s="66"/>
      <c r="U12" s="66"/>
      <c r="V12" s="66"/>
      <c r="W12" s="66"/>
      <c r="X12" s="66"/>
      <c r="Y12" s="66"/>
      <c r="Z12" s="66"/>
      <c r="AA12" s="66"/>
      <c r="AB12" s="66"/>
      <c r="AC12" s="66"/>
      <c r="AD12" s="66"/>
      <c r="AE12" s="66"/>
      <c r="AF12" s="66"/>
      <c r="AG12" s="66"/>
      <c r="AH12" s="66"/>
      <c r="AI12" s="66"/>
      <c r="AJ12" s="66"/>
      <c r="AK12" s="66"/>
      <c r="AL12" s="66"/>
      <c r="AM12" s="66"/>
      <c r="AN12" s="66"/>
      <c r="AO12" s="66"/>
      <c r="AP12" s="66"/>
      <c r="AQ12" s="66"/>
      <c r="AR12" s="66"/>
      <c r="AS12" s="66"/>
      <c r="AT12" s="66"/>
      <c r="AU12" s="66"/>
      <c r="AV12" s="66"/>
      <c r="AW12" s="66"/>
      <c r="AX12" s="66"/>
    </row>
    <row r="13" spans="1:50" ht="15.75" customHeight="1" x14ac:dyDescent="0.25">
      <c r="A13" s="175"/>
      <c r="B13" s="298"/>
      <c r="C13" s="301" t="s">
        <v>2599</v>
      </c>
      <c r="D13" s="301"/>
      <c r="E13" s="301"/>
      <c r="F13" s="301"/>
      <c r="G13" s="301"/>
      <c r="H13" s="301"/>
      <c r="I13" s="301"/>
      <c r="J13" s="401" t="str">
        <f ca="1">I5</f>
        <v/>
      </c>
      <c r="K13" s="401"/>
      <c r="L13" s="234"/>
      <c r="M13" s="177"/>
      <c r="N13" s="66"/>
      <c r="O13" s="66"/>
      <c r="P13" s="66"/>
      <c r="Q13" s="66"/>
      <c r="R13" s="66"/>
      <c r="S13" s="66"/>
      <c r="T13" s="66"/>
      <c r="U13" s="66"/>
      <c r="V13" s="66"/>
      <c r="W13" s="66"/>
      <c r="X13" s="66"/>
      <c r="Y13" s="66"/>
      <c r="Z13" s="66"/>
      <c r="AA13" s="66"/>
      <c r="AB13" s="66"/>
      <c r="AC13" s="66"/>
      <c r="AD13" s="66"/>
      <c r="AE13" s="66"/>
      <c r="AF13" s="66"/>
      <c r="AG13" s="66"/>
      <c r="AH13" s="66"/>
      <c r="AI13" s="66"/>
      <c r="AJ13" s="66"/>
      <c r="AK13" s="66"/>
      <c r="AL13" s="66"/>
      <c r="AM13" s="66"/>
      <c r="AN13" s="66"/>
      <c r="AO13" s="66"/>
      <c r="AP13" s="66"/>
      <c r="AQ13" s="66"/>
      <c r="AR13" s="66"/>
      <c r="AS13" s="66"/>
      <c r="AT13" s="66"/>
      <c r="AU13" s="66"/>
      <c r="AV13" s="66"/>
      <c r="AW13" s="66"/>
      <c r="AX13" s="66"/>
    </row>
    <row r="14" spans="1:50" s="68" customFormat="1" ht="12.75" customHeight="1" x14ac:dyDescent="0.25">
      <c r="A14" s="175"/>
      <c r="B14" s="298"/>
      <c r="C14" s="308"/>
      <c r="D14" s="298"/>
      <c r="E14" s="298"/>
      <c r="F14" s="298"/>
      <c r="G14" s="298"/>
      <c r="H14" s="411" t="s">
        <v>2589</v>
      </c>
      <c r="I14" s="411"/>
      <c r="J14" s="411"/>
      <c r="K14" s="411"/>
      <c r="L14" s="307"/>
      <c r="M14" s="179"/>
      <c r="N14" s="93"/>
      <c r="O14" s="93"/>
      <c r="P14" s="93"/>
      <c r="Q14" s="93"/>
      <c r="R14" s="93"/>
      <c r="S14" s="93"/>
      <c r="T14" s="93"/>
      <c r="U14" s="93"/>
      <c r="V14" s="93"/>
    </row>
    <row r="15" spans="1:50" ht="15.75" customHeight="1" x14ac:dyDescent="0.25">
      <c r="A15" s="175"/>
      <c r="B15" s="393" t="s">
        <v>2600</v>
      </c>
      <c r="C15" s="394"/>
      <c r="D15" s="394"/>
      <c r="E15" s="394"/>
      <c r="F15" s="394"/>
      <c r="G15" s="394"/>
      <c r="H15" s="394"/>
      <c r="I15" s="394"/>
      <c r="J15" s="394"/>
      <c r="K15" s="394"/>
      <c r="L15" s="394"/>
      <c r="M15" s="179"/>
      <c r="N15" s="102"/>
      <c r="O15" s="102"/>
      <c r="P15" s="102"/>
      <c r="Q15" s="102"/>
      <c r="R15" s="102"/>
      <c r="S15" s="102"/>
      <c r="T15" s="102"/>
      <c r="U15" s="102"/>
      <c r="V15" s="102"/>
    </row>
    <row r="16" spans="1:50" s="42" customFormat="1" ht="21" customHeight="1" x14ac:dyDescent="0.25">
      <c r="A16" s="175"/>
      <c r="B16" s="309" t="s">
        <v>2601</v>
      </c>
      <c r="C16" s="309"/>
      <c r="D16" s="309"/>
      <c r="E16" s="309"/>
      <c r="F16" s="309"/>
      <c r="G16" s="309"/>
      <c r="H16" s="309"/>
      <c r="I16" s="309"/>
      <c r="J16" s="298"/>
      <c r="K16" s="298"/>
      <c r="L16" s="310"/>
      <c r="M16" s="180"/>
      <c r="N16" s="43"/>
      <c r="O16" s="43"/>
      <c r="P16" s="43"/>
      <c r="Q16" s="43"/>
      <c r="R16" s="43"/>
      <c r="S16" s="43"/>
      <c r="T16" s="43"/>
      <c r="U16" s="43"/>
      <c r="V16" s="43"/>
    </row>
    <row r="17" spans="1:50" ht="16.5" customHeight="1" x14ac:dyDescent="0.25">
      <c r="A17" s="175"/>
      <c r="B17" s="298"/>
      <c r="C17" s="311" t="s">
        <v>2602</v>
      </c>
      <c r="D17" s="311"/>
      <c r="E17" s="311"/>
      <c r="F17" s="311"/>
      <c r="G17" s="311"/>
      <c r="H17" s="311"/>
      <c r="I17" s="311"/>
      <c r="J17" s="311"/>
      <c r="K17" s="311"/>
      <c r="L17" s="301"/>
      <c r="M17" s="177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2"/>
      <c r="AR17" s="62"/>
      <c r="AS17" s="62"/>
      <c r="AT17" s="62"/>
      <c r="AU17" s="62"/>
      <c r="AV17" s="62"/>
      <c r="AW17" s="62"/>
      <c r="AX17" s="62"/>
    </row>
    <row r="18" spans="1:50" s="62" customFormat="1" ht="36" customHeight="1" x14ac:dyDescent="0.25">
      <c r="A18" s="177"/>
      <c r="B18" s="301"/>
      <c r="C18" s="298" t="s">
        <v>2603</v>
      </c>
      <c r="D18" s="298"/>
      <c r="E18" s="298"/>
      <c r="F18" s="298"/>
      <c r="G18" s="298"/>
      <c r="H18" s="312"/>
      <c r="I18" s="312"/>
      <c r="J18" s="313"/>
      <c r="K18" s="314" t="str">
        <f>IFERROR(LEFT(Справочник!$N$6,FIND(CHAR(32),Справочник!$N$6,1)-1)&amp;" "&amp;MID(Справочник!$N$6,FIND(CHAR(32),Справочник!$N$6)+1,1)&amp;"."&amp;MID(Справочник!$N$6,SEARCH(CHAR(32),Справочник!$N$6,FIND(CHAR(32),Справочник!$N$6,1)+1)+1,1)&amp;".","")</f>
        <v>Шмелёв С.В.</v>
      </c>
      <c r="L18" s="315"/>
      <c r="M18" s="177"/>
    </row>
    <row r="19" spans="1:50" ht="36" customHeight="1" x14ac:dyDescent="0.25">
      <c r="A19" s="175"/>
      <c r="B19" s="298"/>
      <c r="C19" s="298" t="s">
        <v>2604</v>
      </c>
      <c r="D19" s="298"/>
      <c r="E19" s="298"/>
      <c r="F19" s="298"/>
      <c r="G19" s="298"/>
      <c r="H19" s="298"/>
      <c r="I19" s="298"/>
      <c r="J19" s="316"/>
      <c r="K19" s="317" t="str">
        <f>IFERROR(LEFT(Справочник!$N$13,FIND(CHAR(32),Справочник!$N$13,1)-1)&amp;" "&amp;MID(Справочник!$N$13,FIND(CHAR(32),Справочник!$N$13)+1,1)&amp;"."&amp;MID(Справочник!$N$13,SEARCH(CHAR(32),Справочник!$N$13,FIND(CHAR(32),Справочник!$N$13,1)+1)+1,1)&amp;".","")</f>
        <v>Шмелёв С.В.</v>
      </c>
      <c r="L19" s="305"/>
      <c r="M19" s="177"/>
      <c r="N19" s="62"/>
      <c r="O19" s="62"/>
      <c r="P19" s="62"/>
      <c r="Q19" s="62"/>
      <c r="R19" s="62"/>
      <c r="S19" s="62"/>
      <c r="T19" s="62"/>
      <c r="U19" s="62"/>
      <c r="V19" s="62"/>
    </row>
    <row r="20" spans="1:50" s="61" customFormat="1" ht="36" customHeight="1" x14ac:dyDescent="0.25">
      <c r="A20" s="175"/>
      <c r="B20" s="298"/>
      <c r="C20" s="298" t="s">
        <v>2605</v>
      </c>
      <c r="D20" s="298"/>
      <c r="E20" s="298"/>
      <c r="F20" s="298"/>
      <c r="G20" s="298"/>
      <c r="H20" s="318"/>
      <c r="I20" s="318"/>
      <c r="J20" s="318"/>
      <c r="K20" s="317" t="str">
        <f>IFERROR(LEFT(Справочник!$N$13,FIND(CHAR(32),Справочник!$N$13,1)-1)&amp;" "&amp;MID(Справочник!$N$13,FIND(CHAR(32),Справочник!$N$13)+1,1)&amp;"."&amp;MID(Справочник!$N$13,SEARCH(CHAR(32),Справочник!$N$13,FIND(CHAR(32),Справочник!$N$13,1)+1)+1,1)&amp;".","")</f>
        <v>Шмелёв С.В.</v>
      </c>
      <c r="L20" s="305"/>
      <c r="M20" s="177"/>
      <c r="N20" s="60"/>
      <c r="O20" s="60"/>
      <c r="P20" s="60"/>
      <c r="Q20" s="60"/>
      <c r="R20" s="60"/>
      <c r="S20" s="60"/>
      <c r="T20" s="60"/>
      <c r="U20" s="60"/>
      <c r="V20" s="60"/>
    </row>
    <row r="21" spans="1:50" ht="36" customHeight="1" x14ac:dyDescent="0.25">
      <c r="A21" s="175"/>
      <c r="B21" s="298"/>
      <c r="C21" s="298" t="s">
        <v>2606</v>
      </c>
      <c r="D21" s="298"/>
      <c r="E21" s="298"/>
      <c r="F21" s="298"/>
      <c r="G21" s="298"/>
      <c r="H21" s="298"/>
      <c r="I21" s="298"/>
      <c r="J21" s="319"/>
      <c r="K21" s="317" t="str">
        <f>IFERROR(LEFT(Справочник!$N$17,FIND(CHAR(32),Справочник!$N$17,1)-1)&amp;" "&amp;MID(Справочник!$N$17,FIND(CHAR(32),Справочник!$N$17)+1,1)&amp;"."&amp;MID(Справочник!$N$17,SEARCH(CHAR(32),Справочник!$N$17,FIND(CHAR(32),Справочник!$N$17,1)+1)+1,1)&amp;".","")</f>
        <v>Фурман А.С.</v>
      </c>
      <c r="L21" s="305"/>
      <c r="M21" s="177"/>
      <c r="N21" s="62"/>
      <c r="O21" s="62"/>
      <c r="P21" s="62"/>
      <c r="Q21" s="62"/>
      <c r="R21" s="62"/>
      <c r="S21" s="62"/>
      <c r="T21" s="62"/>
      <c r="U21" s="62"/>
      <c r="V21" s="62"/>
    </row>
    <row r="22" spans="1:50" ht="36" customHeight="1" x14ac:dyDescent="0.25">
      <c r="A22" s="175"/>
      <c r="B22" s="298"/>
      <c r="C22" s="298" t="s">
        <v>2607</v>
      </c>
      <c r="D22" s="298"/>
      <c r="E22" s="298"/>
      <c r="F22" s="298"/>
      <c r="G22" s="298"/>
      <c r="H22" s="298"/>
      <c r="I22" s="298"/>
      <c r="J22" s="316"/>
      <c r="K22" s="317" t="str">
        <f>IFERROR(LEFT(Справочник!$N$18,FIND(CHAR(32),Справочник!$N$18,1)-1)&amp;" "&amp;MID(Справочник!$N$18,FIND(CHAR(32),Справочник!$N$18)+1,1)&amp;"."&amp;MID(Справочник!$N$18,SEARCH(CHAR(32),Справочник!$N$18,FIND(CHAR(32),Справочник!$N$18,1)+1)+1,1)&amp;".","")</f>
        <v>Шмелёв С.В.</v>
      </c>
      <c r="L22" s="305"/>
      <c r="M22" s="177"/>
      <c r="N22" s="62"/>
      <c r="O22" s="62"/>
      <c r="P22" s="62"/>
      <c r="Q22" s="62"/>
      <c r="R22" s="62"/>
      <c r="S22" s="62"/>
      <c r="T22" s="62"/>
      <c r="U22" s="62"/>
      <c r="V22" s="62"/>
    </row>
    <row r="23" spans="1:50" ht="36" customHeight="1" x14ac:dyDescent="0.25">
      <c r="A23" s="175"/>
      <c r="B23" s="298"/>
      <c r="C23" s="298" t="s">
        <v>2608</v>
      </c>
      <c r="D23" s="298"/>
      <c r="E23" s="298"/>
      <c r="F23" s="298"/>
      <c r="G23" s="298"/>
      <c r="H23" s="298"/>
      <c r="I23" s="318"/>
      <c r="J23" s="318"/>
      <c r="K23" s="317" t="str">
        <f>IFERROR(LEFT(Справочник!$N$19,FIND(CHAR(32),Справочник!$N$19,1)-1)&amp;" "&amp;MID(Справочник!$N$19,FIND(CHAR(32),Справочник!$N$19)+1,1)&amp;"."&amp;MID(Справочник!$N$19,SEARCH(CHAR(32),Справочник!$N$19,FIND(CHAR(32),Справочник!$N$19,1)+1)+1,1)&amp;".","")</f>
        <v>Шмелёв С.В.</v>
      </c>
      <c r="L23" s="305"/>
      <c r="M23" s="177"/>
      <c r="N23" s="62"/>
      <c r="O23" s="62"/>
      <c r="P23" s="62"/>
      <c r="Q23" s="62"/>
      <c r="R23" s="62"/>
      <c r="S23" s="62"/>
      <c r="T23" s="62"/>
      <c r="U23" s="62"/>
      <c r="V23" s="62"/>
    </row>
    <row r="24" spans="1:50" ht="36" customHeight="1" x14ac:dyDescent="0.25">
      <c r="A24" s="175"/>
      <c r="B24" s="298"/>
      <c r="C24" s="298" t="s">
        <v>2609</v>
      </c>
      <c r="D24" s="298"/>
      <c r="E24" s="298"/>
      <c r="F24" s="298"/>
      <c r="G24" s="298"/>
      <c r="H24" s="298"/>
      <c r="I24" s="316"/>
      <c r="J24" s="316"/>
      <c r="K24" s="317" t="str">
        <f>IFERROR(LEFT(Справочник!$N$20,FIND(CHAR(32),Справочник!$N$20,1)-1)&amp;" "&amp;MID(Справочник!$N$20,FIND(CHAR(32),Справочник!$N$20)+1,1)&amp;"."&amp;MID(Справочник!$N$20,SEARCH(CHAR(32),Справочник!$N$20,FIND(CHAR(32),Справочник!$N$20,1)+1)+1,1)&amp;".","")</f>
        <v>Шмелёв С.В.</v>
      </c>
      <c r="L24" s="305"/>
      <c r="M24" s="177"/>
      <c r="N24" s="62"/>
      <c r="O24" s="62"/>
      <c r="P24" s="62"/>
      <c r="Q24" s="62"/>
      <c r="R24" s="62"/>
      <c r="S24" s="62"/>
      <c r="T24" s="62"/>
      <c r="U24" s="62"/>
      <c r="V24" s="62"/>
    </row>
    <row r="25" spans="1:50" ht="36" customHeight="1" x14ac:dyDescent="0.25">
      <c r="A25" s="175"/>
      <c r="B25" s="298"/>
      <c r="C25" s="298" t="s">
        <v>2610</v>
      </c>
      <c r="D25" s="298"/>
      <c r="E25" s="298"/>
      <c r="F25" s="298"/>
      <c r="G25" s="318"/>
      <c r="H25" s="318"/>
      <c r="I25" s="318"/>
      <c r="J25" s="318"/>
      <c r="K25" s="317" t="str">
        <f>K18</f>
        <v>Шмелёв С.В.</v>
      </c>
      <c r="L25" s="305"/>
      <c r="M25" s="177"/>
      <c r="N25" s="62"/>
      <c r="O25" s="62"/>
      <c r="P25" s="62"/>
      <c r="Q25" s="62"/>
      <c r="R25" s="62"/>
      <c r="S25" s="62"/>
      <c r="T25" s="62"/>
      <c r="U25" s="62"/>
      <c r="V25" s="62"/>
    </row>
    <row r="26" spans="1:50" ht="36" customHeight="1" x14ac:dyDescent="0.25">
      <c r="A26" s="175"/>
      <c r="B26" s="175"/>
      <c r="C26" s="175" t="s">
        <v>2611</v>
      </c>
      <c r="D26" s="175"/>
      <c r="E26" s="175"/>
      <c r="F26" s="175"/>
      <c r="G26" s="175"/>
      <c r="H26" s="175"/>
      <c r="I26" s="181"/>
      <c r="J26" s="181"/>
      <c r="K26" s="182" t="s">
        <v>2899</v>
      </c>
      <c r="M26" s="175"/>
    </row>
    <row r="27" spans="1:50" ht="15.75" customHeight="1" x14ac:dyDescent="0.25">
      <c r="A27" s="175"/>
      <c r="B27" s="175"/>
      <c r="C27" s="178"/>
      <c r="D27" s="175"/>
      <c r="E27" s="175"/>
      <c r="F27" s="175"/>
      <c r="G27" s="175"/>
      <c r="H27" s="175"/>
      <c r="I27" s="175"/>
      <c r="J27" s="175"/>
      <c r="K27" s="175"/>
      <c r="L27" s="179"/>
      <c r="M27" s="179"/>
      <c r="N27" s="102"/>
      <c r="O27" s="102"/>
      <c r="P27" s="102"/>
      <c r="Q27" s="102"/>
      <c r="R27" s="102"/>
      <c r="S27" s="102"/>
      <c r="T27" s="102"/>
      <c r="U27" s="102"/>
      <c r="V27" s="102"/>
    </row>
    <row r="28" spans="1:50" ht="15.75" customHeight="1" x14ac:dyDescent="0.25">
      <c r="A28" s="175"/>
      <c r="B28" s="402" t="s">
        <v>2612</v>
      </c>
      <c r="C28" s="403"/>
      <c r="D28" s="403"/>
      <c r="E28" s="403"/>
      <c r="F28" s="403"/>
      <c r="G28" s="403"/>
      <c r="H28" s="403"/>
      <c r="I28" s="175"/>
      <c r="J28" s="175"/>
      <c r="K28" s="175"/>
      <c r="L28" s="179"/>
      <c r="M28" s="179"/>
      <c r="N28" s="102"/>
      <c r="O28" s="102"/>
      <c r="P28" s="102"/>
      <c r="Q28" s="102"/>
      <c r="R28" s="102"/>
      <c r="S28" s="102"/>
      <c r="T28" s="102"/>
      <c r="U28" s="102"/>
      <c r="V28" s="102"/>
    </row>
    <row r="29" spans="1:50" ht="20.25" customHeight="1" x14ac:dyDescent="0.25">
      <c r="A29" s="175"/>
      <c r="B29" s="175"/>
      <c r="C29" s="405" t="str">
        <f>Справочник!$M$6&amp;" "&amp;IFERROR(LEFT(Справочник!$N$6,FIND(CHAR(32),Справочник!$N$6,1)-1)&amp;" "&amp;MID(Справочник!$N$6,FIND(CHAR(32),Справочник!$N$6)+1,1)&amp;"."&amp;MID(Справочник!$N$6,SEARCH(CHAR(32),Справочник!$N$6,FIND(CHAR(32),Справочник!$N$6,1)+1)+1,1)&amp;".","")</f>
        <v xml:space="preserve"> Начальник участка "Хаптагай-Хая" Шмелёв С.В.</v>
      </c>
      <c r="D29" s="406"/>
      <c r="E29" s="406"/>
      <c r="F29" s="406"/>
      <c r="G29" s="406"/>
      <c r="H29" s="406"/>
      <c r="I29" s="406"/>
      <c r="J29" s="406"/>
      <c r="K29" s="406"/>
      <c r="L29" s="406"/>
      <c r="M29" s="175"/>
    </row>
    <row r="30" spans="1:50" x14ac:dyDescent="0.25">
      <c r="A30" s="175"/>
      <c r="B30" s="175"/>
      <c r="C30" s="404" t="s">
        <v>2587</v>
      </c>
      <c r="D30" s="403"/>
      <c r="E30" s="403"/>
      <c r="F30" s="403"/>
      <c r="G30" s="403"/>
      <c r="H30" s="403"/>
      <c r="I30" s="403"/>
      <c r="J30" s="403"/>
      <c r="K30" s="403"/>
      <c r="L30" s="403"/>
      <c r="M30" s="175"/>
    </row>
    <row r="31" spans="1:50" ht="15.75" customHeight="1" x14ac:dyDescent="0.25">
      <c r="A31" s="175"/>
      <c r="B31" s="175"/>
      <c r="C31" s="179" t="str">
        <f>IF(Параметры!$C$9&lt;&gt;"",""" "&amp;DAY(Параметры!$C$9)&amp;" """)</f>
        <v>" 25 "</v>
      </c>
      <c r="D31" s="183" t="str">
        <f>LOOKUP(MONTH(Параметры!$C$9),{1;2;3;4;5;6;7;8;9;10;11;12},{"января";"февраля";"марта";"апреля";"мая";"июня";"июля";"августа";"сентября";"октября";"ноября";"декабря"})</f>
        <v>мая</v>
      </c>
      <c r="E31" s="180" t="str">
        <f>YEAR(Параметры!$C$9)&amp;" г."</f>
        <v>2026 г.</v>
      </c>
      <c r="F31" s="175"/>
      <c r="G31" s="175"/>
      <c r="H31" s="175"/>
      <c r="I31" s="175"/>
      <c r="J31" s="175"/>
      <c r="K31" s="175"/>
      <c r="L31" s="175"/>
      <c r="M31" s="175"/>
    </row>
    <row r="32" spans="1:50" ht="21.75" customHeight="1" x14ac:dyDescent="0.25">
      <c r="A32" s="175"/>
      <c r="B32" s="175"/>
      <c r="C32" s="178"/>
      <c r="D32" s="175"/>
      <c r="E32" s="175"/>
      <c r="F32" s="175"/>
      <c r="G32" s="175"/>
      <c r="H32" s="175"/>
      <c r="I32" s="175"/>
      <c r="J32" s="175"/>
      <c r="K32" s="175"/>
      <c r="L32" s="179"/>
      <c r="M32" s="179"/>
      <c r="N32" s="102"/>
      <c r="O32" s="102"/>
      <c r="P32" s="102"/>
      <c r="Q32" s="102"/>
      <c r="R32" s="102"/>
      <c r="S32" s="102"/>
      <c r="T32" s="102"/>
      <c r="U32" s="102"/>
      <c r="V32" s="102"/>
    </row>
    <row r="33" spans="1:22" ht="15.75" customHeight="1" x14ac:dyDescent="0.25">
      <c r="A33" s="175"/>
      <c r="B33" s="402" t="s">
        <v>2613</v>
      </c>
      <c r="C33" s="403"/>
      <c r="D33" s="403"/>
      <c r="E33" s="403"/>
      <c r="F33" s="403"/>
      <c r="G33" s="403"/>
      <c r="H33" s="403"/>
      <c r="I33" s="175"/>
      <c r="J33" s="175"/>
      <c r="K33" s="175"/>
      <c r="L33" s="179"/>
      <c r="M33" s="179"/>
      <c r="N33" s="102"/>
      <c r="O33" s="102"/>
      <c r="P33" s="102"/>
      <c r="Q33" s="102"/>
      <c r="R33" s="102"/>
      <c r="S33" s="102"/>
      <c r="T33" s="102"/>
      <c r="U33" s="102"/>
      <c r="V33" s="102"/>
    </row>
    <row r="34" spans="1:22" ht="15.75" customHeight="1" x14ac:dyDescent="0.25">
      <c r="A34" s="175"/>
      <c r="B34" s="175"/>
      <c r="C34" s="405" t="str">
        <f>Справочник!$M$5&amp;" "&amp;IFERROR(LEFT(Справочник!$N$5,FIND(CHAR(32),Справочник!$N$5,1)-1)&amp;" "&amp;MID(Справочник!$N$5,FIND(CHAR(32),Справочник!$N$5)+1,1)&amp;"."&amp;MID(Справочник!$N$5,SEARCH(CHAR(32),Справочник!$N$5,FIND(CHAR(32),Справочник!$N$5,1)+1)+1,1)&amp;".","")</f>
        <v>Главный инженер Парамонов В.И.</v>
      </c>
      <c r="D34" s="406"/>
      <c r="E34" s="406"/>
      <c r="F34" s="406"/>
      <c r="G34" s="406"/>
      <c r="H34" s="406"/>
      <c r="I34" s="406"/>
      <c r="J34" s="406"/>
      <c r="K34" s="406"/>
      <c r="L34" s="406"/>
      <c r="M34" s="175"/>
    </row>
    <row r="35" spans="1:22" x14ac:dyDescent="0.25">
      <c r="A35" s="175"/>
      <c r="B35" s="175"/>
      <c r="C35" s="404" t="s">
        <v>2587</v>
      </c>
      <c r="D35" s="403"/>
      <c r="E35" s="403"/>
      <c r="F35" s="403"/>
      <c r="G35" s="403"/>
      <c r="H35" s="403"/>
      <c r="I35" s="403"/>
      <c r="J35" s="403"/>
      <c r="K35" s="403"/>
      <c r="L35" s="403"/>
      <c r="M35" s="175"/>
    </row>
    <row r="36" spans="1:22" ht="15.75" customHeight="1" x14ac:dyDescent="0.25">
      <c r="A36" s="175"/>
      <c r="B36" s="175"/>
      <c r="C36" s="179" t="str">
        <f>C31</f>
        <v>" 25 "</v>
      </c>
      <c r="D36" s="183" t="str">
        <f>D31</f>
        <v>мая</v>
      </c>
      <c r="E36" s="180" t="str">
        <f>E31</f>
        <v>2026 г.</v>
      </c>
      <c r="F36" s="175"/>
      <c r="G36" s="175"/>
      <c r="H36" s="175"/>
      <c r="I36" s="175"/>
      <c r="J36" s="175"/>
      <c r="K36" s="175"/>
      <c r="L36" s="175"/>
      <c r="M36" s="175"/>
    </row>
    <row r="37" spans="1:22" ht="15.75" customHeight="1" x14ac:dyDescent="0.25">
      <c r="A37" s="175"/>
      <c r="B37" s="175"/>
      <c r="C37" s="177"/>
      <c r="D37" s="175"/>
      <c r="E37" s="175"/>
      <c r="F37" s="175"/>
      <c r="G37" s="175"/>
      <c r="H37" s="175"/>
      <c r="I37" s="175"/>
      <c r="J37" s="175"/>
      <c r="K37" s="175"/>
      <c r="L37" s="175"/>
      <c r="M37" s="175"/>
    </row>
    <row r="38" spans="1:22" ht="15.75" customHeight="1" x14ac:dyDescent="0.25">
      <c r="A38" s="175"/>
      <c r="B38" s="175"/>
      <c r="C38" s="177"/>
      <c r="D38" s="175"/>
      <c r="E38" s="175"/>
      <c r="F38" s="175"/>
      <c r="G38" s="175"/>
      <c r="H38" s="175"/>
      <c r="I38" s="175"/>
      <c r="J38" s="175"/>
      <c r="K38" s="175"/>
      <c r="L38" s="175"/>
      <c r="M38" s="175"/>
    </row>
    <row r="39" spans="1:22" hidden="1" x14ac:dyDescent="0.25"/>
    <row r="40" spans="1:22" hidden="1" x14ac:dyDescent="0.25"/>
    <row r="41" spans="1:22" hidden="1" x14ac:dyDescent="0.25"/>
    <row r="42" spans="1:22" hidden="1" x14ac:dyDescent="0.25"/>
    <row r="43" spans="1:22" hidden="1" x14ac:dyDescent="0.25"/>
    <row r="44" spans="1:22" hidden="1" x14ac:dyDescent="0.25"/>
    <row r="45" spans="1:22" hidden="1" x14ac:dyDescent="0.25"/>
    <row r="46" spans="1:22" hidden="1" x14ac:dyDescent="0.25"/>
    <row r="47" spans="1:22" hidden="1" x14ac:dyDescent="0.25"/>
    <row r="48" spans="1:22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</sheetData>
  <mergeCells count="20">
    <mergeCell ref="C35:L35"/>
    <mergeCell ref="C29:L29"/>
    <mergeCell ref="B28:H28"/>
    <mergeCell ref="E7:L7"/>
    <mergeCell ref="B15:L15"/>
    <mergeCell ref="I10:K10"/>
    <mergeCell ref="J13:K13"/>
    <mergeCell ref="H14:K14"/>
    <mergeCell ref="I5:K5"/>
    <mergeCell ref="B2:L2"/>
    <mergeCell ref="C30:L30"/>
    <mergeCell ref="C34:L34"/>
    <mergeCell ref="E11:L11"/>
    <mergeCell ref="B4:L4"/>
    <mergeCell ref="B8:D8"/>
    <mergeCell ref="B33:H33"/>
    <mergeCell ref="E8:L8"/>
    <mergeCell ref="C3:K3"/>
    <mergeCell ref="H6:K6"/>
    <mergeCell ref="I9:K9"/>
  </mergeCells>
  <pageMargins left="0.59055118110236227" right="0.39370078740157483" top="0.35433070866141736" bottom="0.35433070866141736" header="0.31496062992125984" footer="0.31496062992125984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3">
    <tabColor theme="6" tint="0.59999389629810485"/>
  </sheetPr>
  <dimension ref="A1:AA58"/>
  <sheetViews>
    <sheetView showGridLines="0" view="pageLayout" topLeftCell="B7" zoomScaleNormal="100" zoomScaleSheetLayoutView="100" workbookViewId="0">
      <selection activeCell="B43" sqref="B43:I43"/>
    </sheetView>
  </sheetViews>
  <sheetFormatPr defaultColWidth="0" defaultRowHeight="15" customHeight="1" zeroHeight="1" x14ac:dyDescent="0.25"/>
  <cols>
    <col min="1" max="1" width="1.28515625" style="77" hidden="1" customWidth="1"/>
    <col min="2" max="2" width="9.140625" style="77" customWidth="1"/>
    <col min="3" max="3" width="10.140625" style="77" customWidth="1"/>
    <col min="4" max="4" width="11.85546875" style="77" customWidth="1"/>
    <col min="5" max="5" width="10.140625" style="77" customWidth="1"/>
    <col min="6" max="6" width="14" style="77" customWidth="1"/>
    <col min="7" max="7" width="11.28515625" style="77" customWidth="1"/>
    <col min="8" max="8" width="12.28515625" style="77" customWidth="1"/>
    <col min="9" max="9" width="12.42578125" style="77" customWidth="1"/>
    <col min="10" max="27" width="0" style="77" hidden="1" customWidth="1"/>
    <col min="28" max="16384" width="9.140625" style="77" hidden="1"/>
  </cols>
  <sheetData>
    <row r="1" spans="1:13" hidden="1" x14ac:dyDescent="0.25">
      <c r="A1" s="141"/>
      <c r="B1" s="141"/>
      <c r="C1" s="141"/>
      <c r="D1" s="141"/>
      <c r="E1" s="141"/>
      <c r="F1" s="141"/>
      <c r="G1" s="141"/>
      <c r="H1" s="141"/>
      <c r="I1" s="141"/>
    </row>
    <row r="2" spans="1:13" hidden="1" x14ac:dyDescent="0.25">
      <c r="A2" s="141"/>
      <c r="B2" s="141"/>
      <c r="C2" s="141"/>
      <c r="D2" s="141"/>
      <c r="E2" s="141"/>
      <c r="F2" s="141"/>
      <c r="G2" s="141"/>
      <c r="H2" s="141"/>
      <c r="I2" s="141"/>
    </row>
    <row r="3" spans="1:13" hidden="1" x14ac:dyDescent="0.25">
      <c r="A3" s="141"/>
      <c r="B3" s="141"/>
      <c r="C3" s="141"/>
      <c r="D3" s="141"/>
      <c r="E3" s="141"/>
      <c r="F3" s="141"/>
      <c r="G3" s="141"/>
      <c r="H3" s="141"/>
      <c r="I3" s="141"/>
    </row>
    <row r="4" spans="1:13" hidden="1" x14ac:dyDescent="0.25">
      <c r="A4" s="141"/>
      <c r="B4" s="141"/>
      <c r="C4" s="141"/>
      <c r="D4" s="141"/>
      <c r="E4" s="141"/>
      <c r="F4" s="141"/>
      <c r="G4" s="141"/>
      <c r="H4" s="141"/>
      <c r="I4" s="141"/>
    </row>
    <row r="5" spans="1:13" hidden="1" x14ac:dyDescent="0.25">
      <c r="A5" s="141"/>
      <c r="B5" s="141"/>
      <c r="C5" s="141"/>
      <c r="D5" s="141"/>
      <c r="E5" s="141"/>
      <c r="F5" s="141"/>
      <c r="G5" s="141"/>
      <c r="H5" s="141"/>
      <c r="I5" s="141"/>
    </row>
    <row r="6" spans="1:13" hidden="1" x14ac:dyDescent="0.25">
      <c r="A6" s="141"/>
      <c r="B6" s="141"/>
      <c r="C6" s="141"/>
      <c r="D6" s="141"/>
      <c r="E6" s="141"/>
      <c r="F6" s="141"/>
      <c r="G6" s="141"/>
      <c r="H6" s="141"/>
      <c r="I6" s="141"/>
    </row>
    <row r="7" spans="1:13" ht="13.5" customHeight="1" x14ac:dyDescent="0.25">
      <c r="A7" s="141"/>
      <c r="B7" s="141"/>
      <c r="C7" s="141"/>
      <c r="D7" s="141"/>
      <c r="E7" s="141"/>
      <c r="F7" s="141"/>
      <c r="G7" s="141"/>
      <c r="H7" s="141"/>
      <c r="I7" s="141"/>
    </row>
    <row r="8" spans="1:13" ht="123.75" customHeight="1" x14ac:dyDescent="0.25">
      <c r="A8" s="141"/>
      <c r="B8" s="141"/>
      <c r="C8" s="141"/>
      <c r="D8" s="141"/>
      <c r="E8" s="141"/>
      <c r="F8" s="141"/>
      <c r="G8" s="141"/>
      <c r="H8" s="141"/>
      <c r="I8" s="141"/>
    </row>
    <row r="9" spans="1:13" ht="42.75" customHeight="1" x14ac:dyDescent="0.25">
      <c r="A9" s="141"/>
      <c r="B9" s="354" t="s">
        <v>2614</v>
      </c>
      <c r="C9" s="349"/>
      <c r="D9" s="349"/>
      <c r="E9" s="349"/>
      <c r="F9" s="349"/>
      <c r="G9" s="349"/>
      <c r="H9" s="349"/>
      <c r="I9" s="349"/>
    </row>
    <row r="10" spans="1:13" ht="15.75" customHeight="1" x14ac:dyDescent="0.25">
      <c r="A10" s="141"/>
      <c r="B10" s="186" t="str">
        <f>"от  "&amp;IF(Параметры!$C$9&lt;&gt;"",""" "&amp;DAY(Параметры!$C$9)&amp;" """)&amp;" "&amp;IF(Параметры!$C$9=0,"",LOOKUP(MONTH(Параметры!$C$9),{1;2;3;4;5;6;7;8;9;10;11;12},{"января";"февраля";"марта";"апреля";"мая";"июня";"июля";"августа";"сентября";"октября";"ноября";"декабря"}))&amp;" "&amp;YEAR(Параметры!$C$9)&amp;" г."</f>
        <v>от  " 25 " мая 2026 г.</v>
      </c>
      <c r="C10" s="141"/>
      <c r="D10" s="174"/>
      <c r="E10" s="172"/>
      <c r="F10" s="141"/>
      <c r="G10" s="141"/>
      <c r="H10" s="141"/>
      <c r="I10" s="187" t="s">
        <v>2615</v>
      </c>
      <c r="J10" s="44"/>
      <c r="K10" s="44"/>
    </row>
    <row r="11" spans="1:13" ht="10.5" customHeight="1" x14ac:dyDescent="0.25">
      <c r="A11" s="141"/>
      <c r="B11" s="152"/>
      <c r="C11" s="141"/>
      <c r="D11" s="141"/>
      <c r="E11" s="141"/>
      <c r="F11" s="141"/>
      <c r="G11" s="141"/>
      <c r="H11" s="141"/>
      <c r="I11" s="141"/>
    </row>
    <row r="12" spans="1:13" ht="15.75" customHeight="1" x14ac:dyDescent="0.25">
      <c r="A12" s="141"/>
      <c r="B12" s="418" t="s">
        <v>2616</v>
      </c>
      <c r="C12" s="349"/>
      <c r="D12" s="349"/>
      <c r="E12" s="349"/>
      <c r="F12" s="151"/>
      <c r="G12" s="151"/>
      <c r="H12" s="151"/>
      <c r="I12" s="151"/>
      <c r="M12" s="95"/>
    </row>
    <row r="13" spans="1:13" ht="15" customHeight="1" x14ac:dyDescent="0.25">
      <c r="A13" s="141"/>
      <c r="B13" s="160" t="str">
        <f>IF(Параметры!$C$9&lt;&gt;"",""" "&amp;DAY(Параметры!$C$9)&amp;" """)</f>
        <v>" 25 "</v>
      </c>
      <c r="C13" s="160" t="str">
        <f>LOOKUP(MONTH(Параметры!$C$9),{1;2;3;4;5;6;7;8;9;10;11;12},{"января";"февраля";"марта";"апреля";"мая";"июня";"июля";"августа";"сентября";"октября";"ноября";"декабря"})</f>
        <v>мая</v>
      </c>
      <c r="D13" s="160" t="str">
        <f>YEAR(Параметры!$C$9)&amp;" г."</f>
        <v>2026 г.</v>
      </c>
      <c r="E13" s="188"/>
      <c r="F13" s="188"/>
      <c r="G13" s="188"/>
      <c r="H13" s="188"/>
      <c r="I13" s="188"/>
    </row>
    <row r="14" spans="1:13" ht="14.25" customHeight="1" x14ac:dyDescent="0.25">
      <c r="A14" s="141"/>
      <c r="B14" s="121" t="str">
        <f>"на месторождении "&amp;Параметры!$C$5</f>
        <v>на месторождении Хаптагай-Хая</v>
      </c>
      <c r="C14" s="141"/>
      <c r="D14" s="141"/>
      <c r="E14" s="141"/>
      <c r="F14" s="141"/>
      <c r="G14" s="141"/>
      <c r="H14" s="141"/>
      <c r="I14" s="141"/>
    </row>
    <row r="15" spans="1:13" ht="15.75" customHeight="1" x14ac:dyDescent="0.25">
      <c r="A15" s="141"/>
      <c r="B15" s="121" t="s">
        <v>2617</v>
      </c>
      <c r="C15" s="45" t="str">
        <f>Параметры!$C$7</f>
        <v xml:space="preserve"> П-10; С1-13б</v>
      </c>
      <c r="D15" s="141"/>
      <c r="E15" s="141"/>
      <c r="F15" s="141"/>
      <c r="G15" s="141"/>
      <c r="H15" s="141"/>
      <c r="I15" s="141"/>
    </row>
    <row r="16" spans="1:13" ht="8.25" customHeight="1" x14ac:dyDescent="0.25">
      <c r="A16" s="141"/>
      <c r="B16" s="161"/>
      <c r="C16" s="141"/>
      <c r="D16" s="141"/>
      <c r="E16" s="141"/>
      <c r="F16" s="141"/>
      <c r="G16" s="141"/>
      <c r="H16" s="141"/>
      <c r="I16" s="141"/>
    </row>
    <row r="17" spans="1:24" ht="18.75" customHeight="1" x14ac:dyDescent="0.25">
      <c r="A17" s="141"/>
      <c r="B17" s="353" t="s">
        <v>2618</v>
      </c>
      <c r="C17" s="349"/>
      <c r="D17" s="349"/>
      <c r="E17" s="349"/>
      <c r="F17" s="349"/>
      <c r="G17" s="349"/>
      <c r="H17" s="349"/>
      <c r="I17" s="349"/>
    </row>
    <row r="18" spans="1:24" ht="15.75" customHeight="1" x14ac:dyDescent="0.25">
      <c r="A18" s="141"/>
      <c r="B18" s="358" t="str">
        <f>"россыпного золота месторождение  "&amp;Параметры!$C$5&amp;", блок "&amp;Параметры!$C$7&amp;" "&amp;IFERROR(VLOOKUP(Параметры!$C$5,Справочник!$J$3:$K$16,2,0),0)&amp;","</f>
        <v>россыпного золота месторождение  Хаптагай-Хая, блок  П-10; С1-13б Прииск "Эрел",</v>
      </c>
      <c r="C18" s="349"/>
      <c r="D18" s="349"/>
      <c r="E18" s="349"/>
      <c r="F18" s="349"/>
      <c r="G18" s="349"/>
      <c r="H18" s="349"/>
      <c r="I18" s="349"/>
    </row>
    <row r="19" spans="1:24" ht="15.75" customHeight="1" x14ac:dyDescent="0.25">
      <c r="A19" s="141"/>
      <c r="B19" s="189" t="str">
        <f>B13</f>
        <v>" 25 "</v>
      </c>
      <c r="C19" s="189" t="str">
        <f>C13</f>
        <v>мая</v>
      </c>
      <c r="D19" s="189" t="str">
        <f>D13</f>
        <v>2026 г.</v>
      </c>
      <c r="E19" s="184" t="str">
        <f>"c "&amp;Параметры!$C$15</f>
        <v>c 18-00</v>
      </c>
      <c r="F19" s="184" t="str">
        <f>"до "&amp;Параметры!$C$17</f>
        <v>до 18-25</v>
      </c>
      <c r="G19" s="354" t="s">
        <v>2619</v>
      </c>
      <c r="H19" s="354"/>
      <c r="I19" s="354"/>
    </row>
    <row r="20" spans="1:24" ht="15.75" customHeight="1" x14ac:dyDescent="0.25">
      <c r="A20" s="141"/>
      <c r="B20" s="189"/>
      <c r="C20" s="189"/>
      <c r="D20" s="189"/>
      <c r="E20" s="189"/>
      <c r="F20" s="189"/>
      <c r="G20" s="151"/>
      <c r="H20" s="151"/>
      <c r="I20" s="151"/>
    </row>
    <row r="21" spans="1:24" ht="15.75" customHeight="1" x14ac:dyDescent="0.25">
      <c r="A21" s="141"/>
      <c r="B21" s="358" t="s">
        <v>2620</v>
      </c>
      <c r="C21" s="349"/>
      <c r="D21" s="349"/>
      <c r="E21" s="349"/>
      <c r="F21" s="349"/>
      <c r="G21" s="349"/>
      <c r="H21" s="349"/>
      <c r="I21" s="349"/>
    </row>
    <row r="22" spans="1:24" ht="29.25" customHeight="1" x14ac:dyDescent="0.25">
      <c r="A22" s="347" t="s">
        <v>2621</v>
      </c>
      <c r="B22" s="349"/>
      <c r="C22" s="349"/>
      <c r="D22" s="349"/>
      <c r="E22" s="349"/>
      <c r="F22" s="349"/>
      <c r="G22" s="349"/>
      <c r="H22" s="349"/>
      <c r="I22" s="349"/>
      <c r="N22" s="359"/>
      <c r="O22" s="342"/>
      <c r="P22" s="342"/>
      <c r="Q22" s="342"/>
      <c r="R22" s="342"/>
      <c r="S22" s="342"/>
      <c r="T22" s="342"/>
      <c r="U22" s="342"/>
      <c r="V22" s="342"/>
      <c r="W22" s="342"/>
      <c r="X22" s="342"/>
    </row>
    <row r="23" spans="1:24" ht="32.1" customHeight="1" x14ac:dyDescent="0.25">
      <c r="A23" s="141"/>
      <c r="B23" s="413" t="s">
        <v>2622</v>
      </c>
      <c r="C23" s="413"/>
      <c r="D23" s="413"/>
      <c r="E23" s="413"/>
      <c r="F23" s="194" t="str">
        <f>C15</f>
        <v xml:space="preserve"> П-10; С1-13б</v>
      </c>
      <c r="G23" s="353" t="s">
        <v>2867</v>
      </c>
      <c r="H23" s="353"/>
      <c r="I23" s="353"/>
      <c r="L23" s="94"/>
      <c r="M23" s="94"/>
      <c r="N23" s="94"/>
      <c r="O23" s="94"/>
      <c r="P23" s="94"/>
      <c r="Q23" s="94"/>
      <c r="R23" s="94"/>
      <c r="S23" s="94"/>
      <c r="T23" s="94"/>
      <c r="U23" s="94"/>
      <c r="V23" s="94"/>
    </row>
    <row r="24" spans="1:24" ht="15.75" customHeight="1" x14ac:dyDescent="0.25">
      <c r="A24" s="141"/>
      <c r="B24" s="353" t="s">
        <v>2868</v>
      </c>
      <c r="C24" s="349"/>
      <c r="D24" s="349"/>
      <c r="E24" s="349"/>
      <c r="F24" s="349"/>
      <c r="G24" s="190"/>
      <c r="H24" s="190"/>
      <c r="I24" s="190"/>
      <c r="L24" s="94"/>
      <c r="M24" s="94"/>
      <c r="N24" s="94"/>
      <c r="O24" s="94"/>
      <c r="P24" s="94"/>
      <c r="Q24" s="94"/>
      <c r="R24" s="94"/>
      <c r="S24" s="94"/>
      <c r="T24" s="94"/>
      <c r="U24" s="94"/>
      <c r="V24" s="94"/>
    </row>
    <row r="25" spans="1:24" ht="24.95" customHeight="1" x14ac:dyDescent="0.25">
      <c r="A25" s="141"/>
      <c r="B25" s="414" t="s">
        <v>2866</v>
      </c>
      <c r="C25" s="414"/>
      <c r="D25" s="414"/>
      <c r="E25" s="414"/>
      <c r="F25" s="414"/>
      <c r="G25" s="195" t="str">
        <f>C15</f>
        <v xml:space="preserve"> П-10; С1-13б</v>
      </c>
      <c r="H25" s="191" t="s">
        <v>2623</v>
      </c>
      <c r="I25" s="141"/>
    </row>
    <row r="26" spans="1:24" ht="15.75" customHeight="1" x14ac:dyDescent="0.25">
      <c r="A26" s="141"/>
      <c r="B26" s="358" t="str">
        <f>Справочник!$M$6&amp;" "&amp;IFERROR(LEFT(Справочник!$N$6,FIND(CHAR(32),Справочник!$N$6,1)-1)&amp;" "&amp;MID(Справочник!$N$6,FIND(CHAR(32),Справочник!$N$6)+1,1)&amp;"."&amp;MID(Справочник!$N$6,SEARCH(CHAR(32),Справочник!$N$6,FIND(CHAR(32),Справочник!$N$6,1)+1)+1,1)&amp;".","")</f>
        <v xml:space="preserve"> Начальник участка "Хаптагай-Хая" Шмелёв С.В.</v>
      </c>
      <c r="C26" s="349"/>
      <c r="D26" s="349"/>
      <c r="E26" s="349"/>
      <c r="F26" s="349"/>
      <c r="G26" s="349"/>
      <c r="H26" s="349"/>
      <c r="I26" s="349"/>
      <c r="K26" s="95"/>
    </row>
    <row r="27" spans="1:24" ht="37.5" customHeight="1" x14ac:dyDescent="0.25">
      <c r="A27" s="141"/>
      <c r="B27" s="353" t="str">
        <f>"3.      Ответственность  за вывод людей за пределы  опасной зоны взрывных работ (1000 метров по проекту) возложить на:  "&amp;Справочник!$M$13&amp;" "&amp;IFERROR(LEFT(Справочник!$N$13,FIND(CHAR(32),Справочник!$N$13,1)-1)&amp;" "&amp;MID(Справочник!$N$13,FIND(CHAR(32),Справочник!$N$13)+1,1)&amp;"."&amp;MID(Справочник!$N$13,SEARCH(CHAR(32),Справочник!$N$13,FIND(CHAR(32),Справочник!$N$13,1)+1)+1,1)&amp;".","")</f>
        <v>3.      Ответственность  за вывод людей за пределы  опасной зоны взрывных работ (1000 метров по проекту) возложить на:   Начальник участка "Хаптагай-Хая" Шмелёв С.В.</v>
      </c>
      <c r="C27" s="353"/>
      <c r="D27" s="353"/>
      <c r="E27" s="353"/>
      <c r="F27" s="353"/>
      <c r="G27" s="353"/>
      <c r="H27" s="353"/>
      <c r="I27" s="353"/>
    </row>
    <row r="28" spans="1:24" ht="29.25" customHeight="1" x14ac:dyDescent="0.25">
      <c r="A28" s="141"/>
      <c r="B28" s="397" t="str">
        <f>"4.      Ответственность за вывод техники за пределы опасной зоны (500 метров по проекту) возложить на:  "&amp; Справочник!$M$18&amp;" "&amp;IFERROR(LEFT(Справочник!$N$18,FIND(CHAR(32),Справочник!$N$18,1)-1)&amp;" "&amp;MID(Справочник!$N$18,FIND(CHAR(32),Справочник!$N$18)+1,1)&amp;"."&amp;MID(Справочник!$N$18,SEARCH(CHAR(32),Справочник!$N$18,FIND(CHAR(32),Справочник!$N$18,1)+1)+1,1)&amp;".","")&amp;"."</f>
        <v>4.      Ответственность за вывод техники за пределы опасной зоны (500 метров по проекту) возложить на:   Начальник участка "Хаптагай-Хая" Шмелёв С.В..</v>
      </c>
      <c r="C28" s="397"/>
      <c r="D28" s="397"/>
      <c r="E28" s="397"/>
      <c r="F28" s="397"/>
      <c r="G28" s="397"/>
      <c r="H28" s="397"/>
      <c r="I28" s="397"/>
    </row>
    <row r="29" spans="1:24" ht="30.75" customHeight="1" x14ac:dyDescent="0.25">
      <c r="A29" s="141"/>
      <c r="B29" s="417" t="s">
        <v>2624</v>
      </c>
      <c r="C29" s="417"/>
      <c r="D29" s="417"/>
      <c r="E29" s="417"/>
      <c r="F29" s="417"/>
      <c r="G29" s="417"/>
      <c r="H29" s="417"/>
      <c r="I29" s="417"/>
    </row>
    <row r="30" spans="1:24" ht="18" customHeight="1" x14ac:dyDescent="0.25">
      <c r="A30" s="141"/>
      <c r="B30" s="397" t="str">
        <f>B26</f>
        <v xml:space="preserve"> Начальник участка "Хаптагай-Хая" Шмелёв С.В.</v>
      </c>
      <c r="C30" s="394"/>
      <c r="D30" s="394"/>
      <c r="E30" s="394"/>
      <c r="F30" s="394"/>
      <c r="G30" s="394"/>
      <c r="H30" s="394"/>
      <c r="I30" s="394"/>
    </row>
    <row r="31" spans="1:24" ht="15.75" customHeight="1" x14ac:dyDescent="0.25">
      <c r="A31" s="141"/>
      <c r="B31" s="397" t="str">
        <f>"6.      Взрывником назначить: "&amp; Справочник!$M$17&amp;" "&amp;IFERROR(LEFT(Справочник!$N$17,FIND(CHAR(32),Справочник!$N$17,1)-1)&amp;" "&amp;MID(Справочник!$N$17,FIND(CHAR(32),Справочник!$N$17)+1,1)&amp;"."&amp;MID(Справочник!$N$17,SEARCH(CHAR(32),Справочник!$N$17,FIND(CHAR(32),Справочник!$N$17,1)+1)+1,1)&amp;".","")</f>
        <v>6.      Взрывником назначить: Старший взрывник Фурман А.С.</v>
      </c>
      <c r="C31" s="397"/>
      <c r="D31" s="397"/>
      <c r="E31" s="397"/>
      <c r="F31" s="397"/>
      <c r="G31" s="397"/>
      <c r="H31" s="397"/>
      <c r="I31" s="397"/>
    </row>
    <row r="32" spans="1:24" ht="48" customHeight="1" x14ac:dyDescent="0.25">
      <c r="A32" s="141"/>
      <c r="B32" s="415" t="s">
        <v>2625</v>
      </c>
      <c r="C32" s="415"/>
      <c r="D32" s="415"/>
      <c r="E32" s="415"/>
      <c r="F32" s="415"/>
      <c r="G32" s="415"/>
      <c r="H32" s="415"/>
      <c r="I32" s="415"/>
    </row>
    <row r="33" spans="1:9" ht="15.75" customHeight="1" x14ac:dyDescent="0.25">
      <c r="A33" s="141"/>
      <c r="B33" s="416" t="s">
        <v>2626</v>
      </c>
      <c r="C33" s="416"/>
      <c r="D33" s="416"/>
      <c r="E33" s="416"/>
      <c r="F33" s="416"/>
      <c r="G33" s="416"/>
      <c r="H33" s="416"/>
      <c r="I33" s="416"/>
    </row>
    <row r="34" spans="1:9" ht="15.75" customHeight="1" x14ac:dyDescent="0.25">
      <c r="A34" s="141"/>
      <c r="B34" s="393" t="str">
        <f>'5'!D19</f>
        <v xml:space="preserve"> Начальник участка "Хаптагай-Хая" Шмелёв С.В.</v>
      </c>
      <c r="C34" s="393"/>
      <c r="D34" s="393"/>
      <c r="E34" s="393"/>
      <c r="F34" s="393"/>
      <c r="G34" s="393"/>
      <c r="H34" s="393"/>
      <c r="I34" s="393"/>
    </row>
    <row r="35" spans="1:9" ht="32.25" customHeight="1" x14ac:dyDescent="0.25">
      <c r="A35" s="141"/>
      <c r="B35" s="417" t="s">
        <v>2627</v>
      </c>
      <c r="C35" s="417"/>
      <c r="D35" s="417"/>
      <c r="E35" s="304" t="str">
        <f>"'' "&amp;DAY(Параметры!$C$9)&amp;" ''"</f>
        <v>'' 25 ''</v>
      </c>
      <c r="F35" s="304" t="str">
        <f>LOOKUP(MONTH(Параметры!$C$9),{1;2;3;4;5;6;7;8;9;10;11;12},{"января";"февраля";"марта";"апреля";"мая";"июня";"июля";"августа";"сентября";"октября";"ноября";"декабря"})</f>
        <v>мая</v>
      </c>
      <c r="G35" s="304" t="str">
        <f>YEAR(Параметры!$C$9)&amp;" г."</f>
        <v>2026 г.</v>
      </c>
      <c r="H35" s="304" t="str">
        <f>"c "&amp;Параметры!$C$11</f>
        <v>c 07-00</v>
      </c>
      <c r="I35" s="304" t="str">
        <f>"до "&amp;Параметры!$C$13</f>
        <v>до 17-00</v>
      </c>
    </row>
    <row r="36" spans="1:9" ht="15.75" customHeight="1" x14ac:dyDescent="0.25">
      <c r="A36" s="141"/>
      <c r="B36" s="358" t="s">
        <v>2628</v>
      </c>
      <c r="C36" s="358"/>
      <c r="D36" s="358"/>
      <c r="E36" s="358"/>
      <c r="F36" s="358"/>
      <c r="G36" s="358"/>
      <c r="H36" s="358"/>
      <c r="I36" s="358"/>
    </row>
    <row r="37" spans="1:9" ht="21" customHeight="1" x14ac:dyDescent="0.25">
      <c r="A37" s="141"/>
      <c r="B37" s="188" t="s">
        <v>2629</v>
      </c>
      <c r="C37" s="188"/>
      <c r="D37" s="188"/>
      <c r="E37" s="184" t="str">
        <f>"'' "&amp;DAY(Параметры!$C$9)&amp;" ''"</f>
        <v>'' 25 ''</v>
      </c>
      <c r="F37" s="184" t="str">
        <f>LOOKUP(MONTH(Параметры!$C$9),{1;2;3;4;5;6;7;8;9;10;11;12},{"января";"февраля";"марта";"апреля";"мая";"июня";"июля";"августа";"сентября";"октября";"ноября";"декабря"})</f>
        <v>мая</v>
      </c>
      <c r="G37" s="184" t="str">
        <f>YEAR(Параметры!$C$9)&amp;" г."</f>
        <v>2026 г.</v>
      </c>
      <c r="H37" s="184" t="str">
        <f>"c "&amp;Параметры!$C$15</f>
        <v>c 18-00</v>
      </c>
      <c r="I37" s="184" t="str">
        <f>"до "&amp;Параметры!$C$17</f>
        <v>до 18-25</v>
      </c>
    </row>
    <row r="38" spans="1:9" ht="57.75" customHeight="1" x14ac:dyDescent="0.25">
      <c r="A38" s="141"/>
      <c r="B38" s="353" t="str">
        <f>"11.  Оповещение ответственного руководителя взрывных работ "&amp;Параметры!$C$3&amp;" об окончании взрывных работ или изменениях  даты и времени взрыва, с объяснением причин, возложить, на:  ответственного руководителя ВР "&amp;B26</f>
        <v>11.  Оповещение ответственного руководителя взрывных работ АО "Поиск Золото" об окончании взрывных работ или изменениях  даты и времени взрыва, с объяснением причин, возложить, на:  ответственного руководителя ВР  Начальник участка "Хаптагай-Хая" Шмелёв С.В.</v>
      </c>
      <c r="C38" s="353"/>
      <c r="D38" s="353"/>
      <c r="E38" s="353"/>
      <c r="F38" s="353"/>
      <c r="G38" s="353"/>
      <c r="H38" s="353"/>
      <c r="I38" s="353"/>
    </row>
    <row r="39" spans="1:9" ht="51" customHeight="1" x14ac:dyDescent="0.25">
      <c r="A39" s="141"/>
      <c r="B39" s="353" t="str">
        <f>"12. Оповещение диспетчерской службы Зонального центра и Якутского районного центра единой системы организации воздушного движения о сроках и времени проведения массового взрыва   возложить на: "&amp;Справочник!P11</f>
        <v xml:space="preserve">12. Оповещение диспетчерской службы Зонального центра и Якутского районного центра единой системы организации воздушного движения о сроках и времени проведения массового взрыва   возложить на: Инженер ОТ и ПБ Сорокин Виталий Владимиртвич </v>
      </c>
      <c r="C39" s="353"/>
      <c r="D39" s="353"/>
      <c r="E39" s="353"/>
      <c r="F39" s="353"/>
      <c r="G39" s="353"/>
      <c r="H39" s="353"/>
      <c r="I39" s="353"/>
    </row>
    <row r="40" spans="1:9" ht="15.75" customHeight="1" x14ac:dyDescent="0.25">
      <c r="A40" s="141"/>
      <c r="B40" s="421" t="str">
        <f>"13. Ответственность за проведение инструктажа персоналу привлекаемому к работам по загрузке АС в СЗМ, забойке скважин и охране опасной зоны возлагается на  "&amp;B26</f>
        <v>13. Ответственность за проведение инструктажа персоналу привлекаемому к работам по загрузке АС в СЗМ, забойке скважин и охране опасной зоны возлагается на   Начальник участка "Хаптагай-Хая" Шмелёв С.В.</v>
      </c>
      <c r="C40" s="421"/>
      <c r="D40" s="421"/>
      <c r="E40" s="421"/>
      <c r="F40" s="421"/>
      <c r="G40" s="421"/>
      <c r="H40" s="421"/>
      <c r="I40" s="421"/>
    </row>
    <row r="41" spans="1:9" ht="15.75" customHeight="1" x14ac:dyDescent="0.25">
      <c r="A41" s="141"/>
      <c r="B41" s="421"/>
      <c r="C41" s="421"/>
      <c r="D41" s="421"/>
      <c r="E41" s="421"/>
      <c r="F41" s="421"/>
      <c r="G41" s="421"/>
      <c r="H41" s="421"/>
      <c r="I41" s="421"/>
    </row>
    <row r="42" spans="1:9" s="137" customFormat="1" ht="69" customHeight="1" x14ac:dyDescent="0.25">
      <c r="A42" s="141"/>
      <c r="B42" s="419" t="str">
        <f>"14. "&amp;Справочник!$O$12&amp;", "&amp;Справочник!$M$12&amp;" "&amp;IFERROR(LEFT(Справочник!$N$12,FIND(CHAR(32),Справочник!$N$12,1)-1)&amp;" "&amp;MID(Справочник!$N$12,FIND(CHAR(32),Справочник!$N$12)+1,1)&amp;"."&amp;MID(Справочник!$N$12,SEARCH(CHAR(32),Справочник!$N$12,FIND(CHAR(32),Справочник!$N$12,1)+1)+1,1)&amp;".","")&amp;", должен вести работы в  соответствии с утвержденным распорядком  проведения массового взрыва, требований ФНиП ПБ «Правила безопасности при взрывных работах» и инструкций."</f>
        <v>14. Ответственный руководитель ВР,  Начальник участка "Хаптагай-Хая" Шмелёв С.В., должен вести работы в  соответствии с утвержденным распорядком  проведения массового взрыва, требований ФНиП ПБ «Правила безопасности при взрывных работах» и инструкций.</v>
      </c>
      <c r="C42" s="419"/>
      <c r="D42" s="419"/>
      <c r="E42" s="419"/>
      <c r="F42" s="419"/>
      <c r="G42" s="419"/>
      <c r="H42" s="419"/>
      <c r="I42" s="419"/>
    </row>
    <row r="43" spans="1:9" s="137" customFormat="1" ht="32.25" customHeight="1" x14ac:dyDescent="0.25">
      <c r="A43" s="141"/>
      <c r="B43" s="419" t="s">
        <v>2630</v>
      </c>
      <c r="C43" s="419"/>
      <c r="D43" s="419"/>
      <c r="E43" s="419"/>
      <c r="F43" s="419"/>
      <c r="G43" s="419"/>
      <c r="H43" s="419"/>
      <c r="I43" s="419"/>
    </row>
    <row r="44" spans="1:9" s="137" customFormat="1" ht="49.5" customHeight="1" x14ac:dyDescent="0.25">
      <c r="A44" s="141"/>
      <c r="B44" s="414" t="s">
        <v>2631</v>
      </c>
      <c r="C44" s="414"/>
      <c r="D44" s="414"/>
      <c r="E44" s="414"/>
      <c r="F44" s="414"/>
      <c r="G44" s="414"/>
      <c r="H44" s="414"/>
      <c r="I44" s="414"/>
    </row>
    <row r="45" spans="1:9" s="137" customFormat="1" ht="18" customHeight="1" x14ac:dyDescent="0.25">
      <c r="A45" s="141"/>
      <c r="B45" s="420" t="s">
        <v>2632</v>
      </c>
      <c r="C45" s="420"/>
      <c r="D45" s="420"/>
      <c r="E45" s="420"/>
      <c r="F45" s="420"/>
      <c r="G45" s="420"/>
      <c r="H45" s="420"/>
      <c r="I45" s="420"/>
    </row>
    <row r="46" spans="1:9" s="137" customFormat="1" ht="15.75" customHeight="1" x14ac:dyDescent="0.25">
      <c r="A46" s="141"/>
      <c r="B46" s="185"/>
      <c r="C46" s="185"/>
      <c r="D46" s="185"/>
      <c r="E46" s="185"/>
      <c r="F46" s="185"/>
      <c r="G46" s="185"/>
      <c r="H46" s="185"/>
      <c r="I46" s="185"/>
    </row>
    <row r="47" spans="1:9" s="137" customFormat="1" ht="15.75" customHeight="1" x14ac:dyDescent="0.25">
      <c r="A47" s="141"/>
      <c r="B47" s="185"/>
      <c r="C47" s="185"/>
      <c r="D47" s="185"/>
      <c r="E47" s="185"/>
      <c r="F47" s="185"/>
      <c r="G47" s="185"/>
      <c r="H47" s="185"/>
      <c r="I47" s="185"/>
    </row>
    <row r="48" spans="1:9" s="137" customFormat="1" ht="15.75" customHeight="1" x14ac:dyDescent="0.25">
      <c r="A48" s="141"/>
      <c r="B48" s="185"/>
      <c r="C48" s="185"/>
      <c r="D48" s="185"/>
      <c r="E48" s="185"/>
      <c r="F48" s="185"/>
      <c r="G48" s="185"/>
      <c r="H48" s="185"/>
      <c r="I48" s="185"/>
    </row>
    <row r="49" spans="1:9" s="137" customFormat="1" ht="15.75" customHeight="1" x14ac:dyDescent="0.25">
      <c r="A49" s="141"/>
      <c r="B49" s="121" t="str">
        <f>Справочник!$M$5&amp;" "&amp;Параметры!$C$3</f>
        <v>Главный инженер АО "Поиск Золото"</v>
      </c>
      <c r="C49" s="121"/>
      <c r="D49" s="121"/>
      <c r="E49" s="121"/>
      <c r="F49" s="121" t="str">
        <f>"________________________"&amp;IFERROR(LEFT(Справочник!$N$5,FIND(CHAR(32),Справочник!$N$5,1)-1)&amp;" "&amp;MID(Справочник!$N$5,FIND(CHAR(32),Справочник!$N$5)+1,1)&amp;"."&amp;MID(Справочник!$N$5,SEARCH(CHAR(32),Справочник!$N$5,FIND(CHAR(32),Справочник!$N$5,1)+1)+1,1)&amp;".","")</f>
        <v>________________________Парамонов В.И.</v>
      </c>
      <c r="G49" s="121"/>
      <c r="H49" s="121"/>
      <c r="I49" s="121"/>
    </row>
    <row r="50" spans="1:9" s="137" customFormat="1" ht="15.75" customHeight="1" x14ac:dyDescent="0.25">
      <c r="A50" s="141"/>
      <c r="B50" s="185"/>
      <c r="C50" s="185"/>
      <c r="D50" s="185"/>
      <c r="E50" s="185"/>
      <c r="F50" s="185"/>
      <c r="G50" s="185"/>
      <c r="H50" s="185"/>
      <c r="I50" s="185"/>
    </row>
    <row r="51" spans="1:9" s="137" customFormat="1" ht="15.75" customHeight="1" x14ac:dyDescent="0.25">
      <c r="A51" s="141"/>
      <c r="B51" s="185"/>
      <c r="C51" s="185"/>
      <c r="D51" s="185"/>
      <c r="E51" s="185"/>
      <c r="F51" s="185"/>
      <c r="G51" s="185"/>
      <c r="H51" s="185"/>
      <c r="I51" s="185"/>
    </row>
    <row r="52" spans="1:9" s="137" customFormat="1" ht="15.75" customHeight="1" x14ac:dyDescent="0.25">
      <c r="A52" s="141"/>
      <c r="B52" s="185"/>
      <c r="C52" s="185"/>
      <c r="D52" s="185"/>
      <c r="E52" s="185"/>
      <c r="F52" s="185"/>
      <c r="G52" s="185"/>
      <c r="H52" s="185"/>
      <c r="I52" s="185"/>
    </row>
    <row r="53" spans="1:9" s="137" customFormat="1" ht="15.75" customHeight="1" x14ac:dyDescent="0.25">
      <c r="B53" s="145"/>
      <c r="C53" s="145"/>
      <c r="D53" s="145"/>
      <c r="E53" s="145"/>
      <c r="F53" s="145"/>
      <c r="G53" s="145"/>
      <c r="H53" s="145"/>
      <c r="I53" s="145"/>
    </row>
    <row r="54" spans="1:9" s="137" customFormat="1" ht="15.75" customHeight="1" x14ac:dyDescent="0.25">
      <c r="B54" s="145"/>
      <c r="C54" s="145"/>
      <c r="D54" s="145"/>
      <c r="E54" s="145"/>
      <c r="F54" s="145"/>
      <c r="G54" s="145"/>
      <c r="H54" s="145"/>
      <c r="I54" s="145"/>
    </row>
    <row r="55" spans="1:9" ht="15.75" customHeight="1" x14ac:dyDescent="0.25">
      <c r="B55" s="145"/>
      <c r="C55" s="145"/>
      <c r="D55" s="145"/>
      <c r="E55" s="145"/>
      <c r="F55" s="145"/>
      <c r="G55" s="145"/>
      <c r="H55" s="145"/>
      <c r="I55" s="145"/>
    </row>
    <row r="56" spans="1:9" hidden="1" x14ac:dyDescent="0.25"/>
    <row r="57" spans="1:9" ht="15" hidden="1" customHeight="1" x14ac:dyDescent="0.25"/>
    <row r="58" spans="1:9" ht="15" hidden="1" customHeight="1" x14ac:dyDescent="0.25"/>
  </sheetData>
  <mergeCells count="30">
    <mergeCell ref="B42:I42"/>
    <mergeCell ref="B43:I43"/>
    <mergeCell ref="B44:I44"/>
    <mergeCell ref="B45:I45"/>
    <mergeCell ref="B34:I34"/>
    <mergeCell ref="B35:D35"/>
    <mergeCell ref="B36:I36"/>
    <mergeCell ref="B38:I38"/>
    <mergeCell ref="B39:I39"/>
    <mergeCell ref="B40:I41"/>
    <mergeCell ref="B17:I17"/>
    <mergeCell ref="N22:X22"/>
    <mergeCell ref="B9:I9"/>
    <mergeCell ref="B12:E12"/>
    <mergeCell ref="B18:I18"/>
    <mergeCell ref="B21:I21"/>
    <mergeCell ref="G19:I19"/>
    <mergeCell ref="B31:I31"/>
    <mergeCell ref="B32:I32"/>
    <mergeCell ref="B33:I33"/>
    <mergeCell ref="B24:F24"/>
    <mergeCell ref="B30:I30"/>
    <mergeCell ref="B27:I27"/>
    <mergeCell ref="B28:I28"/>
    <mergeCell ref="B29:I29"/>
    <mergeCell ref="B23:E23"/>
    <mergeCell ref="G23:I23"/>
    <mergeCell ref="A22:I22"/>
    <mergeCell ref="B26:I26"/>
    <mergeCell ref="B25:F25"/>
  </mergeCells>
  <pageMargins left="0.59055118110236227" right="0.39370078740157483" top="0.39370078740157483" bottom="0.74803149606299213" header="0" footer="0.31496062992125984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4">
    <tabColor theme="6" tint="0.59999389629810485"/>
    <pageSetUpPr fitToPage="1"/>
  </sheetPr>
  <dimension ref="A1:L16"/>
  <sheetViews>
    <sheetView showGridLines="0" zoomScaleNormal="100" workbookViewId="0">
      <selection activeCell="B13" sqref="B13"/>
    </sheetView>
  </sheetViews>
  <sheetFormatPr defaultColWidth="0" defaultRowHeight="15" zeroHeight="1" x14ac:dyDescent="0.25"/>
  <cols>
    <col min="1" max="1" width="3.42578125" style="77" customWidth="1"/>
    <col min="2" max="12" width="7.7109375" style="77" customWidth="1"/>
    <col min="13" max="13" width="9.140625" style="77" hidden="1" customWidth="1"/>
    <col min="14" max="16384" width="9.140625" style="77" hidden="1"/>
  </cols>
  <sheetData>
    <row r="1" spans="2:12" x14ac:dyDescent="0.25"/>
    <row r="2" spans="2:12" ht="69" customHeight="1" x14ac:dyDescent="0.25">
      <c r="B2" s="422"/>
      <c r="C2" s="342"/>
      <c r="D2" s="342"/>
      <c r="E2" s="342"/>
      <c r="F2" s="342"/>
      <c r="G2" s="342"/>
      <c r="H2" s="342"/>
      <c r="I2" s="342"/>
      <c r="J2" s="342"/>
      <c r="K2" s="342"/>
      <c r="L2" s="342"/>
    </row>
    <row r="3" spans="2:12" ht="32.25" customHeight="1" x14ac:dyDescent="0.25">
      <c r="B3" s="422"/>
      <c r="C3" s="342"/>
      <c r="D3" s="342"/>
      <c r="E3" s="342"/>
      <c r="F3" s="342"/>
      <c r="G3" s="342"/>
      <c r="H3" s="342"/>
      <c r="I3" s="342"/>
      <c r="J3" s="342"/>
      <c r="K3" s="342"/>
      <c r="L3" s="342"/>
    </row>
    <row r="4" spans="2:12" ht="49.5" customHeight="1" x14ac:dyDescent="0.25">
      <c r="B4" s="423"/>
      <c r="C4" s="342"/>
      <c r="D4" s="342"/>
      <c r="E4" s="342"/>
      <c r="F4" s="342"/>
      <c r="G4" s="342"/>
      <c r="H4" s="342"/>
      <c r="I4" s="342"/>
      <c r="J4" s="342"/>
      <c r="K4" s="342"/>
      <c r="L4" s="342"/>
    </row>
    <row r="5" spans="2:12" ht="18" customHeight="1" x14ac:dyDescent="0.25">
      <c r="B5" s="424"/>
      <c r="C5" s="342"/>
      <c r="D5" s="342"/>
      <c r="E5" s="342"/>
      <c r="F5" s="342"/>
      <c r="G5" s="342"/>
      <c r="H5" s="342"/>
      <c r="I5" s="342"/>
      <c r="J5" s="342"/>
      <c r="K5" s="342"/>
      <c r="L5" s="342"/>
    </row>
    <row r="6" spans="2:12" ht="15.75" customHeight="1" x14ac:dyDescent="0.25">
      <c r="B6" s="67"/>
    </row>
    <row r="7" spans="2:12" ht="15.75" customHeight="1" x14ac:dyDescent="0.25">
      <c r="B7" s="67"/>
    </row>
    <row r="8" spans="2:12" ht="15.75" customHeight="1" x14ac:dyDescent="0.25">
      <c r="B8" s="67"/>
    </row>
    <row r="9" spans="2:12" ht="15.75" customHeight="1" x14ac:dyDescent="0.25">
      <c r="B9" s="67"/>
    </row>
    <row r="10" spans="2:12" ht="15.75" customHeight="1" x14ac:dyDescent="0.25">
      <c r="B10" s="67"/>
    </row>
    <row r="11" spans="2:12" ht="15.75" customHeight="1" x14ac:dyDescent="0.25">
      <c r="B11" s="67"/>
    </row>
    <row r="12" spans="2:12" ht="15.75" customHeight="1" x14ac:dyDescent="0.25">
      <c r="B12" s="67"/>
    </row>
    <row r="13" spans="2:12" ht="15.75" customHeight="1" x14ac:dyDescent="0.25">
      <c r="B13" s="66"/>
      <c r="C13" s="66"/>
      <c r="D13" s="66"/>
      <c r="E13" s="66"/>
      <c r="F13" s="66"/>
      <c r="G13" s="66"/>
      <c r="H13" s="66"/>
      <c r="I13" s="66"/>
      <c r="J13" s="66"/>
      <c r="K13" s="66"/>
      <c r="L13" s="66"/>
    </row>
    <row r="14" spans="2:12" ht="15.75" customHeight="1" x14ac:dyDescent="0.25">
      <c r="B14" s="66"/>
    </row>
    <row r="15" spans="2:12" ht="15.75" customHeight="1" x14ac:dyDescent="0.25">
      <c r="B15" s="66"/>
    </row>
    <row r="16" spans="2:12" ht="15.75" customHeight="1" x14ac:dyDescent="0.25">
      <c r="B16" s="66"/>
    </row>
  </sheetData>
  <mergeCells count="4">
    <mergeCell ref="B2:L2"/>
    <mergeCell ref="B4:L4"/>
    <mergeCell ref="B5:L5"/>
    <mergeCell ref="B3:L3"/>
  </mergeCells>
  <pageMargins left="0.70866141732283472" right="0.11811023622047249" top="0.74803149606299213" bottom="0.74803149606299213" header="0.31496062992125978" footer="0.31496062992125978"/>
  <pageSetup paperSize="9" scale="97"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5">
    <tabColor theme="6" tint="0.59999389629810485"/>
  </sheetPr>
  <dimension ref="A1:J51"/>
  <sheetViews>
    <sheetView showGridLines="0" zoomScaleNormal="100" workbookViewId="0">
      <pane ySplit="6" topLeftCell="A7" activePane="bottomLeft" state="frozen"/>
      <selection activeCell="C33" sqref="C33"/>
      <selection pane="bottomLeft" activeCell="A34" sqref="A34:XFD34"/>
    </sheetView>
  </sheetViews>
  <sheetFormatPr defaultColWidth="0" defaultRowHeight="15" zeroHeight="1" x14ac:dyDescent="0.25"/>
  <cols>
    <col min="1" max="1" width="9.140625" style="77" customWidth="1"/>
    <col min="2" max="2" width="9.5703125" style="77" customWidth="1"/>
    <col min="3" max="5" width="9.140625" style="77" customWidth="1"/>
    <col min="6" max="6" width="8.28515625" style="77" customWidth="1"/>
    <col min="7" max="9" width="9.140625" style="77" customWidth="1"/>
    <col min="10" max="10" width="0" style="77" hidden="1" customWidth="1"/>
    <col min="11" max="11" width="9.140625" style="77" hidden="1" customWidth="1"/>
    <col min="12" max="16384" width="9.140625" style="77" hidden="1"/>
  </cols>
  <sheetData>
    <row r="1" spans="1:9" x14ac:dyDescent="0.25">
      <c r="A1" s="141"/>
      <c r="B1" s="141"/>
      <c r="C1" s="141"/>
      <c r="D1" s="141"/>
      <c r="E1" s="141"/>
      <c r="F1" s="141"/>
      <c r="G1" s="141"/>
      <c r="H1" s="141"/>
      <c r="I1" s="141"/>
    </row>
    <row r="2" spans="1:9" ht="15.75" customHeight="1" x14ac:dyDescent="0.25">
      <c r="A2" s="141"/>
      <c r="B2" s="121"/>
      <c r="C2" s="141"/>
      <c r="D2" s="141"/>
      <c r="E2" s="141"/>
      <c r="F2" s="141"/>
      <c r="G2" s="141"/>
      <c r="H2" s="141"/>
      <c r="I2" s="141"/>
    </row>
    <row r="3" spans="1:9" ht="15" customHeight="1" x14ac:dyDescent="0.25">
      <c r="A3" s="347" t="s">
        <v>2633</v>
      </c>
      <c r="B3" s="349"/>
      <c r="C3" s="349"/>
      <c r="D3" s="349"/>
      <c r="E3" s="349"/>
      <c r="F3" s="349"/>
      <c r="G3" s="349"/>
      <c r="H3" s="349"/>
      <c r="I3" s="349"/>
    </row>
    <row r="4" spans="1:9" ht="7.5" customHeight="1" x14ac:dyDescent="0.25">
      <c r="A4" s="141"/>
      <c r="B4" s="150"/>
      <c r="C4" s="141"/>
      <c r="D4" s="141"/>
      <c r="E4" s="141"/>
      <c r="F4" s="141"/>
      <c r="G4" s="141"/>
      <c r="H4" s="141"/>
      <c r="I4" s="141"/>
    </row>
    <row r="5" spans="1:9" ht="15" customHeight="1" x14ac:dyDescent="0.25">
      <c r="A5" s="354" t="s">
        <v>2634</v>
      </c>
      <c r="B5" s="349"/>
      <c r="C5" s="349"/>
      <c r="D5" s="349"/>
      <c r="E5" s="349"/>
      <c r="F5" s="349"/>
      <c r="G5" s="349"/>
      <c r="H5" s="349"/>
      <c r="I5" s="349"/>
    </row>
    <row r="6" spans="1:9" ht="15" customHeight="1" x14ac:dyDescent="0.25">
      <c r="A6" s="354" t="str">
        <f>"ВР на месторождении "&amp;Параметры!$C$5&amp;" блок "&amp;Параметры!$C$7</f>
        <v>ВР на месторождении Хаптагай-Хая блок  П-10; С1-13б</v>
      </c>
      <c r="B6" s="349"/>
      <c r="C6" s="349"/>
      <c r="D6" s="349"/>
      <c r="E6" s="349"/>
      <c r="F6" s="349"/>
      <c r="G6" s="349"/>
      <c r="H6" s="349"/>
      <c r="I6" s="349"/>
    </row>
    <row r="7" spans="1:9" ht="15.75" customHeight="1" x14ac:dyDescent="0.25">
      <c r="A7" s="141"/>
      <c r="B7" s="119"/>
      <c r="C7" s="141"/>
      <c r="D7" s="141"/>
      <c r="E7" s="141"/>
      <c r="F7" s="141"/>
      <c r="G7" s="141"/>
      <c r="H7" s="141"/>
      <c r="I7" s="141"/>
    </row>
    <row r="8" spans="1:9" ht="14.25" customHeight="1" x14ac:dyDescent="0.25">
      <c r="A8" s="119" t="s">
        <v>2635</v>
      </c>
      <c r="B8" s="119" t="str">
        <f>IF(Параметры!$C$9&lt;&gt;"",""" "&amp;DAY(Параметры!$C$9)&amp;" """)</f>
        <v>" 25 "</v>
      </c>
      <c r="C8" s="119" t="str">
        <f>LOOKUP(MONTH(Параметры!$C$9),{1;2;3;4;5;6;7;8;9;10;11;12},{"января";"февраля";"марта";"апреля";"мая";"июня";"июля";"августа";"сентября";"октября";"ноября";"декабря"})</f>
        <v>мая</v>
      </c>
      <c r="D8" s="119" t="str">
        <f>YEAR(Параметры!$C$9)&amp;" г."</f>
        <v>2026 г.</v>
      </c>
      <c r="E8" s="354" t="s">
        <v>2636</v>
      </c>
      <c r="F8" s="349"/>
      <c r="G8" s="195" t="str">
        <f>Параметры!$C$15</f>
        <v>18-00</v>
      </c>
      <c r="H8" s="195" t="str">
        <f>"до "&amp;Параметры!$C$17</f>
        <v>до 18-25</v>
      </c>
      <c r="I8" s="119" t="s">
        <v>2637</v>
      </c>
    </row>
    <row r="9" spans="1:9" ht="68.25" customHeight="1" x14ac:dyDescent="0.25">
      <c r="A9" s="397" t="str">
        <f>Справочник!$M$13&amp;" "&amp;IFERROR(LEFT(Справочник!$N$13,FIND(CHAR(32),Справочник!$N$13,1)-1)&amp;" "&amp;MID(Справочник!$N$13,FIND(CHAR(32),Справочник!$N$13)+1,1)&amp;"."&amp;MID(Справочник!$N$13,SEARCH(CHAR(32),Справочник!$N$13,FIND(CHAR(32),Справочник!$N$13,1)+1)+1,1)&amp;".","")&amp;", в целях обеспечения безопасности производства взрыва, производит расстановку постов оцепления на границах опасной зоны 1000 м, в местах, указанных на плане горных работ в следующем порядке:"</f>
        <v xml:space="preserve"> Начальник участка "Хаптагай-Хая" Шмелёв С.В., в целях обеспечения безопасности производства взрыва, производит расстановку постов оцепления на границах опасной зоны 1000 м, в местах, указанных на плане горных работ в следующем порядке:</v>
      </c>
      <c r="B9" s="394"/>
      <c r="C9" s="394"/>
      <c r="D9" s="394"/>
      <c r="E9" s="394"/>
      <c r="F9" s="394"/>
      <c r="G9" s="394"/>
      <c r="H9" s="394"/>
      <c r="I9" s="394"/>
    </row>
    <row r="10" spans="1:9" ht="15.75" customHeight="1" x14ac:dyDescent="0.25">
      <c r="A10" s="141"/>
      <c r="B10" s="121"/>
      <c r="C10" s="141"/>
      <c r="D10" s="141"/>
      <c r="E10" s="141"/>
      <c r="F10" s="141"/>
      <c r="G10" s="141"/>
      <c r="H10" s="141"/>
      <c r="I10" s="141"/>
    </row>
    <row r="11" spans="1:9" ht="15.75" customHeight="1" x14ac:dyDescent="0.25">
      <c r="A11" s="358" t="s">
        <v>2638</v>
      </c>
      <c r="B11" s="349"/>
      <c r="C11" s="349"/>
      <c r="D11" s="349"/>
      <c r="E11" s="349"/>
      <c r="F11" s="349"/>
      <c r="G11" s="349"/>
      <c r="H11" s="349"/>
      <c r="I11" s="349"/>
    </row>
    <row r="12" spans="1:9" ht="15.75" customHeight="1" x14ac:dyDescent="0.25">
      <c r="A12" s="358" t="s">
        <v>2639</v>
      </c>
      <c r="B12" s="349"/>
      <c r="C12" s="349"/>
      <c r="D12" s="349"/>
      <c r="E12" s="349"/>
      <c r="F12" s="349"/>
      <c r="G12" s="349"/>
      <c r="H12" s="349"/>
      <c r="I12" s="349"/>
    </row>
    <row r="13" spans="1:9" ht="15.75" customHeight="1" x14ac:dyDescent="0.25">
      <c r="A13" s="141"/>
      <c r="B13" s="119"/>
      <c r="C13" s="141"/>
      <c r="D13" s="141"/>
      <c r="E13" s="141"/>
      <c r="F13" s="141"/>
      <c r="G13" s="141"/>
      <c r="H13" s="141"/>
      <c r="I13" s="141"/>
    </row>
    <row r="14" spans="1:9" ht="15.75" customHeight="1" x14ac:dyDescent="0.25">
      <c r="A14" s="358" t="s">
        <v>2640</v>
      </c>
      <c r="B14" s="349"/>
      <c r="C14" s="349"/>
      <c r="D14" s="349"/>
      <c r="E14" s="349"/>
      <c r="F14" s="349"/>
      <c r="G14" s="349"/>
      <c r="H14" s="349"/>
      <c r="I14" s="349"/>
    </row>
    <row r="15" spans="1:9" ht="15.75" customHeight="1" x14ac:dyDescent="0.25">
      <c r="A15" s="358" t="s">
        <v>2639</v>
      </c>
      <c r="B15" s="349"/>
      <c r="C15" s="349"/>
      <c r="D15" s="349"/>
      <c r="E15" s="349"/>
      <c r="F15" s="349"/>
      <c r="G15" s="349"/>
      <c r="H15" s="349"/>
      <c r="I15" s="349"/>
    </row>
    <row r="16" spans="1:9" ht="15.75" customHeight="1" x14ac:dyDescent="0.25">
      <c r="A16" s="141"/>
      <c r="B16" s="196"/>
      <c r="C16" s="141"/>
      <c r="D16" s="141"/>
      <c r="E16" s="141"/>
      <c r="F16" s="141"/>
      <c r="G16" s="141"/>
      <c r="H16" s="141"/>
      <c r="I16" s="141"/>
    </row>
    <row r="17" spans="1:9" ht="15.75" customHeight="1" x14ac:dyDescent="0.25">
      <c r="A17" s="358" t="s">
        <v>2641</v>
      </c>
      <c r="B17" s="349"/>
      <c r="C17" s="349"/>
      <c r="D17" s="349"/>
      <c r="E17" s="349"/>
      <c r="F17" s="349"/>
      <c r="G17" s="349"/>
      <c r="H17" s="349"/>
      <c r="I17" s="349"/>
    </row>
    <row r="18" spans="1:9" ht="15.75" customHeight="1" x14ac:dyDescent="0.25">
      <c r="A18" s="358" t="s">
        <v>2639</v>
      </c>
      <c r="B18" s="349"/>
      <c r="C18" s="349"/>
      <c r="D18" s="349"/>
      <c r="E18" s="349"/>
      <c r="F18" s="349"/>
      <c r="G18" s="349"/>
      <c r="H18" s="349"/>
      <c r="I18" s="349"/>
    </row>
    <row r="19" spans="1:9" ht="15.75" customHeight="1" x14ac:dyDescent="0.25">
      <c r="A19" s="141"/>
      <c r="B19" s="121"/>
      <c r="C19" s="141"/>
      <c r="D19" s="141"/>
      <c r="E19" s="141"/>
      <c r="F19" s="141"/>
      <c r="G19" s="141"/>
      <c r="H19" s="141"/>
      <c r="I19" s="141"/>
    </row>
    <row r="20" spans="1:9" ht="15.75" customHeight="1" x14ac:dyDescent="0.25">
      <c r="A20" s="358" t="s">
        <v>2642</v>
      </c>
      <c r="B20" s="349"/>
      <c r="C20" s="349"/>
      <c r="D20" s="349"/>
      <c r="E20" s="349"/>
      <c r="F20" s="349"/>
      <c r="G20" s="349"/>
      <c r="H20" s="349"/>
      <c r="I20" s="349"/>
    </row>
    <row r="21" spans="1:9" ht="15.75" customHeight="1" x14ac:dyDescent="0.25">
      <c r="A21" s="358" t="s">
        <v>2639</v>
      </c>
      <c r="B21" s="349"/>
      <c r="C21" s="349"/>
      <c r="D21" s="349"/>
      <c r="E21" s="349"/>
      <c r="F21" s="349"/>
      <c r="G21" s="349"/>
      <c r="H21" s="349"/>
      <c r="I21" s="349"/>
    </row>
    <row r="22" spans="1:9" ht="15.75" customHeight="1" x14ac:dyDescent="0.25">
      <c r="A22" s="141"/>
      <c r="B22" s="121"/>
      <c r="C22" s="141"/>
      <c r="D22" s="141"/>
      <c r="E22" s="141"/>
      <c r="F22" s="141"/>
      <c r="G22" s="141"/>
      <c r="H22" s="141"/>
      <c r="I22" s="141"/>
    </row>
    <row r="23" spans="1:9" ht="15.75" customHeight="1" x14ac:dyDescent="0.25">
      <c r="A23" s="358" t="s">
        <v>2643</v>
      </c>
      <c r="B23" s="349"/>
      <c r="C23" s="349"/>
      <c r="D23" s="349"/>
      <c r="E23" s="349"/>
      <c r="F23" s="349"/>
      <c r="G23" s="349"/>
      <c r="H23" s="349"/>
      <c r="I23" s="349"/>
    </row>
    <row r="24" spans="1:9" ht="15.75" customHeight="1" x14ac:dyDescent="0.25">
      <c r="A24" s="358" t="s">
        <v>2639</v>
      </c>
      <c r="B24" s="349"/>
      <c r="C24" s="349"/>
      <c r="D24" s="349"/>
      <c r="E24" s="349"/>
      <c r="F24" s="349"/>
      <c r="G24" s="349"/>
      <c r="H24" s="349"/>
      <c r="I24" s="349"/>
    </row>
    <row r="25" spans="1:9" ht="15.75" customHeight="1" x14ac:dyDescent="0.25">
      <c r="A25" s="141"/>
      <c r="B25" s="196"/>
      <c r="C25" s="141"/>
      <c r="D25" s="141"/>
      <c r="E25" s="141"/>
      <c r="F25" s="141"/>
      <c r="G25" s="141"/>
      <c r="H25" s="141"/>
      <c r="I25" s="141"/>
    </row>
    <row r="26" spans="1:9" ht="15" customHeight="1" x14ac:dyDescent="0.25">
      <c r="A26" s="347" t="s">
        <v>2644</v>
      </c>
      <c r="B26" s="349"/>
      <c r="C26" s="349"/>
      <c r="D26" s="349"/>
      <c r="E26" s="349"/>
      <c r="F26" s="349"/>
      <c r="G26" s="349"/>
      <c r="H26" s="349"/>
      <c r="I26" s="349"/>
    </row>
    <row r="27" spans="1:9" ht="36" customHeight="1" x14ac:dyDescent="0.25">
      <c r="A27" s="425" t="s">
        <v>2645</v>
      </c>
      <c r="B27" s="349"/>
      <c r="C27" s="349"/>
      <c r="D27" s="349"/>
      <c r="E27" s="349"/>
      <c r="F27" s="349"/>
      <c r="G27" s="349"/>
      <c r="H27" s="349"/>
      <c r="I27" s="349"/>
    </row>
    <row r="28" spans="1:9" ht="15" customHeight="1" x14ac:dyDescent="0.25">
      <c r="A28" s="418" t="s">
        <v>2646</v>
      </c>
      <c r="B28" s="349"/>
      <c r="C28" s="349"/>
      <c r="D28" s="349"/>
      <c r="E28" s="349"/>
      <c r="F28" s="349"/>
      <c r="G28" s="349"/>
      <c r="H28" s="349"/>
      <c r="I28" s="349"/>
    </row>
    <row r="29" spans="1:9" ht="15.75" customHeight="1" x14ac:dyDescent="0.25">
      <c r="A29" s="141"/>
      <c r="B29" s="197" t="s">
        <v>2647</v>
      </c>
      <c r="C29" s="141"/>
      <c r="D29" s="141"/>
      <c r="E29" s="141"/>
      <c r="F29" s="141"/>
      <c r="G29" s="141"/>
      <c r="H29" s="141"/>
      <c r="I29" s="141"/>
    </row>
    <row r="30" spans="1:9" ht="15.75" customHeight="1" x14ac:dyDescent="0.25">
      <c r="A30" s="141"/>
      <c r="B30" s="197" t="s">
        <v>2648</v>
      </c>
      <c r="C30" s="141"/>
      <c r="D30" s="141"/>
      <c r="E30" s="141"/>
      <c r="F30" s="141"/>
      <c r="G30" s="141"/>
      <c r="H30" s="141"/>
      <c r="I30" s="141"/>
    </row>
    <row r="31" spans="1:9" ht="15.75" customHeight="1" x14ac:dyDescent="0.25">
      <c r="A31" s="141"/>
      <c r="B31" s="197" t="s">
        <v>2649</v>
      </c>
      <c r="C31" s="141"/>
      <c r="D31" s="141"/>
      <c r="E31" s="141"/>
      <c r="F31" s="141"/>
      <c r="G31" s="141"/>
      <c r="H31" s="141"/>
      <c r="I31" s="141"/>
    </row>
    <row r="32" spans="1:9" ht="15.75" customHeight="1" x14ac:dyDescent="0.25">
      <c r="A32" s="141"/>
      <c r="B32" s="196"/>
      <c r="C32" s="141"/>
      <c r="D32" s="141"/>
      <c r="E32" s="141"/>
      <c r="F32" s="141"/>
      <c r="G32" s="141"/>
      <c r="H32" s="141"/>
      <c r="I32" s="141"/>
    </row>
    <row r="33" spans="1:9" ht="15" customHeight="1" x14ac:dyDescent="0.25">
      <c r="A33" s="358" t="s">
        <v>2650</v>
      </c>
      <c r="B33" s="349"/>
      <c r="C33" s="349"/>
      <c r="D33" s="349"/>
      <c r="E33" s="349"/>
      <c r="F33" s="349"/>
      <c r="G33" s="349"/>
      <c r="H33" s="349"/>
      <c r="I33" s="349"/>
    </row>
    <row r="34" spans="1:9" s="305" customFormat="1" ht="31.5" customHeight="1" x14ac:dyDescent="0.25">
      <c r="A34" s="426" t="str">
        <f>Справочник!$M$13&amp;"___________________"&amp;IFERROR(LEFT(Справочник!$N$13,FIND(CHAR(32),Справочник!$N$13,1)-1)&amp;" "&amp;MID(Справочник!$N$13,FIND(CHAR(32),Справочник!$N$13)+1,1)&amp;"."&amp;MID(Справочник!$N$13,SEARCH(CHAR(32),Справочник!$N$13,FIND(CHAR(32),Справочник!$N$13,1)+1)+1,1)&amp;".","")</f>
        <v xml:space="preserve"> Начальник участка "Хаптагай-Хая"___________________Шмелёв С.В.</v>
      </c>
      <c r="B34" s="394"/>
      <c r="C34" s="394"/>
      <c r="D34" s="394"/>
      <c r="E34" s="394"/>
      <c r="F34" s="394"/>
      <c r="G34" s="394"/>
      <c r="H34" s="394"/>
      <c r="I34" s="394"/>
    </row>
    <row r="35" spans="1:9" ht="17.25" customHeight="1" x14ac:dyDescent="0.25">
      <c r="A35" s="119" t="str">
        <f>IF(Параметры!$C$9&lt;&gt;"",""" "&amp;DAY(Параметры!$C$9)&amp;" """)</f>
        <v>" 25 "</v>
      </c>
      <c r="B35" s="119" t="str">
        <f>LOOKUP(MONTH(Параметры!$C$9),{1;2;3;4;5;6;7;8;9;10;11;12},{"января";"февраля";"марта";"апреля";"мая";"июня";"июля";"августа";"сентября";"октября";"ноября";"декабря"})</f>
        <v>мая</v>
      </c>
      <c r="C35" s="119" t="str">
        <f>YEAR(Параметры!$C$9)&amp;" г."</f>
        <v>2026 г.</v>
      </c>
      <c r="D35" s="151"/>
      <c r="E35" s="151"/>
      <c r="F35" s="141"/>
      <c r="G35" s="141"/>
      <c r="H35" s="141"/>
      <c r="I35" s="141"/>
    </row>
    <row r="36" spans="1:9" x14ac:dyDescent="0.25">
      <c r="A36" s="141"/>
      <c r="B36" s="141"/>
      <c r="C36" s="141"/>
      <c r="D36" s="141"/>
      <c r="E36" s="141"/>
      <c r="F36" s="141"/>
      <c r="G36" s="141"/>
      <c r="H36" s="141"/>
      <c r="I36" s="141"/>
    </row>
    <row r="37" spans="1:9" ht="25.5" customHeight="1" x14ac:dyDescent="0.25">
      <c r="A37" s="378" t="str">
        <f>Справочник!$M$6&amp;" "&amp;Параметры!$C$3&amp;"___________________"&amp;IFERROR(LEFT(Справочник!$N$6,FIND(CHAR(32),Справочник!$N$6,1)-1)&amp;" "&amp;MID(Справочник!$N$6,FIND(CHAR(32),Справочник!$N$6)+1,1)&amp;"."&amp;MID(Справочник!$N$6,SEARCH(CHAR(32),Справочник!$N$6,FIND(CHAR(32),Справочник!$N$6,1)+1)+1,1)&amp;".","")</f>
        <v xml:space="preserve"> Начальник участка "Хаптагай-Хая" АО "Поиск Золото"___________________Шмелёв С.В.</v>
      </c>
      <c r="B37" s="349"/>
      <c r="C37" s="349"/>
      <c r="D37" s="349"/>
      <c r="E37" s="349"/>
      <c r="F37" s="349"/>
      <c r="G37" s="349"/>
      <c r="H37" s="349"/>
      <c r="I37" s="349"/>
    </row>
    <row r="38" spans="1:9" ht="17.25" customHeight="1" x14ac:dyDescent="0.25">
      <c r="A38" s="119" t="str">
        <f>A35</f>
        <v>" 25 "</v>
      </c>
      <c r="B38" s="119" t="str">
        <f>B35</f>
        <v>мая</v>
      </c>
      <c r="C38" s="119" t="str">
        <f>C35</f>
        <v>2026 г.</v>
      </c>
      <c r="D38" s="151"/>
      <c r="E38" s="141"/>
      <c r="F38" s="141"/>
      <c r="G38" s="141"/>
      <c r="H38" s="141"/>
      <c r="I38" s="141"/>
    </row>
    <row r="39" spans="1:9" hidden="1" x14ac:dyDescent="0.25"/>
    <row r="40" spans="1:9" hidden="1" x14ac:dyDescent="0.25"/>
    <row r="41" spans="1:9" hidden="1" x14ac:dyDescent="0.25"/>
    <row r="42" spans="1:9" hidden="1" x14ac:dyDescent="0.25"/>
    <row r="43" spans="1:9" hidden="1" x14ac:dyDescent="0.25"/>
    <row r="44" spans="1:9" hidden="1" x14ac:dyDescent="0.25"/>
    <row r="45" spans="1:9" hidden="1" x14ac:dyDescent="0.25"/>
    <row r="46" spans="1:9" hidden="1" x14ac:dyDescent="0.25"/>
    <row r="47" spans="1:9" hidden="1" x14ac:dyDescent="0.25"/>
    <row r="48" spans="1:9" hidden="1" x14ac:dyDescent="0.25"/>
    <row r="49" hidden="1" x14ac:dyDescent="0.25"/>
    <row r="50" hidden="1" x14ac:dyDescent="0.25"/>
    <row r="51" hidden="1" x14ac:dyDescent="0.25"/>
  </sheetData>
  <mergeCells count="21">
    <mergeCell ref="A34:I34"/>
    <mergeCell ref="A24:I24"/>
    <mergeCell ref="A15:I15"/>
    <mergeCell ref="A11:I11"/>
    <mergeCell ref="A6:I6"/>
    <mergeCell ref="A37:I37"/>
    <mergeCell ref="A18:I18"/>
    <mergeCell ref="A27:I27"/>
    <mergeCell ref="A3:I3"/>
    <mergeCell ref="A12:I12"/>
    <mergeCell ref="E8:F8"/>
    <mergeCell ref="A26:I26"/>
    <mergeCell ref="A21:I21"/>
    <mergeCell ref="A33:I33"/>
    <mergeCell ref="A5:I5"/>
    <mergeCell ref="A14:I14"/>
    <mergeCell ref="A17:I17"/>
    <mergeCell ref="A23:I23"/>
    <mergeCell ref="A20:I20"/>
    <mergeCell ref="A28:I28"/>
    <mergeCell ref="A9:I9"/>
  </mergeCells>
  <pageMargins left="0.59055118110236227" right="0.39370078740157483" top="0.74803149606299213" bottom="0.74803149606299213" header="0.31496062992125984" footer="0.31496062992125984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6">
    <tabColor rgb="FFFF0000"/>
    <pageSetUpPr fitToPage="1"/>
  </sheetPr>
  <dimension ref="A1:AO61"/>
  <sheetViews>
    <sheetView showGridLines="0" view="pageBreakPreview" topLeftCell="B2" zoomScaleNormal="100" zoomScaleSheetLayoutView="100" workbookViewId="0">
      <selection activeCell="C14" sqref="C14:AB14"/>
    </sheetView>
  </sheetViews>
  <sheetFormatPr defaultColWidth="0" defaultRowHeight="15" customHeight="1" zeroHeight="1" x14ac:dyDescent="0.25"/>
  <cols>
    <col min="1" max="1" width="2.7109375" style="77" hidden="1" customWidth="1"/>
    <col min="2" max="3" width="2.7109375" style="77" customWidth="1"/>
    <col min="4" max="4" width="6" style="77" customWidth="1"/>
    <col min="5" max="5" width="2.7109375" style="77" customWidth="1"/>
    <col min="6" max="6" width="1.85546875" style="77" customWidth="1"/>
    <col min="7" max="7" width="3.5703125" style="77" customWidth="1"/>
    <col min="8" max="8" width="1.5703125" style="77" customWidth="1"/>
    <col min="9" max="9" width="5.85546875" style="77" customWidth="1"/>
    <col min="10" max="10" width="2.7109375" style="77" customWidth="1"/>
    <col min="11" max="11" width="4.28515625" style="77" customWidth="1"/>
    <col min="12" max="14" width="2.7109375" style="77" customWidth="1"/>
    <col min="15" max="15" width="2.42578125" style="77" customWidth="1"/>
    <col min="16" max="16" width="1.42578125" style="77" customWidth="1"/>
    <col min="17" max="17" width="4" style="77" customWidth="1"/>
    <col min="18" max="18" width="2.140625" style="77" customWidth="1"/>
    <col min="19" max="19" width="4" style="77" customWidth="1"/>
    <col min="20" max="20" width="1.7109375" style="77" customWidth="1"/>
    <col min="21" max="21" width="5" style="77" customWidth="1"/>
    <col min="22" max="22" width="2" style="77" customWidth="1"/>
    <col min="23" max="23" width="3.85546875" style="77" customWidth="1"/>
    <col min="24" max="24" width="2.7109375" style="77" customWidth="1"/>
    <col min="25" max="25" width="4.5703125" style="77" customWidth="1"/>
    <col min="26" max="27" width="2.7109375" style="77" customWidth="1"/>
    <col min="28" max="28" width="5" style="77" customWidth="1"/>
    <col min="29" max="37" width="5.140625" style="77" hidden="1" customWidth="1"/>
    <col min="38" max="38" width="9.140625" style="77" hidden="1" customWidth="1"/>
    <col min="39" max="16384" width="9.140625" style="77" hidden="1"/>
  </cols>
  <sheetData>
    <row r="1" spans="1:28" hidden="1" x14ac:dyDescent="0.25">
      <c r="A1" s="141"/>
      <c r="B1" s="141"/>
      <c r="C1" s="141"/>
      <c r="D1" s="141"/>
      <c r="E1" s="141"/>
      <c r="F1" s="141"/>
      <c r="G1" s="141"/>
      <c r="H1" s="141"/>
      <c r="I1" s="141"/>
      <c r="J1" s="141"/>
      <c r="K1" s="141"/>
      <c r="L1" s="141"/>
      <c r="M1" s="141"/>
      <c r="N1" s="141"/>
      <c r="O1" s="141"/>
      <c r="P1" s="141"/>
      <c r="Q1" s="141"/>
      <c r="R1" s="141"/>
      <c r="S1" s="141"/>
      <c r="T1" s="141"/>
      <c r="U1" s="141"/>
      <c r="V1" s="141"/>
      <c r="W1" s="141"/>
      <c r="X1" s="141"/>
      <c r="Y1" s="141"/>
      <c r="Z1" s="141"/>
      <c r="AA1" s="141"/>
      <c r="AB1" s="141"/>
    </row>
    <row r="2" spans="1:28" ht="15.75" customHeight="1" x14ac:dyDescent="0.25">
      <c r="A2" s="141"/>
      <c r="B2" s="141"/>
      <c r="C2" s="434" t="s">
        <v>2651</v>
      </c>
      <c r="D2" s="349"/>
      <c r="E2" s="349"/>
      <c r="F2" s="349"/>
      <c r="G2" s="349"/>
      <c r="H2" s="349"/>
      <c r="I2" s="349"/>
      <c r="J2" s="349"/>
      <c r="K2" s="349"/>
      <c r="L2" s="349"/>
      <c r="M2" s="349"/>
      <c r="N2" s="349"/>
      <c r="O2" s="349"/>
      <c r="P2" s="349"/>
      <c r="Q2" s="349"/>
      <c r="R2" s="349"/>
      <c r="S2" s="349"/>
      <c r="T2" s="349"/>
      <c r="U2" s="349"/>
      <c r="V2" s="349"/>
      <c r="W2" s="349"/>
      <c r="X2" s="349"/>
      <c r="Y2" s="349"/>
      <c r="Z2" s="349"/>
      <c r="AA2" s="349"/>
      <c r="AB2" s="349"/>
    </row>
    <row r="3" spans="1:28" ht="3.75" customHeight="1" x14ac:dyDescent="0.25">
      <c r="A3" s="141"/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</row>
    <row r="4" spans="1:28" ht="33.75" customHeight="1" x14ac:dyDescent="0.25">
      <c r="A4" s="141"/>
      <c r="B4" s="141"/>
      <c r="C4" s="427" t="str">
        <f>"Вместимость погонного метра скважины (Р) определяется по справочным таблицам исходя из диаметра скважины и плотности ВВ в заряде и составит: "&amp;TEXT(Параметры!$D$36,"0.00")&amp;" "&amp;Параметры!$C$36</f>
        <v>Вместимость погонного метра скважины (Р) определяется по справочным таблицам исходя из диаметра скважины и плотности ВВ в заряде и составит: 29,77 кг/пог.м</v>
      </c>
      <c r="D4" s="349"/>
      <c r="E4" s="349"/>
      <c r="F4" s="349"/>
      <c r="G4" s="349"/>
      <c r="H4" s="349"/>
      <c r="I4" s="349"/>
      <c r="J4" s="349"/>
      <c r="K4" s="349"/>
      <c r="L4" s="349"/>
      <c r="M4" s="349"/>
      <c r="N4" s="349"/>
      <c r="O4" s="349"/>
      <c r="P4" s="349"/>
      <c r="Q4" s="349"/>
      <c r="R4" s="349"/>
      <c r="S4" s="349"/>
      <c r="T4" s="349"/>
      <c r="U4" s="349"/>
      <c r="V4" s="349"/>
      <c r="W4" s="349"/>
      <c r="X4" s="349"/>
      <c r="Y4" s="349"/>
      <c r="Z4" s="349"/>
      <c r="AA4" s="349"/>
      <c r="AB4" s="349"/>
    </row>
    <row r="5" spans="1:28" ht="33" customHeight="1" x14ac:dyDescent="0.25">
      <c r="A5" s="141"/>
      <c r="B5" s="141"/>
      <c r="C5" s="427" t="s">
        <v>2652</v>
      </c>
      <c r="D5" s="349"/>
      <c r="E5" s="349"/>
      <c r="F5" s="349"/>
      <c r="G5" s="349"/>
      <c r="H5" s="349"/>
      <c r="I5" s="349"/>
      <c r="J5" s="349"/>
      <c r="K5" s="349"/>
      <c r="L5" s="349"/>
      <c r="M5" s="349"/>
      <c r="N5" s="349"/>
      <c r="O5" s="349"/>
      <c r="P5" s="349"/>
      <c r="Q5" s="349"/>
      <c r="R5" s="349"/>
      <c r="S5" s="349"/>
      <c r="T5" s="349"/>
      <c r="U5" s="349"/>
      <c r="V5" s="349"/>
      <c r="W5" s="349"/>
      <c r="X5" s="349"/>
      <c r="Y5" s="349"/>
      <c r="Z5" s="349"/>
      <c r="AA5" s="349"/>
      <c r="AB5" s="349"/>
    </row>
    <row r="6" spans="1:28" ht="15" customHeight="1" x14ac:dyDescent="0.25">
      <c r="A6" s="141"/>
      <c r="B6" s="141"/>
      <c r="C6" s="141"/>
      <c r="D6" s="141"/>
      <c r="E6" s="353" t="s">
        <v>2871</v>
      </c>
      <c r="F6" s="353"/>
      <c r="G6" s="353"/>
      <c r="H6" s="353"/>
      <c r="I6" s="353"/>
      <c r="J6" s="353"/>
      <c r="K6" s="353"/>
      <c r="L6" s="353"/>
      <c r="M6" s="353"/>
      <c r="N6" s="353"/>
      <c r="O6" s="353"/>
      <c r="P6" s="353"/>
      <c r="Q6" s="353"/>
      <c r="R6" s="353"/>
      <c r="S6" s="353"/>
      <c r="T6" s="353"/>
      <c r="U6" s="353"/>
      <c r="V6" s="353"/>
      <c r="W6" s="353"/>
      <c r="X6" s="353"/>
      <c r="Y6" s="353"/>
      <c r="Z6" s="353"/>
      <c r="AA6" s="353"/>
      <c r="AB6" s="353"/>
    </row>
    <row r="7" spans="1:28" ht="13.5" customHeight="1" x14ac:dyDescent="0.25">
      <c r="A7" s="141"/>
      <c r="B7" s="141"/>
      <c r="C7" s="141"/>
      <c r="D7" s="141"/>
      <c r="E7" s="353"/>
      <c r="F7" s="353"/>
      <c r="G7" s="353"/>
      <c r="H7" s="353"/>
      <c r="I7" s="353"/>
      <c r="J7" s="353"/>
      <c r="K7" s="353"/>
      <c r="L7" s="353"/>
      <c r="M7" s="353"/>
      <c r="N7" s="353"/>
      <c r="O7" s="353"/>
      <c r="P7" s="353"/>
      <c r="Q7" s="353"/>
      <c r="R7" s="353"/>
      <c r="S7" s="353"/>
      <c r="T7" s="353"/>
      <c r="U7" s="353"/>
      <c r="V7" s="353"/>
      <c r="W7" s="353"/>
      <c r="X7" s="353"/>
      <c r="Y7" s="353"/>
      <c r="Z7" s="353"/>
      <c r="AA7" s="353"/>
      <c r="AB7" s="353"/>
    </row>
    <row r="8" spans="1:28" ht="6.75" customHeight="1" x14ac:dyDescent="0.25">
      <c r="A8" s="141"/>
      <c r="B8" s="141"/>
      <c r="C8" s="141"/>
      <c r="D8" s="141"/>
      <c r="E8" s="141"/>
      <c r="F8" s="141"/>
      <c r="G8" s="141"/>
      <c r="H8" s="141"/>
      <c r="I8" s="141"/>
      <c r="J8" s="141"/>
      <c r="K8" s="141"/>
      <c r="L8" s="141"/>
      <c r="M8" s="141"/>
      <c r="N8" s="141"/>
      <c r="O8" s="141"/>
      <c r="P8" s="141"/>
      <c r="Q8" s="141"/>
      <c r="R8" s="141"/>
      <c r="S8" s="141"/>
      <c r="T8" s="141"/>
      <c r="U8" s="141"/>
      <c r="V8" s="141"/>
      <c r="W8" s="141"/>
      <c r="X8" s="141"/>
      <c r="Y8" s="141"/>
      <c r="Z8" s="141"/>
      <c r="AA8" s="141"/>
      <c r="AB8" s="141"/>
    </row>
    <row r="9" spans="1:28" ht="45.75" customHeight="1" x14ac:dyDescent="0.25">
      <c r="A9" s="141"/>
      <c r="B9" s="141"/>
      <c r="C9" s="427" t="s">
        <v>2653</v>
      </c>
      <c r="D9" s="349"/>
      <c r="E9" s="349"/>
      <c r="F9" s="349"/>
      <c r="G9" s="349"/>
      <c r="H9" s="349"/>
      <c r="I9" s="349"/>
      <c r="J9" s="349"/>
      <c r="K9" s="349"/>
      <c r="L9" s="349"/>
      <c r="M9" s="349"/>
      <c r="N9" s="349"/>
      <c r="O9" s="349"/>
      <c r="P9" s="349"/>
      <c r="Q9" s="349"/>
      <c r="R9" s="349"/>
      <c r="S9" s="349"/>
      <c r="T9" s="349"/>
      <c r="U9" s="349"/>
      <c r="V9" s="349"/>
      <c r="W9" s="349"/>
      <c r="X9" s="349"/>
      <c r="Y9" s="349"/>
      <c r="Z9" s="349"/>
      <c r="AA9" s="349"/>
      <c r="AB9" s="349"/>
    </row>
    <row r="10" spans="1:28" ht="15.75" customHeight="1" x14ac:dyDescent="0.25">
      <c r="A10" s="141"/>
      <c r="B10" s="141"/>
      <c r="C10" s="378" t="str">
        <f>"dзар – диаметр заряда, м; dзар = "&amp;Параметры!$D$26&amp;" "&amp;Параметры!$C$26</f>
        <v>dзар – диаметр заряда, м; dзар = 0,215 м</v>
      </c>
      <c r="D10" s="349"/>
      <c r="E10" s="349"/>
      <c r="F10" s="349"/>
      <c r="G10" s="349"/>
      <c r="H10" s="349"/>
      <c r="I10" s="349"/>
      <c r="J10" s="349"/>
      <c r="K10" s="349"/>
      <c r="L10" s="349"/>
      <c r="M10" s="349"/>
      <c r="N10" s="349"/>
      <c r="O10" s="349"/>
      <c r="P10" s="349"/>
      <c r="Q10" s="349"/>
      <c r="R10" s="349"/>
      <c r="S10" s="349"/>
      <c r="T10" s="349"/>
      <c r="U10" s="349"/>
      <c r="V10" s="349"/>
      <c r="W10" s="349"/>
      <c r="X10" s="349"/>
      <c r="Y10" s="349"/>
      <c r="Z10" s="349"/>
      <c r="AA10" s="349"/>
      <c r="AB10" s="349"/>
    </row>
    <row r="11" spans="1:28" ht="15.75" customHeight="1" x14ac:dyDescent="0.25">
      <c r="A11" s="141"/>
      <c r="B11" s="378" t="s">
        <v>2654</v>
      </c>
      <c r="C11" s="349"/>
      <c r="D11" s="349"/>
      <c r="E11" s="349"/>
      <c r="F11" s="349"/>
      <c r="G11" s="349"/>
      <c r="H11" s="349"/>
      <c r="I11" s="349"/>
      <c r="J11" s="349"/>
      <c r="K11" s="349"/>
      <c r="L11" s="349"/>
      <c r="M11" s="349"/>
      <c r="N11" s="349"/>
      <c r="O11" s="349"/>
      <c r="P11" s="349"/>
      <c r="Q11" s="349"/>
      <c r="R11" s="349"/>
      <c r="S11" s="349"/>
      <c r="T11" s="349"/>
      <c r="U11" s="349"/>
      <c r="V11" s="349"/>
      <c r="W11" s="349"/>
      <c r="X11" s="349"/>
      <c r="Y11" s="349"/>
      <c r="Z11" s="349"/>
      <c r="AA11" s="349"/>
      <c r="AB11" s="349"/>
    </row>
    <row r="12" spans="1:28" ht="15.75" customHeight="1" x14ac:dyDescent="0.25">
      <c r="A12" s="141"/>
      <c r="B12" s="141"/>
      <c r="C12" s="141"/>
      <c r="D12" s="378" t="str">
        <f>" = "&amp;Параметры!$D$28&amp;" "&amp;Параметры!$C$28&amp;";"</f>
        <v xml:space="preserve"> = 1,13 ;</v>
      </c>
      <c r="E12" s="349"/>
      <c r="F12" s="349"/>
      <c r="G12" s="349"/>
      <c r="H12" s="349"/>
      <c r="I12" s="349"/>
      <c r="J12" s="349"/>
      <c r="K12" s="349"/>
      <c r="L12" s="349"/>
      <c r="M12" s="349"/>
      <c r="N12" s="349"/>
      <c r="O12" s="349"/>
      <c r="P12" s="349"/>
      <c r="Q12" s="349"/>
      <c r="R12" s="349"/>
      <c r="S12" s="349"/>
      <c r="T12" s="349"/>
      <c r="U12" s="349"/>
      <c r="V12" s="349"/>
      <c r="W12" s="349"/>
      <c r="X12" s="349"/>
      <c r="Y12" s="349"/>
      <c r="Z12" s="349"/>
      <c r="AA12" s="349"/>
      <c r="AB12" s="349"/>
    </row>
    <row r="13" spans="1:28" ht="15.75" customHeight="1" x14ac:dyDescent="0.25">
      <c r="A13" s="141"/>
      <c r="B13" s="141"/>
      <c r="C13" s="378" t="str">
        <f>"l – коэффициент работоспособности ВВ (игданит) по отношению к "&amp;Параметры!$B$69&amp;"; l = "&amp;Параметры!$D$28</f>
        <v>l – коэффициент работоспособности ВВ (игданит) по отношению к ПТ-П-500; l = 1,13</v>
      </c>
      <c r="D13" s="349"/>
      <c r="E13" s="349"/>
      <c r="F13" s="349"/>
      <c r="G13" s="349"/>
      <c r="H13" s="349"/>
      <c r="I13" s="349"/>
      <c r="J13" s="349"/>
      <c r="K13" s="349"/>
      <c r="L13" s="349"/>
      <c r="M13" s="349"/>
      <c r="N13" s="349"/>
      <c r="O13" s="349"/>
      <c r="P13" s="349"/>
      <c r="Q13" s="349"/>
      <c r="R13" s="349"/>
      <c r="S13" s="349"/>
      <c r="T13" s="349"/>
      <c r="U13" s="349"/>
      <c r="V13" s="349"/>
      <c r="W13" s="349"/>
      <c r="X13" s="349"/>
      <c r="Y13" s="349"/>
      <c r="Z13" s="349"/>
      <c r="AA13" s="349"/>
      <c r="AB13" s="349"/>
    </row>
    <row r="14" spans="1:28" ht="34.5" customHeight="1" x14ac:dyDescent="0.25">
      <c r="A14" s="141"/>
      <c r="B14" s="45"/>
      <c r="C14" s="421" t="str">
        <f>"    - плотность породы, кг/м3. Для месторождения:"&amp;Параметры!$C$5&amp;" составляет "&amp;Параметры!$D$29&amp;" "&amp;Параметры!$C$29</f>
        <v xml:space="preserve">    - плотность породы, кг/м3. Для месторождения:Хаптагай-Хая составляет 2550 кг/м.куб</v>
      </c>
      <c r="D14" s="349"/>
      <c r="E14" s="349"/>
      <c r="F14" s="349"/>
      <c r="G14" s="349"/>
      <c r="H14" s="349"/>
      <c r="I14" s="349"/>
      <c r="J14" s="349"/>
      <c r="K14" s="349"/>
      <c r="L14" s="349"/>
      <c r="M14" s="349"/>
      <c r="N14" s="349"/>
      <c r="O14" s="349"/>
      <c r="P14" s="349"/>
      <c r="Q14" s="349"/>
      <c r="R14" s="349"/>
      <c r="S14" s="349"/>
      <c r="T14" s="349"/>
      <c r="U14" s="349"/>
      <c r="V14" s="349"/>
      <c r="W14" s="349"/>
      <c r="X14" s="349"/>
      <c r="Y14" s="349"/>
      <c r="Z14" s="349"/>
      <c r="AA14" s="349"/>
      <c r="AB14" s="349"/>
    </row>
    <row r="15" spans="1:28" ht="0.75" hidden="1" customHeight="1" x14ac:dyDescent="0.25">
      <c r="A15" s="141"/>
      <c r="B15" s="45"/>
      <c r="C15" s="122"/>
      <c r="D15" s="122"/>
      <c r="E15" s="122"/>
      <c r="F15" s="122"/>
      <c r="G15" s="122"/>
      <c r="H15" s="122"/>
      <c r="I15" s="122"/>
      <c r="J15" s="122"/>
      <c r="K15" s="122"/>
      <c r="L15" s="122"/>
      <c r="M15" s="122"/>
      <c r="N15" s="122"/>
      <c r="O15" s="122"/>
      <c r="P15" s="122"/>
      <c r="Q15" s="122"/>
      <c r="R15" s="122"/>
      <c r="S15" s="122"/>
      <c r="T15" s="122"/>
      <c r="U15" s="122"/>
      <c r="V15" s="122"/>
      <c r="W15" s="122"/>
      <c r="X15" s="122"/>
      <c r="Y15" s="122"/>
      <c r="Z15" s="122"/>
      <c r="AA15" s="122"/>
      <c r="AB15" s="122"/>
    </row>
    <row r="16" spans="1:28" x14ac:dyDescent="0.25">
      <c r="A16" s="141"/>
      <c r="B16" s="45"/>
      <c r="C16" s="141"/>
      <c r="D16" s="141"/>
      <c r="E16" s="141"/>
      <c r="F16" s="141"/>
      <c r="G16" s="141"/>
      <c r="H16" s="141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41"/>
      <c r="W16" s="141"/>
      <c r="X16" s="141"/>
      <c r="Y16" s="141"/>
      <c r="Z16" s="141"/>
      <c r="AA16" s="141"/>
      <c r="AB16" s="141"/>
    </row>
    <row r="17" spans="1:41" ht="18.75" customHeight="1" x14ac:dyDescent="0.25">
      <c r="A17" s="141"/>
      <c r="B17" s="45"/>
      <c r="C17" s="141"/>
      <c r="D17" s="198" t="s">
        <v>2655</v>
      </c>
      <c r="E17" s="141">
        <v>53</v>
      </c>
      <c r="F17" s="141" t="s">
        <v>2656</v>
      </c>
      <c r="G17" s="199">
        <f>Параметры!$D$27</f>
        <v>0.86</v>
      </c>
      <c r="H17" s="141" t="s">
        <v>2656</v>
      </c>
      <c r="I17" s="141">
        <f>d_скважины</f>
        <v>0.215</v>
      </c>
      <c r="J17" s="141"/>
      <c r="K17" s="385">
        <f>Плотность_ВВ*1000</f>
        <v>820</v>
      </c>
      <c r="L17" s="356"/>
      <c r="M17" s="200" t="s">
        <v>2657</v>
      </c>
      <c r="N17" s="432">
        <f>Параметры!$D$28</f>
        <v>1.1299999999999999</v>
      </c>
      <c r="O17" s="356"/>
      <c r="P17" s="428" t="s">
        <v>2658</v>
      </c>
      <c r="Q17" s="354">
        <f>E17</f>
        <v>53</v>
      </c>
      <c r="R17" s="354" t="s">
        <v>2656</v>
      </c>
      <c r="S17" s="354">
        <f>G17</f>
        <v>0.86</v>
      </c>
      <c r="T17" s="354" t="s">
        <v>2656</v>
      </c>
      <c r="U17" s="354">
        <f>I17</f>
        <v>0.215</v>
      </c>
      <c r="V17" s="354" t="s">
        <v>2656</v>
      </c>
      <c r="W17" s="354">
        <f>SQRT(($K$17-$N$17)/$K$18)</f>
        <v>0.56667935395254909</v>
      </c>
      <c r="X17" s="354" t="s">
        <v>2658</v>
      </c>
      <c r="Y17" s="354">
        <f>Параметры!$D$49</f>
        <v>6.5</v>
      </c>
      <c r="Z17" s="358" t="str">
        <f>Параметры!$C$49</f>
        <v>м</v>
      </c>
      <c r="AA17" s="378"/>
      <c r="AB17" s="141"/>
    </row>
    <row r="18" spans="1:41" x14ac:dyDescent="0.25">
      <c r="A18" s="141"/>
      <c r="B18" s="45"/>
      <c r="C18" s="141"/>
      <c r="D18" s="141"/>
      <c r="E18" s="141"/>
      <c r="F18" s="141"/>
      <c r="G18" s="141"/>
      <c r="H18" s="141"/>
      <c r="I18" s="141"/>
      <c r="J18" s="141"/>
      <c r="K18" s="435">
        <f>Параметры!$D$29</f>
        <v>2550</v>
      </c>
      <c r="L18" s="368"/>
      <c r="M18" s="368"/>
      <c r="N18" s="368"/>
      <c r="O18" s="368"/>
      <c r="P18" s="349"/>
      <c r="Q18" s="349"/>
      <c r="R18" s="349"/>
      <c r="S18" s="349"/>
      <c r="T18" s="349"/>
      <c r="U18" s="349"/>
      <c r="V18" s="349"/>
      <c r="W18" s="349"/>
      <c r="X18" s="349"/>
      <c r="Y18" s="349"/>
      <c r="Z18" s="378"/>
      <c r="AA18" s="378"/>
      <c r="AB18" s="141"/>
    </row>
    <row r="19" spans="1:41" ht="12.75" customHeight="1" x14ac:dyDescent="0.25">
      <c r="A19" s="141"/>
      <c r="B19" s="45"/>
      <c r="C19" s="349" t="s">
        <v>2659</v>
      </c>
      <c r="D19" s="349"/>
      <c r="E19" s="349"/>
      <c r="F19" s="349"/>
      <c r="G19" s="349"/>
      <c r="H19" s="349"/>
      <c r="I19" s="349"/>
      <c r="J19" s="349"/>
      <c r="K19" s="349"/>
      <c r="L19" s="349"/>
      <c r="M19" s="349"/>
      <c r="N19" s="349"/>
      <c r="O19" s="349"/>
      <c r="P19" s="349"/>
      <c r="Q19" s="349"/>
      <c r="R19" s="349"/>
      <c r="S19" s="349"/>
      <c r="T19" s="349"/>
      <c r="U19" s="349"/>
      <c r="V19" s="349"/>
      <c r="W19" s="349"/>
      <c r="X19" s="349"/>
      <c r="Y19" s="349"/>
      <c r="Z19" s="349"/>
      <c r="AA19" s="349"/>
      <c r="AB19" s="349"/>
    </row>
    <row r="20" spans="1:41" ht="15.75" hidden="1" customHeight="1" x14ac:dyDescent="0.25">
      <c r="A20" s="141"/>
      <c r="B20" s="45"/>
      <c r="C20" s="141"/>
      <c r="D20" s="141"/>
      <c r="E20" s="141"/>
      <c r="F20" s="141"/>
      <c r="G20" s="141"/>
      <c r="H20" s="141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41"/>
      <c r="W20" s="141"/>
      <c r="X20" s="141"/>
      <c r="Y20" s="141"/>
      <c r="Z20" s="141"/>
      <c r="AA20" s="141"/>
      <c r="AB20" s="141"/>
    </row>
    <row r="21" spans="1:41" ht="15.75" customHeight="1" x14ac:dyDescent="0.25">
      <c r="A21" s="141"/>
      <c r="B21" s="45"/>
      <c r="C21" s="378" t="s">
        <v>2660</v>
      </c>
      <c r="D21" s="349"/>
      <c r="E21" s="349"/>
      <c r="F21" s="349"/>
      <c r="G21" s="349"/>
      <c r="H21" s="349"/>
      <c r="I21" s="349"/>
      <c r="J21" s="349"/>
      <c r="K21" s="349"/>
      <c r="L21" s="349"/>
      <c r="M21" s="349"/>
      <c r="N21" s="349"/>
      <c r="O21" s="349"/>
      <c r="P21" s="349"/>
      <c r="Q21" s="349"/>
      <c r="R21" s="349"/>
      <c r="S21" s="349"/>
      <c r="T21" s="349"/>
      <c r="U21" s="349"/>
      <c r="V21" s="349"/>
      <c r="W21" s="349"/>
      <c r="X21" s="349"/>
      <c r="Y21" s="349"/>
      <c r="Z21" s="349"/>
      <c r="AA21" s="349"/>
      <c r="AB21" s="349"/>
    </row>
    <row r="22" spans="1:41" ht="4.5" customHeight="1" x14ac:dyDescent="0.25">
      <c r="A22" s="141"/>
      <c r="B22" s="45"/>
      <c r="C22" s="141"/>
      <c r="D22" s="141"/>
      <c r="E22" s="141"/>
      <c r="F22" s="141"/>
      <c r="G22" s="141"/>
      <c r="H22" s="141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41"/>
      <c r="W22" s="141"/>
      <c r="X22" s="141"/>
      <c r="Y22" s="141"/>
      <c r="Z22" s="141"/>
      <c r="AA22" s="141"/>
      <c r="AB22" s="141"/>
    </row>
    <row r="23" spans="1:41" ht="15.75" customHeight="1" x14ac:dyDescent="0.25">
      <c r="A23" s="141"/>
      <c r="B23" s="45"/>
      <c r="C23" s="141"/>
      <c r="D23" s="364" t="str">
        <f>"а = Wп * m = "&amp;$Y$17&amp;" * "&amp;$P$28&amp;" ≈ "</f>
        <v xml:space="preserve">а = Wп * m = 6,5 * 0,92 ≈ </v>
      </c>
      <c r="E23" s="364"/>
      <c r="F23" s="364"/>
      <c r="G23" s="364"/>
      <c r="H23" s="364"/>
      <c r="I23" s="364"/>
      <c r="J23" s="364"/>
      <c r="K23" s="364"/>
      <c r="L23" s="364"/>
      <c r="M23" s="364"/>
      <c r="N23" s="430">
        <f>Параметры!$D$33</f>
        <v>5.5</v>
      </c>
      <c r="O23" s="430"/>
      <c r="P23" s="141" t="str">
        <f>Параметры!$C$33</f>
        <v>м</v>
      </c>
      <c r="Q23" s="141"/>
      <c r="R23" s="141"/>
      <c r="S23" s="141"/>
      <c r="T23" s="141"/>
      <c r="U23" s="118"/>
      <c r="V23" s="141"/>
      <c r="W23" s="141"/>
      <c r="X23" s="141"/>
      <c r="Y23" s="141"/>
      <c r="Z23" s="141"/>
      <c r="AA23" s="141"/>
      <c r="AB23" s="141"/>
    </row>
    <row r="24" spans="1:41" ht="15.75" customHeight="1" x14ac:dyDescent="0.25">
      <c r="A24" s="141"/>
      <c r="B24" s="45"/>
      <c r="C24" s="141"/>
      <c r="D24" s="215"/>
      <c r="E24" s="215"/>
      <c r="F24" s="366" t="str">
        <f>"b = Wп * (0,85/1,0) = "&amp;$Y$17&amp;" * "&amp;$P$28&amp;" ≈ "</f>
        <v xml:space="preserve">b = Wп * (0,85/1,0) = 6,5 * 0,92 ≈ </v>
      </c>
      <c r="G24" s="366"/>
      <c r="H24" s="366"/>
      <c r="I24" s="366"/>
      <c r="J24" s="366"/>
      <c r="K24" s="366"/>
      <c r="L24" s="366"/>
      <c r="M24" s="366"/>
      <c r="N24" s="366"/>
      <c r="O24" s="366"/>
      <c r="P24" s="366"/>
      <c r="Q24" s="431">
        <f>Параметры!$D$34</f>
        <v>5</v>
      </c>
      <c r="R24" s="431"/>
      <c r="S24" s="141" t="str">
        <f>P23</f>
        <v>м</v>
      </c>
      <c r="U24" s="141"/>
      <c r="V24" s="141"/>
      <c r="W24" s="141"/>
      <c r="X24" s="141"/>
      <c r="Y24" s="141"/>
      <c r="Z24" s="141"/>
      <c r="AA24" s="141"/>
      <c r="AB24" s="141"/>
    </row>
    <row r="25" spans="1:41" ht="0.75" customHeight="1" x14ac:dyDescent="0.25">
      <c r="A25" s="141"/>
      <c r="B25" s="45"/>
      <c r="C25" s="141"/>
      <c r="D25" s="215"/>
      <c r="E25" s="215"/>
      <c r="F25" s="215"/>
      <c r="G25" s="215"/>
      <c r="H25" s="215"/>
      <c r="I25" s="215"/>
      <c r="J25" s="215"/>
      <c r="K25" s="215"/>
      <c r="L25" s="215"/>
      <c r="M25" s="215"/>
      <c r="N25" s="215"/>
      <c r="O25" s="215"/>
      <c r="P25" s="141"/>
      <c r="Q25" s="141"/>
      <c r="R25" s="141"/>
      <c r="S25" s="141"/>
      <c r="T25" s="141"/>
      <c r="U25" s="141"/>
      <c r="V25" s="141"/>
      <c r="W25" s="141"/>
      <c r="X25" s="141"/>
      <c r="Y25" s="141"/>
      <c r="Z25" s="141"/>
      <c r="AA25" s="141"/>
      <c r="AB25" s="141"/>
    </row>
    <row r="26" spans="1:41" ht="46.5" customHeight="1" x14ac:dyDescent="0.25">
      <c r="A26" s="141"/>
      <c r="B26" s="45"/>
      <c r="C26" s="427" t="s">
        <v>2661</v>
      </c>
      <c r="D26" s="349"/>
      <c r="E26" s="349"/>
      <c r="F26" s="349"/>
      <c r="G26" s="349"/>
      <c r="H26" s="349"/>
      <c r="I26" s="349"/>
      <c r="J26" s="349"/>
      <c r="K26" s="349"/>
      <c r="L26" s="349"/>
      <c r="M26" s="349"/>
      <c r="N26" s="349"/>
      <c r="O26" s="349"/>
      <c r="P26" s="349"/>
      <c r="Q26" s="349"/>
      <c r="R26" s="349"/>
      <c r="S26" s="349"/>
      <c r="T26" s="349"/>
      <c r="U26" s="349"/>
      <c r="V26" s="349"/>
      <c r="W26" s="349"/>
      <c r="X26" s="349"/>
      <c r="Y26" s="349"/>
      <c r="Z26" s="349"/>
      <c r="AA26" s="349"/>
      <c r="AB26" s="349"/>
      <c r="AO26" s="46"/>
    </row>
    <row r="27" spans="1:41" ht="8.25" customHeight="1" x14ac:dyDescent="0.25">
      <c r="A27" s="141"/>
      <c r="B27" s="141"/>
      <c r="C27" s="141"/>
      <c r="D27" s="141"/>
      <c r="E27" s="141"/>
      <c r="F27" s="141"/>
      <c r="G27" s="141"/>
      <c r="H27" s="141"/>
      <c r="I27" s="141"/>
      <c r="J27" s="141"/>
      <c r="K27" s="141"/>
      <c r="L27" s="141"/>
      <c r="M27" s="141"/>
      <c r="N27" s="141"/>
      <c r="O27" s="141"/>
      <c r="P27" s="141"/>
      <c r="Q27" s="141"/>
      <c r="R27" s="141"/>
      <c r="S27" s="141"/>
      <c r="T27" s="141"/>
      <c r="U27" s="141"/>
      <c r="V27" s="141"/>
      <c r="W27" s="141"/>
      <c r="X27" s="141"/>
      <c r="Y27" s="141"/>
      <c r="Z27" s="141"/>
      <c r="AA27" s="141"/>
      <c r="AB27" s="141"/>
    </row>
    <row r="28" spans="1:41" x14ac:dyDescent="0.25">
      <c r="A28" s="141"/>
      <c r="B28" s="141"/>
      <c r="C28" s="141"/>
      <c r="D28" s="141"/>
      <c r="E28" s="141"/>
      <c r="F28" s="141"/>
      <c r="G28" s="141"/>
      <c r="H28" s="141"/>
      <c r="I28" s="141"/>
      <c r="J28" s="141"/>
      <c r="K28" s="141"/>
      <c r="L28" s="141"/>
      <c r="M28" s="141"/>
      <c r="N28" s="141"/>
      <c r="O28" s="141"/>
      <c r="P28" s="429">
        <f>Параметры!$D$50</f>
        <v>0.92</v>
      </c>
      <c r="Q28" s="429"/>
      <c r="R28" s="141"/>
      <c r="S28" s="141"/>
      <c r="T28" s="141"/>
      <c r="U28" s="141"/>
      <c r="V28" s="141"/>
      <c r="W28" s="141"/>
      <c r="X28" s="141"/>
      <c r="Y28" s="141"/>
      <c r="Z28" s="141"/>
      <c r="AA28" s="141"/>
      <c r="AB28" s="141"/>
    </row>
    <row r="29" spans="1:41" x14ac:dyDescent="0.25">
      <c r="A29" s="141"/>
      <c r="B29" s="141"/>
      <c r="C29" s="141"/>
      <c r="D29" s="141"/>
      <c r="E29" s="141"/>
      <c r="F29" s="141"/>
      <c r="G29" s="141"/>
      <c r="H29" s="141"/>
      <c r="I29" s="141"/>
      <c r="J29" s="141"/>
      <c r="K29" s="141"/>
      <c r="L29" s="141"/>
      <c r="M29" s="141"/>
      <c r="N29" s="141"/>
      <c r="O29" s="141"/>
      <c r="P29" s="141"/>
      <c r="Q29" s="141"/>
      <c r="R29" s="141"/>
      <c r="S29" s="141"/>
      <c r="T29" s="141"/>
      <c r="U29" s="141"/>
      <c r="V29" s="141"/>
      <c r="W29" s="141"/>
      <c r="X29" s="141"/>
      <c r="Y29" s="141"/>
      <c r="Z29" s="141"/>
      <c r="AA29" s="141"/>
      <c r="AB29" s="141"/>
    </row>
    <row r="30" spans="1:41" ht="6" customHeight="1" x14ac:dyDescent="0.25">
      <c r="A30" s="141"/>
      <c r="B30" s="141"/>
      <c r="C30" s="141"/>
      <c r="D30" s="141"/>
      <c r="E30" s="141"/>
      <c r="F30" s="141"/>
      <c r="G30" s="141"/>
      <c r="H30" s="141"/>
      <c r="I30" s="141"/>
      <c r="J30" s="141"/>
      <c r="K30" s="141"/>
      <c r="L30" s="141"/>
      <c r="M30" s="141"/>
      <c r="N30" s="141"/>
      <c r="O30" s="141"/>
      <c r="P30" s="141"/>
      <c r="Q30" s="141"/>
      <c r="R30" s="141"/>
      <c r="S30" s="141"/>
      <c r="T30" s="141"/>
      <c r="U30" s="141"/>
      <c r="V30" s="141"/>
      <c r="W30" s="141"/>
      <c r="X30" s="141"/>
      <c r="Y30" s="141"/>
      <c r="Z30" s="141"/>
      <c r="AA30" s="141"/>
      <c r="AB30" s="141"/>
    </row>
    <row r="31" spans="1:41" ht="27.75" customHeight="1" x14ac:dyDescent="0.25">
      <c r="A31" s="141"/>
      <c r="B31" s="141"/>
      <c r="C31" s="433" t="s">
        <v>2662</v>
      </c>
      <c r="D31" s="349"/>
      <c r="E31" s="349"/>
      <c r="F31" s="349"/>
      <c r="G31" s="349"/>
      <c r="H31" s="349"/>
      <c r="I31" s="349"/>
      <c r="J31" s="349"/>
      <c r="K31" s="349"/>
      <c r="L31" s="349"/>
      <c r="M31" s="349"/>
      <c r="N31" s="349"/>
      <c r="O31" s="349"/>
      <c r="P31" s="349"/>
      <c r="Q31" s="349"/>
      <c r="R31" s="349"/>
      <c r="S31" s="349"/>
      <c r="T31" s="349"/>
      <c r="U31" s="349"/>
      <c r="V31" s="349"/>
      <c r="W31" s="349"/>
      <c r="X31" s="349"/>
      <c r="Y31" s="349"/>
      <c r="Z31" s="349"/>
      <c r="AA31" s="349"/>
      <c r="AB31" s="349"/>
    </row>
    <row r="32" spans="1:41" ht="49.5" customHeight="1" x14ac:dyDescent="0.25">
      <c r="A32" s="141"/>
      <c r="B32" s="141"/>
      <c r="C32" s="427" t="str">
        <f>"Число рядов скважинных зарядов принимают в соответствии с минимальной шириной рабочей площади экскаватора типа PC-800. Согласно расчетов маркшейдерской службы количество рядов на полигоне "&amp;Параметры!$C$7&amp;" составит "&amp;Параметры!$D$39&amp;" "&amp;Параметры!$C$39</f>
        <v>Число рядов скважинных зарядов принимают в соответствии с минимальной шириной рабочей площади экскаватора типа PC-800. Согласно расчетов маркшейдерской службы количество рядов на полигоне  П-10; С1-13б составит 20 шт</v>
      </c>
      <c r="D32" s="349"/>
      <c r="E32" s="349"/>
      <c r="F32" s="349"/>
      <c r="G32" s="349"/>
      <c r="H32" s="349"/>
      <c r="I32" s="349"/>
      <c r="J32" s="349"/>
      <c r="K32" s="349"/>
      <c r="L32" s="349"/>
      <c r="M32" s="349"/>
      <c r="N32" s="349"/>
      <c r="O32" s="349"/>
      <c r="P32" s="349"/>
      <c r="Q32" s="349"/>
      <c r="R32" s="349"/>
      <c r="S32" s="349"/>
      <c r="T32" s="349"/>
      <c r="U32" s="349"/>
      <c r="V32" s="349"/>
      <c r="W32" s="349"/>
      <c r="X32" s="349"/>
      <c r="Y32" s="349"/>
      <c r="Z32" s="349"/>
      <c r="AA32" s="349"/>
      <c r="AB32" s="349"/>
    </row>
    <row r="33" spans="1:28" ht="6" customHeight="1" x14ac:dyDescent="0.25">
      <c r="A33" s="141"/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141"/>
      <c r="T33" s="141"/>
      <c r="U33" s="141"/>
      <c r="V33" s="141"/>
      <c r="W33" s="141"/>
      <c r="X33" s="141"/>
      <c r="Y33" s="141"/>
      <c r="Z33" s="141"/>
      <c r="AA33" s="141"/>
      <c r="AB33" s="141"/>
    </row>
    <row r="34" spans="1:28" ht="15.75" customHeight="1" x14ac:dyDescent="0.25">
      <c r="A34" s="141"/>
      <c r="B34" s="141"/>
      <c r="C34" s="378" t="s">
        <v>2663</v>
      </c>
      <c r="D34" s="349"/>
      <c r="E34" s="349"/>
      <c r="F34" s="349"/>
      <c r="G34" s="349"/>
      <c r="H34" s="349"/>
      <c r="I34" s="349"/>
      <c r="J34" s="349"/>
      <c r="K34" s="349"/>
      <c r="L34" s="349"/>
      <c r="M34" s="349"/>
      <c r="N34" s="349"/>
      <c r="O34" s="349"/>
      <c r="P34" s="349"/>
      <c r="Q34" s="349"/>
      <c r="R34" s="349"/>
      <c r="S34" s="349"/>
      <c r="T34" s="349"/>
      <c r="U34" s="349"/>
      <c r="V34" s="349"/>
      <c r="W34" s="349"/>
      <c r="X34" s="349"/>
      <c r="Y34" s="349"/>
      <c r="Z34" s="349"/>
      <c r="AA34" s="349"/>
      <c r="AB34" s="141"/>
    </row>
    <row r="35" spans="1:28" x14ac:dyDescent="0.25">
      <c r="A35" s="141"/>
      <c r="B35" s="141"/>
      <c r="C35" s="141"/>
      <c r="D35" s="141"/>
      <c r="E35" s="141"/>
      <c r="F35" s="141"/>
      <c r="G35" s="141"/>
      <c r="H35" s="141"/>
      <c r="I35" s="141"/>
      <c r="J35" s="141"/>
      <c r="K35" s="141"/>
      <c r="L35" s="141"/>
      <c r="M35" s="141"/>
      <c r="N35" s="141"/>
      <c r="O35" s="141"/>
      <c r="P35" s="141"/>
      <c r="Q35" s="141"/>
      <c r="R35" s="141"/>
      <c r="S35" s="141"/>
      <c r="T35" s="141"/>
      <c r="U35" s="141"/>
      <c r="V35" s="141"/>
      <c r="W35" s="141"/>
      <c r="X35" s="141"/>
      <c r="Y35" s="141"/>
      <c r="Z35" s="141"/>
      <c r="AA35" s="141"/>
      <c r="AB35" s="141"/>
    </row>
    <row r="36" spans="1:28" x14ac:dyDescent="0.25">
      <c r="A36" s="141"/>
      <c r="B36" s="141"/>
      <c r="C36" s="141"/>
      <c r="D36" s="141"/>
      <c r="E36" s="141"/>
      <c r="F36" s="141"/>
      <c r="G36" s="141"/>
      <c r="H36" s="141"/>
      <c r="I36" s="141"/>
      <c r="J36" s="141"/>
      <c r="K36" s="141"/>
      <c r="L36" s="141"/>
      <c r="M36" s="141"/>
      <c r="N36" s="141"/>
      <c r="O36" s="141"/>
      <c r="P36" s="141" t="s">
        <v>2664</v>
      </c>
      <c r="Q36" s="141"/>
      <c r="R36" s="141"/>
      <c r="S36" s="141"/>
      <c r="T36" s="141"/>
      <c r="U36" s="141"/>
      <c r="V36" s="141"/>
      <c r="W36" s="201"/>
      <c r="X36" s="141"/>
      <c r="Y36" s="141"/>
      <c r="Z36" s="141"/>
      <c r="AA36" s="141"/>
      <c r="AB36" s="141"/>
    </row>
    <row r="37" spans="1:28" x14ac:dyDescent="0.25">
      <c r="A37" s="141"/>
      <c r="B37" s="141"/>
      <c r="C37" s="141"/>
      <c r="D37" s="141"/>
      <c r="E37" s="141"/>
      <c r="F37" s="141"/>
      <c r="G37" s="141"/>
      <c r="H37" s="141"/>
      <c r="I37" s="141"/>
      <c r="J37" s="141"/>
      <c r="K37" s="141"/>
      <c r="L37" s="141"/>
      <c r="M37" s="141"/>
      <c r="N37" s="141"/>
      <c r="O37" s="141"/>
      <c r="P37" s="141"/>
      <c r="Q37" s="141"/>
      <c r="R37" s="141"/>
      <c r="S37" s="141"/>
      <c r="T37" s="141"/>
      <c r="U37" s="141"/>
      <c r="V37" s="141"/>
      <c r="W37" s="141"/>
      <c r="X37" s="141"/>
      <c r="Y37" s="141"/>
      <c r="Z37" s="141"/>
      <c r="AA37" s="141"/>
      <c r="AB37" s="141"/>
    </row>
    <row r="38" spans="1:28" ht="15.75" customHeight="1" x14ac:dyDescent="0.35">
      <c r="A38" s="141"/>
      <c r="B38" s="141"/>
      <c r="C38" s="378" t="s">
        <v>2869</v>
      </c>
      <c r="D38" s="349"/>
      <c r="E38" s="349"/>
      <c r="F38" s="349"/>
      <c r="G38" s="349"/>
      <c r="H38" s="349"/>
      <c r="I38" s="349"/>
      <c r="J38" s="349"/>
      <c r="K38" s="349"/>
      <c r="L38" s="349"/>
      <c r="M38" s="349"/>
      <c r="N38" s="349"/>
      <c r="O38" s="349"/>
      <c r="P38" s="349"/>
      <c r="Q38" s="349"/>
      <c r="R38" s="349"/>
      <c r="S38" s="349"/>
      <c r="T38" s="349"/>
      <c r="U38" s="349"/>
      <c r="V38" s="349"/>
      <c r="W38" s="349"/>
      <c r="X38" s="349"/>
      <c r="Y38" s="349"/>
      <c r="Z38" s="349"/>
      <c r="AA38" s="349"/>
      <c r="AB38" s="349"/>
    </row>
    <row r="39" spans="1:28" ht="15.75" customHeight="1" x14ac:dyDescent="0.25">
      <c r="A39" s="141"/>
      <c r="B39" s="141"/>
      <c r="C39" s="378" t="str">
        <f>"то dзар = dскв = "&amp;$I$17&amp;" "&amp;Параметры!$C$26</f>
        <v>то dзар = dскв = 0,215 м</v>
      </c>
      <c r="D39" s="349"/>
      <c r="E39" s="349"/>
      <c r="F39" s="349"/>
      <c r="G39" s="349"/>
      <c r="H39" s="349"/>
      <c r="I39" s="349"/>
      <c r="J39" s="349"/>
      <c r="K39" s="349"/>
      <c r="L39" s="349"/>
      <c r="M39" s="349"/>
      <c r="N39" s="349"/>
      <c r="O39" s="349"/>
      <c r="P39" s="349"/>
      <c r="Q39" s="349"/>
      <c r="R39" s="349"/>
      <c r="S39" s="349"/>
      <c r="T39" s="349"/>
      <c r="U39" s="349"/>
      <c r="V39" s="141"/>
      <c r="W39" s="141"/>
      <c r="X39" s="141"/>
      <c r="Y39" s="141"/>
      <c r="Z39" s="141"/>
      <c r="AA39" s="141"/>
      <c r="AB39" s="141"/>
    </row>
    <row r="40" spans="1:28" ht="15.75" customHeight="1" x14ac:dyDescent="0.25">
      <c r="A40" s="141"/>
      <c r="B40" s="141"/>
      <c r="C40" s="141" t="s">
        <v>2665</v>
      </c>
      <c r="D40" s="141"/>
      <c r="E40" s="141"/>
      <c r="F40" s="141"/>
      <c r="G40" s="141"/>
      <c r="H40" s="141"/>
      <c r="I40" s="141"/>
      <c r="J40" s="141"/>
      <c r="K40" s="141"/>
      <c r="L40" s="141"/>
      <c r="M40" s="141"/>
      <c r="N40" s="141"/>
      <c r="O40" s="141"/>
      <c r="P40" s="141"/>
      <c r="Q40" s="141"/>
      <c r="R40" s="141"/>
      <c r="S40" s="141"/>
      <c r="T40" s="141"/>
      <c r="U40" s="141"/>
      <c r="V40" s="141"/>
      <c r="W40" s="141"/>
      <c r="X40" s="141"/>
      <c r="Y40" s="141"/>
      <c r="Z40" s="141"/>
      <c r="AA40" s="141"/>
      <c r="AB40" s="141"/>
    </row>
    <row r="41" spans="1:28" ht="15.75" customHeight="1" x14ac:dyDescent="0.25">
      <c r="A41" s="141"/>
      <c r="B41" s="141"/>
      <c r="C41" s="141" t="str">
        <f>"       =  "&amp;Плотность_ВВ&amp;" "&amp;Параметры!$C$22&amp;";"</f>
        <v xml:space="preserve">       =  0,82 г/cм.куб;</v>
      </c>
      <c r="D41" s="202"/>
      <c r="E41" s="202"/>
      <c r="F41" s="202"/>
      <c r="G41" s="202"/>
      <c r="H41" s="202"/>
      <c r="I41" s="202"/>
      <c r="J41" s="202"/>
      <c r="K41" s="202"/>
      <c r="L41" s="202"/>
      <c r="M41" s="202"/>
      <c r="N41" s="141"/>
      <c r="O41" s="141"/>
      <c r="P41" s="141"/>
      <c r="Q41" s="141"/>
      <c r="R41" s="141"/>
      <c r="S41" s="141"/>
      <c r="T41" s="141"/>
      <c r="U41" s="141"/>
      <c r="V41" s="141"/>
      <c r="W41" s="141"/>
      <c r="X41" s="141"/>
      <c r="Y41" s="141"/>
      <c r="Z41" s="141"/>
      <c r="AA41" s="141"/>
      <c r="AB41" s="141"/>
    </row>
    <row r="42" spans="1:28" ht="18" x14ac:dyDescent="0.35">
      <c r="A42" s="141"/>
      <c r="B42" s="141"/>
      <c r="C42" s="141" t="s">
        <v>2870</v>
      </c>
      <c r="D42" s="141"/>
      <c r="E42" s="141"/>
      <c r="F42" s="141"/>
      <c r="G42" s="141"/>
      <c r="H42" s="141"/>
      <c r="I42" s="141"/>
      <c r="J42" s="141"/>
      <c r="K42" s="141"/>
      <c r="L42" s="141"/>
      <c r="M42" s="141"/>
      <c r="N42" s="141"/>
      <c r="O42" s="141"/>
      <c r="P42" s="141"/>
      <c r="Q42" s="141"/>
      <c r="R42" s="141"/>
      <c r="S42" s="141"/>
      <c r="T42" s="141"/>
      <c r="U42" s="141"/>
      <c r="V42" s="141"/>
      <c r="W42" s="141"/>
      <c r="X42" s="141"/>
      <c r="Y42" s="141"/>
      <c r="Z42" s="141"/>
      <c r="AA42" s="141"/>
      <c r="AB42" s="141"/>
    </row>
    <row r="43" spans="1:28" x14ac:dyDescent="0.25">
      <c r="A43" s="141"/>
      <c r="B43" s="141"/>
      <c r="C43" s="141"/>
      <c r="D43" s="141"/>
      <c r="E43" s="141"/>
      <c r="F43" s="141"/>
      <c r="G43" s="141"/>
      <c r="H43" s="141"/>
      <c r="I43" s="141"/>
      <c r="J43" s="141"/>
      <c r="K43" s="141"/>
      <c r="L43" s="141"/>
      <c r="M43" s="141"/>
      <c r="N43" s="141"/>
      <c r="O43" s="141"/>
      <c r="P43" s="141"/>
      <c r="Q43" s="141"/>
      <c r="R43" s="141"/>
      <c r="S43" s="141"/>
      <c r="T43" s="141"/>
      <c r="U43" s="141"/>
      <c r="V43" s="141"/>
      <c r="W43" s="141"/>
      <c r="X43" s="141"/>
      <c r="Y43" s="141"/>
      <c r="Z43" s="141"/>
      <c r="AA43" s="141"/>
      <c r="AB43" s="141"/>
    </row>
    <row r="44" spans="1:28" x14ac:dyDescent="0.25">
      <c r="A44" s="141"/>
      <c r="B44" s="141"/>
      <c r="C44" s="141"/>
      <c r="D44" s="141"/>
      <c r="E44" s="141"/>
      <c r="F44" s="141"/>
      <c r="G44" s="141"/>
      <c r="H44" s="141"/>
      <c r="I44" s="141"/>
      <c r="J44" s="141"/>
      <c r="K44" s="141"/>
      <c r="L44" s="141"/>
      <c r="M44" s="141"/>
      <c r="N44" s="141"/>
      <c r="O44" s="141"/>
      <c r="P44" s="141"/>
      <c r="Q44" s="141"/>
      <c r="R44" s="141"/>
      <c r="S44" s="141"/>
      <c r="T44" s="141"/>
      <c r="U44" s="141"/>
      <c r="V44" s="141"/>
      <c r="W44" s="141"/>
      <c r="X44" s="141"/>
      <c r="Y44" s="141"/>
      <c r="Z44" s="141"/>
      <c r="AA44" s="141"/>
      <c r="AB44" s="141"/>
    </row>
    <row r="45" spans="1:28" x14ac:dyDescent="0.25">
      <c r="A45" s="141"/>
      <c r="B45" s="141"/>
      <c r="C45" s="141"/>
      <c r="D45" s="141"/>
      <c r="E45" s="141"/>
      <c r="F45" s="141"/>
      <c r="G45" s="141"/>
      <c r="H45" s="141"/>
      <c r="I45" s="141"/>
      <c r="J45" s="141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41"/>
      <c r="V45" s="141"/>
      <c r="W45" s="141"/>
      <c r="X45" s="141"/>
      <c r="Y45" s="141"/>
      <c r="Z45" s="141"/>
      <c r="AA45" s="141"/>
      <c r="AB45" s="141"/>
    </row>
    <row r="46" spans="1:28" hidden="1" x14ac:dyDescent="0.25">
      <c r="N46" s="46"/>
    </row>
    <row r="47" spans="1:28" hidden="1" x14ac:dyDescent="0.25"/>
    <row r="48" spans="1:28" hidden="1" x14ac:dyDescent="0.25"/>
    <row r="49" hidden="1" x14ac:dyDescent="0.25"/>
    <row r="50" ht="15" hidden="1" customHeight="1" x14ac:dyDescent="0.25"/>
    <row r="51" ht="15" hidden="1" customHeight="1" x14ac:dyDescent="0.25"/>
    <row r="52" ht="15" hidden="1" customHeight="1" x14ac:dyDescent="0.25"/>
    <row r="53" ht="15" hidden="1" customHeight="1" x14ac:dyDescent="0.25"/>
    <row r="54" ht="15" hidden="1" customHeight="1" x14ac:dyDescent="0.25"/>
    <row r="55" ht="15" hidden="1" customHeight="1" x14ac:dyDescent="0.25"/>
    <row r="56" ht="15" hidden="1" customHeight="1" x14ac:dyDescent="0.25"/>
    <row r="57" ht="15" hidden="1" customHeight="1" x14ac:dyDescent="0.25"/>
    <row r="58" ht="15" hidden="1" customHeight="1" x14ac:dyDescent="0.25"/>
    <row r="59" ht="15" hidden="1" customHeight="1" x14ac:dyDescent="0.25"/>
    <row r="60" ht="15" hidden="1" customHeight="1" x14ac:dyDescent="0.25"/>
    <row r="61" ht="15" hidden="1" customHeight="1" x14ac:dyDescent="0.25"/>
  </sheetData>
  <mergeCells count="37">
    <mergeCell ref="C2:AB2"/>
    <mergeCell ref="K17:L17"/>
    <mergeCell ref="E6:AB7"/>
    <mergeCell ref="V17:V18"/>
    <mergeCell ref="X17:X18"/>
    <mergeCell ref="K18:O18"/>
    <mergeCell ref="C4:AB4"/>
    <mergeCell ref="T17:T18"/>
    <mergeCell ref="C10:AB10"/>
    <mergeCell ref="C9:AB9"/>
    <mergeCell ref="C32:AB32"/>
    <mergeCell ref="U17:U18"/>
    <mergeCell ref="F24:P24"/>
    <mergeCell ref="P28:Q28"/>
    <mergeCell ref="N23:O23"/>
    <mergeCell ref="Q24:R24"/>
    <mergeCell ref="N17:O17"/>
    <mergeCell ref="C31:AB31"/>
    <mergeCell ref="Q17:Q18"/>
    <mergeCell ref="C21:AB21"/>
    <mergeCell ref="W17:W18"/>
    <mergeCell ref="C39:U39"/>
    <mergeCell ref="D12:AB12"/>
    <mergeCell ref="C5:AB5"/>
    <mergeCell ref="D23:M23"/>
    <mergeCell ref="C14:AB14"/>
    <mergeCell ref="Y17:Y18"/>
    <mergeCell ref="C26:AB26"/>
    <mergeCell ref="P17:P18"/>
    <mergeCell ref="R17:R18"/>
    <mergeCell ref="C38:AB38"/>
    <mergeCell ref="C19:AB19"/>
    <mergeCell ref="Z17:AA18"/>
    <mergeCell ref="C13:AB13"/>
    <mergeCell ref="B11:AB11"/>
    <mergeCell ref="S17:S18"/>
    <mergeCell ref="C34:AA34"/>
  </mergeCells>
  <pageMargins left="0.59055118110236227" right="0.39370078740157483" top="0.74803149606299213" bottom="0.74803149606299213" header="0.31496062992125984" footer="0.31496062992125984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Equation.3" shapeId="36865" r:id="rId4">
          <objectPr defaultSize="0" autoPict="0" r:id="rId5">
            <anchor moveWithCells="1" sizeWithCells="1">
              <from>
                <xdr:col>14</xdr:col>
                <xdr:colOff>66675</xdr:colOff>
                <xdr:row>4</xdr:row>
                <xdr:rowOff>409575</xdr:rowOff>
              </from>
              <to>
                <xdr:col>16</xdr:col>
                <xdr:colOff>180975</xdr:colOff>
                <xdr:row>6</xdr:row>
                <xdr:rowOff>133350</xdr:rowOff>
              </to>
            </anchor>
          </objectPr>
        </oleObject>
      </mc:Choice>
      <mc:Fallback>
        <oleObject progId="Equation.3" shapeId="36865" r:id="rId4"/>
      </mc:Fallback>
    </mc:AlternateContent>
    <mc:AlternateContent xmlns:mc="http://schemas.openxmlformats.org/markup-compatibility/2006">
      <mc:Choice Requires="x14">
        <oleObject progId="Equation.3" shapeId="36866" r:id="rId6">
          <objectPr defaultSize="0" autoPict="0" r:id="rId7">
            <anchor moveWithCells="1" sizeWithCells="1">
              <from>
                <xdr:col>2</xdr:col>
                <xdr:colOff>19050</xdr:colOff>
                <xdr:row>11</xdr:row>
                <xdr:rowOff>19050</xdr:rowOff>
              </from>
              <to>
                <xdr:col>2</xdr:col>
                <xdr:colOff>161925</xdr:colOff>
                <xdr:row>11</xdr:row>
                <xdr:rowOff>180975</xdr:rowOff>
              </to>
            </anchor>
          </objectPr>
        </oleObject>
      </mc:Choice>
      <mc:Fallback>
        <oleObject progId="Equation.3" shapeId="36866" r:id="rId6"/>
      </mc:Fallback>
    </mc:AlternateContent>
    <mc:AlternateContent xmlns:mc="http://schemas.openxmlformats.org/markup-compatibility/2006">
      <mc:Choice Requires="x14">
        <oleObject progId="Equation.3" shapeId="36867" r:id="rId8">
          <objectPr defaultSize="0" autoPict="0" r:id="rId7">
            <anchor moveWithCells="1" sizeWithCells="1">
              <from>
                <xdr:col>2</xdr:col>
                <xdr:colOff>19050</xdr:colOff>
                <xdr:row>10</xdr:row>
                <xdr:rowOff>19050</xdr:rowOff>
              </from>
              <to>
                <xdr:col>2</xdr:col>
                <xdr:colOff>161925</xdr:colOff>
                <xdr:row>10</xdr:row>
                <xdr:rowOff>180975</xdr:rowOff>
              </to>
            </anchor>
          </objectPr>
        </oleObject>
      </mc:Choice>
      <mc:Fallback>
        <oleObject progId="Equation.3" shapeId="36867" r:id="rId8"/>
      </mc:Fallback>
    </mc:AlternateContent>
    <mc:AlternateContent xmlns:mc="http://schemas.openxmlformats.org/markup-compatibility/2006">
      <mc:Choice Requires="x14">
        <oleObject progId="Equation.3" shapeId="36868" r:id="rId9">
          <objectPr defaultSize="0" autoPict="0" r:id="rId10">
            <anchor moveWithCells="1" sizeWithCells="1">
              <from>
                <xdr:col>2</xdr:col>
                <xdr:colOff>9525</xdr:colOff>
                <xdr:row>13</xdr:row>
                <xdr:rowOff>47625</xdr:rowOff>
              </from>
              <to>
                <xdr:col>2</xdr:col>
                <xdr:colOff>104775</xdr:colOff>
                <xdr:row>13</xdr:row>
                <xdr:rowOff>266700</xdr:rowOff>
              </to>
            </anchor>
          </objectPr>
        </oleObject>
      </mc:Choice>
      <mc:Fallback>
        <oleObject progId="Equation.3" shapeId="36868" r:id="rId9"/>
      </mc:Fallback>
    </mc:AlternateContent>
    <mc:AlternateContent xmlns:mc="http://schemas.openxmlformats.org/markup-compatibility/2006">
      <mc:Choice Requires="x14">
        <oleObject progId="Equation.3" shapeId="36869" r:id="rId11">
          <objectPr defaultSize="0" autoPict="0" r:id="rId12">
            <anchor moveWithCells="1" sizeWithCells="1">
              <from>
                <xdr:col>7</xdr:col>
                <xdr:colOff>152400</xdr:colOff>
                <xdr:row>26</xdr:row>
                <xdr:rowOff>9525</xdr:rowOff>
              </from>
              <to>
                <xdr:col>15</xdr:col>
                <xdr:colOff>19050</xdr:colOff>
                <xdr:row>28</xdr:row>
                <xdr:rowOff>180975</xdr:rowOff>
              </to>
            </anchor>
          </objectPr>
        </oleObject>
      </mc:Choice>
      <mc:Fallback>
        <oleObject progId="Equation.3" shapeId="36869" r:id="rId11"/>
      </mc:Fallback>
    </mc:AlternateContent>
    <mc:AlternateContent xmlns:mc="http://schemas.openxmlformats.org/markup-compatibility/2006">
      <mc:Choice Requires="x14">
        <oleObject progId="Equation.3" shapeId="36870" r:id="rId13">
          <objectPr defaultSize="0" autoPict="0" r:id="rId14">
            <anchor moveWithCells="1" sizeWithCells="1">
              <from>
                <xdr:col>8</xdr:col>
                <xdr:colOff>38100</xdr:colOff>
                <xdr:row>35</xdr:row>
                <xdr:rowOff>9525</xdr:rowOff>
              </from>
              <to>
                <xdr:col>14</xdr:col>
                <xdr:colOff>76200</xdr:colOff>
                <xdr:row>36</xdr:row>
                <xdr:rowOff>57150</xdr:rowOff>
              </to>
            </anchor>
          </objectPr>
        </oleObject>
      </mc:Choice>
      <mc:Fallback>
        <oleObject progId="Equation.3" shapeId="36870" r:id="rId13"/>
      </mc:Fallback>
    </mc:AlternateContent>
    <mc:AlternateContent xmlns:mc="http://schemas.openxmlformats.org/markup-compatibility/2006">
      <mc:Choice Requires="x14">
        <oleObject progId="Equation.3" shapeId="36871" r:id="rId15">
          <objectPr defaultSize="0" autoPict="0" r:id="rId7">
            <anchor moveWithCells="1" sizeWithCells="1">
              <from>
                <xdr:col>2</xdr:col>
                <xdr:colOff>28575</xdr:colOff>
                <xdr:row>39</xdr:row>
                <xdr:rowOff>28575</xdr:rowOff>
              </from>
              <to>
                <xdr:col>2</xdr:col>
                <xdr:colOff>171450</xdr:colOff>
                <xdr:row>40</xdr:row>
                <xdr:rowOff>0</xdr:rowOff>
              </to>
            </anchor>
          </objectPr>
        </oleObject>
      </mc:Choice>
      <mc:Fallback>
        <oleObject progId="Equation.3" shapeId="36871" r:id="rId15"/>
      </mc:Fallback>
    </mc:AlternateContent>
    <mc:AlternateContent xmlns:mc="http://schemas.openxmlformats.org/markup-compatibility/2006">
      <mc:Choice Requires="x14">
        <oleObject progId="Equation.3" shapeId="36872" r:id="rId16">
          <objectPr defaultSize="0" autoPict="0" r:id="rId7">
            <anchor moveWithCells="1" sizeWithCells="1">
              <from>
                <xdr:col>2</xdr:col>
                <xdr:colOff>28575</xdr:colOff>
                <xdr:row>40</xdr:row>
                <xdr:rowOff>28575</xdr:rowOff>
              </from>
              <to>
                <xdr:col>2</xdr:col>
                <xdr:colOff>171450</xdr:colOff>
                <xdr:row>41</xdr:row>
                <xdr:rowOff>0</xdr:rowOff>
              </to>
            </anchor>
          </objectPr>
        </oleObject>
      </mc:Choice>
      <mc:Fallback>
        <oleObject progId="Equation.3" shapeId="36872" r:id="rId16"/>
      </mc:Fallback>
    </mc:AlternateContent>
  </oleObjec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Лист17">
    <tabColor rgb="FFFF0000"/>
    <pageSetUpPr fitToPage="1"/>
  </sheetPr>
  <dimension ref="A1:XEV82"/>
  <sheetViews>
    <sheetView showRuler="0" view="pageBreakPreview" topLeftCell="A11" zoomScaleNormal="100" zoomScaleSheetLayoutView="100" zoomScalePageLayoutView="85" workbookViewId="0">
      <selection activeCell="A56" sqref="A56:E56"/>
    </sheetView>
  </sheetViews>
  <sheetFormatPr defaultColWidth="0" defaultRowHeight="15" zeroHeight="1" x14ac:dyDescent="0.25"/>
  <cols>
    <col min="1" max="1" width="12.7109375" style="133" customWidth="1"/>
    <col min="2" max="2" width="4.5703125" style="133" customWidth="1"/>
    <col min="3" max="3" width="1.85546875" style="133" customWidth="1"/>
    <col min="4" max="4" width="4.140625" style="133" customWidth="1"/>
    <col min="5" max="5" width="1.28515625" style="133" customWidth="1"/>
    <col min="6" max="6" width="1.7109375" style="133" customWidth="1"/>
    <col min="7" max="7" width="4.5703125" style="133" customWidth="1"/>
    <col min="8" max="8" width="6.5" style="133" customWidth="1"/>
    <col min="9" max="9" width="3.85546875" style="133" customWidth="1"/>
    <col min="10" max="10" width="5.0" style="133" customWidth="1"/>
    <col min="11" max="11" width="1.42578125" style="133" customWidth="1"/>
    <col min="12" max="12" width="7.0" style="133" customWidth="1"/>
    <col min="13" max="13" width="9.0" style="133" customWidth="1"/>
    <col min="14" max="15" width="1.7109375" style="133" customWidth="1"/>
    <col min="16" max="16" width="2.5703125" style="133" customWidth="1"/>
    <col min="17" max="17" width="3.42578125" style="133" customWidth="1"/>
    <col min="18" max="24" width="2.7109375" style="133" customWidth="1"/>
    <col min="25" max="30" width="2.7109375" style="143" customWidth="1"/>
    <col min="31" max="31" width="2.7109375" style="133" hidden="1" customWidth="1"/>
    <col min="32" max="41" width="9" style="133" hidden="1" customWidth="1"/>
    <col min="42" max="47" width="9.140625" style="133" hidden="1" customWidth="1"/>
    <col min="48" max="52" width="0" style="133" hidden="1" customWidth="1"/>
    <col min="53" max="16384" width="9.140625" style="133" hidden="1"/>
  </cols>
  <sheetData>
    <row r="1" spans="1:43" s="203" customFormat="1" ht="15" hidden="1" customHeight="1" x14ac:dyDescent="0.25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  <c r="O1" s="216"/>
      <c r="P1" s="216"/>
      <c r="Q1" s="216"/>
      <c r="R1" s="216"/>
      <c r="S1" s="216"/>
      <c r="T1" s="216"/>
      <c r="U1" s="216"/>
      <c r="V1" s="216"/>
      <c r="W1" s="216"/>
      <c r="X1" s="216"/>
      <c r="Y1" s="216"/>
      <c r="Z1" s="216"/>
      <c r="AA1" s="216"/>
      <c r="AB1" s="216"/>
      <c r="AC1" s="216"/>
      <c r="AD1" s="216"/>
      <c r="AE1" s="216"/>
    </row>
    <row r="2" spans="1:43" s="203" customFormat="1" ht="15.75" customHeight="1" x14ac:dyDescent="0.25">
      <c r="A2" s="216"/>
      <c r="B2" s="216"/>
      <c r="C2" s="216"/>
      <c r="D2" s="216"/>
      <c r="E2" s="216"/>
      <c r="F2" s="216"/>
      <c r="G2" s="216"/>
      <c r="H2" s="216" t="str">
        <f>"L пер = 14 * "&amp;d_скважины&amp;" * "&amp;TEXT(SQRT(Параметры!$D$22*0.8),"0.00")&amp;" = "&amp;TEXT(14*d_скважины*SQRT(Параметры!$D$22*0.8),"0.00")&amp;" "&amp;Параметры!$C$24</f>
        <v xml:space="preserve">L пер = 14 * 0,215 * 0,81 = 2,44 </v>
      </c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216"/>
      <c r="W2" s="216"/>
      <c r="X2" s="216"/>
      <c r="Y2" s="216"/>
      <c r="Z2" s="216"/>
      <c r="AA2" s="216"/>
      <c r="AB2" s="216"/>
      <c r="AC2" s="216"/>
      <c r="AD2" s="216"/>
      <c r="AE2" s="216"/>
    </row>
    <row r="3" spans="1:43" s="203" customFormat="1" ht="4.5" customHeight="1" x14ac:dyDescent="0.25">
      <c r="A3" s="216"/>
      <c r="B3" s="216"/>
      <c r="C3" s="216"/>
      <c r="D3" s="216"/>
      <c r="E3" s="216"/>
      <c r="F3" s="216"/>
      <c r="G3" s="216"/>
      <c r="H3" s="216"/>
      <c r="I3" s="216"/>
      <c r="J3" s="216"/>
      <c r="K3" s="216"/>
      <c r="L3" s="216"/>
      <c r="M3" s="216"/>
      <c r="N3" s="216"/>
      <c r="O3" s="216"/>
      <c r="P3" s="216"/>
      <c r="Q3" s="216"/>
      <c r="R3" s="216"/>
      <c r="S3" s="216"/>
      <c r="T3" s="216"/>
      <c r="U3" s="216"/>
      <c r="V3" s="216"/>
      <c r="W3" s="216"/>
      <c r="X3" s="216"/>
      <c r="Y3" s="216"/>
      <c r="Z3" s="216"/>
      <c r="AA3" s="216"/>
      <c r="AB3" s="216"/>
      <c r="AC3" s="216"/>
      <c r="AD3" s="216"/>
      <c r="AE3" s="216"/>
    </row>
    <row r="4" spans="1:43" s="203" customFormat="1" ht="15.75" customHeight="1" x14ac:dyDescent="0.25">
      <c r="A4" s="436" t="str">
        <f>"По опыту работ на аналогичных месторождениях lпер принимается равным: "&amp;TEXT(Параметры!$D$46,"0.0")&amp;" м."</f>
        <v>По опыту работ на аналогичных месторождениях lпер принимается равным: 1,0 м.</v>
      </c>
      <c r="B4" s="436"/>
      <c r="C4" s="436"/>
      <c r="D4" s="436"/>
      <c r="E4" s="436"/>
      <c r="F4" s="436"/>
      <c r="G4" s="436"/>
      <c r="H4" s="436"/>
      <c r="I4" s="436"/>
      <c r="J4" s="436"/>
      <c r="K4" s="436"/>
      <c r="L4" s="436"/>
      <c r="M4" s="436"/>
      <c r="N4" s="436"/>
      <c r="O4" s="436"/>
      <c r="P4" s="436"/>
      <c r="Q4" s="436"/>
      <c r="R4" s="436"/>
      <c r="S4" s="436"/>
      <c r="T4" s="436"/>
      <c r="U4" s="436"/>
      <c r="V4" s="436"/>
      <c r="W4" s="436"/>
      <c r="X4" s="436"/>
      <c r="Y4" s="436"/>
      <c r="Z4" s="436"/>
      <c r="AA4" s="436"/>
      <c r="AB4" s="436"/>
      <c r="AC4" s="436"/>
      <c r="AD4" s="436"/>
      <c r="AE4" s="207"/>
      <c r="AQ4" s="204"/>
    </row>
    <row r="5" spans="1:43" s="203" customFormat="1" ht="15.75" customHeight="1" x14ac:dyDescent="0.25">
      <c r="A5" s="207" t="s">
        <v>2666</v>
      </c>
      <c r="B5" s="207"/>
      <c r="C5" s="207"/>
      <c r="D5" s="207"/>
      <c r="E5" s="207"/>
      <c r="F5" s="207"/>
      <c r="G5" s="207"/>
      <c r="H5" s="207"/>
      <c r="I5" s="207"/>
      <c r="J5" s="207"/>
      <c r="K5" s="207"/>
      <c r="L5" s="207"/>
      <c r="M5" s="207"/>
      <c r="N5" s="207"/>
      <c r="O5" s="207"/>
      <c r="P5" s="207"/>
      <c r="Q5" s="207"/>
      <c r="R5" s="207"/>
      <c r="S5" s="207"/>
      <c r="T5" s="207"/>
      <c r="U5" s="207"/>
      <c r="V5" s="207"/>
      <c r="W5" s="207"/>
      <c r="X5" s="207"/>
      <c r="Y5" s="207"/>
      <c r="Z5" s="207"/>
      <c r="AA5" s="207"/>
      <c r="AB5" s="207"/>
      <c r="AC5" s="207"/>
      <c r="AD5" s="207"/>
      <c r="AE5" s="207"/>
    </row>
    <row r="6" spans="1:43" s="203" customFormat="1" ht="3.75" customHeight="1" x14ac:dyDescent="0.25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  <c r="O6" s="216"/>
      <c r="P6" s="216"/>
      <c r="Q6" s="216"/>
      <c r="R6" s="216"/>
      <c r="S6" s="216"/>
      <c r="T6" s="216"/>
      <c r="U6" s="216"/>
      <c r="V6" s="216"/>
      <c r="W6" s="216"/>
      <c r="X6" s="216"/>
      <c r="Y6" s="216"/>
      <c r="Z6" s="216"/>
      <c r="AA6" s="216"/>
      <c r="AB6" s="216"/>
      <c r="AC6" s="216"/>
      <c r="AD6" s="216"/>
      <c r="AE6" s="216"/>
    </row>
    <row r="7" spans="1:43" s="203" customFormat="1" ht="15.75" customHeight="1" x14ac:dyDescent="0.25">
      <c r="A7" s="216" t="s">
        <v>2667</v>
      </c>
      <c r="B7" s="224">
        <f>h_уступа</f>
        <v>6.2339086294416415</v>
      </c>
      <c r="C7" s="216" t="s">
        <v>2668</v>
      </c>
      <c r="D7" s="213">
        <f>Параметры!$D$46</f>
        <v>1.0148223350253833</v>
      </c>
      <c r="E7" s="216" t="s">
        <v>2658</v>
      </c>
      <c r="F7" s="448">
        <f>B7+D7</f>
        <v>7.2487309644670246</v>
      </c>
      <c r="G7" s="448"/>
      <c r="H7" s="216" t="str">
        <f>Параметры!$C$34</f>
        <v>м</v>
      </c>
      <c r="K7" s="446"/>
      <c r="L7" s="446"/>
      <c r="O7" s="216"/>
      <c r="P7" s="216"/>
      <c r="Q7" s="216"/>
      <c r="R7" s="216"/>
      <c r="S7" s="216"/>
      <c r="T7" s="216"/>
      <c r="U7" s="216"/>
      <c r="V7" s="216"/>
      <c r="W7" s="216"/>
      <c r="X7" s="216"/>
      <c r="Y7" s="216"/>
      <c r="Z7" s="216"/>
      <c r="AA7" s="216"/>
      <c r="AB7" s="216"/>
      <c r="AC7" s="216"/>
      <c r="AD7" s="216"/>
      <c r="AE7" s="216"/>
    </row>
    <row r="8" spans="1:43" s="203" customFormat="1" ht="18.75" customHeight="1" x14ac:dyDescent="0.25">
      <c r="A8" s="216" t="s">
        <v>2669</v>
      </c>
      <c r="B8" s="216"/>
      <c r="C8" s="216"/>
      <c r="D8" s="216"/>
      <c r="E8" s="216"/>
      <c r="F8" s="216"/>
      <c r="G8" s="216"/>
      <c r="H8" s="216"/>
      <c r="I8" s="216"/>
      <c r="J8" s="216"/>
      <c r="K8" s="216"/>
      <c r="L8" s="216"/>
      <c r="M8" s="216"/>
      <c r="N8" s="216"/>
      <c r="O8" s="216"/>
      <c r="P8" s="216"/>
      <c r="Q8" s="216"/>
      <c r="R8" s="216"/>
      <c r="S8" s="216"/>
      <c r="T8" s="216"/>
      <c r="U8" s="216"/>
      <c r="V8" s="216"/>
      <c r="W8" s="216"/>
      <c r="X8" s="216"/>
      <c r="Y8" s="216"/>
      <c r="Z8" s="216"/>
      <c r="AA8" s="216"/>
      <c r="AB8" s="216"/>
      <c r="AC8" s="216"/>
      <c r="AD8" s="216"/>
      <c r="AE8" s="216"/>
    </row>
    <row r="9" spans="1:43" s="203" customFormat="1" ht="4.5" customHeight="1" x14ac:dyDescent="0.25">
      <c r="A9" s="216"/>
      <c r="B9" s="216"/>
      <c r="C9" s="216"/>
      <c r="D9" s="216"/>
      <c r="E9" s="216"/>
      <c r="F9" s="216"/>
      <c r="G9" s="216"/>
      <c r="H9" s="216"/>
      <c r="I9" s="216"/>
      <c r="J9" s="216"/>
      <c r="K9" s="216"/>
      <c r="L9" s="216"/>
      <c r="M9" s="216"/>
      <c r="N9" s="216"/>
      <c r="O9" s="216"/>
      <c r="P9" s="216"/>
      <c r="Q9" s="216"/>
      <c r="R9" s="216"/>
      <c r="S9" s="216"/>
      <c r="T9" s="216"/>
      <c r="U9" s="216"/>
      <c r="V9" s="216"/>
      <c r="W9" s="216"/>
      <c r="X9" s="216"/>
      <c r="Y9" s="216"/>
      <c r="Z9" s="216"/>
      <c r="AA9" s="216"/>
      <c r="AB9" s="216"/>
      <c r="AC9" s="216"/>
      <c r="AD9" s="216"/>
      <c r="AE9" s="216"/>
    </row>
    <row r="10" spans="1:43" s="203" customFormat="1" ht="15.75" customHeight="1" x14ac:dyDescent="0.25">
      <c r="A10" s="216" t="s">
        <v>2670</v>
      </c>
      <c r="B10" s="219">
        <f>B7</f>
        <v>6.2339086294416415</v>
      </c>
      <c r="C10" s="205" t="s">
        <v>2671</v>
      </c>
      <c r="D10" s="213">
        <f>F7</f>
        <v>7.2487309644670246</v>
      </c>
      <c r="E10" s="216" t="s">
        <v>2658</v>
      </c>
      <c r="F10" s="450">
        <f>B10/D10</f>
        <v>0.8600000000000001</v>
      </c>
      <c r="G10" s="450"/>
      <c r="M10" s="216"/>
      <c r="N10" s="216"/>
      <c r="O10" s="216"/>
      <c r="P10" s="216"/>
      <c r="Q10" s="216"/>
      <c r="R10" s="216"/>
      <c r="S10" s="216"/>
      <c r="T10" s="216"/>
      <c r="U10" s="216"/>
      <c r="V10" s="216"/>
      <c r="W10" s="216"/>
      <c r="X10" s="216"/>
      <c r="Y10" s="216"/>
      <c r="Z10" s="216"/>
      <c r="AA10" s="216"/>
      <c r="AB10" s="216"/>
      <c r="AC10" s="216"/>
      <c r="AD10" s="216"/>
      <c r="AE10" s="216"/>
    </row>
    <row r="11" spans="1:43" s="203" customFormat="1" ht="27" customHeight="1" x14ac:dyDescent="0.25">
      <c r="A11" s="437" t="s">
        <v>2672</v>
      </c>
      <c r="B11" s="437"/>
      <c r="C11" s="437"/>
      <c r="D11" s="437"/>
      <c r="E11" s="437"/>
      <c r="F11" s="437"/>
      <c r="G11" s="437"/>
      <c r="H11" s="437"/>
      <c r="I11" s="437"/>
      <c r="J11" s="437"/>
      <c r="K11" s="437"/>
      <c r="L11" s="437"/>
      <c r="M11" s="437"/>
      <c r="N11" s="437"/>
      <c r="O11" s="437"/>
      <c r="P11" s="437"/>
      <c r="Q11" s="437"/>
      <c r="R11" s="437"/>
      <c r="S11" s="437"/>
      <c r="T11" s="437"/>
      <c r="U11" s="437"/>
      <c r="V11" s="437"/>
      <c r="W11" s="437"/>
      <c r="X11" s="437"/>
      <c r="Y11" s="437"/>
      <c r="Z11" s="437"/>
      <c r="AA11" s="437"/>
      <c r="AB11" s="437"/>
      <c r="AC11" s="437"/>
      <c r="AD11" s="437"/>
      <c r="AE11" s="208"/>
    </row>
    <row r="12" spans="1:43" s="203" customFormat="1" ht="3.75" customHeight="1" x14ac:dyDescent="0.25">
      <c r="A12" s="216"/>
      <c r="B12" s="216"/>
      <c r="C12" s="216"/>
      <c r="D12" s="216"/>
      <c r="E12" s="216"/>
      <c r="F12" s="216"/>
      <c r="G12" s="216"/>
      <c r="H12" s="216"/>
      <c r="I12" s="216"/>
      <c r="J12" s="216"/>
      <c r="K12" s="216"/>
      <c r="L12" s="216"/>
      <c r="M12" s="216"/>
      <c r="N12" s="216"/>
      <c r="O12" s="216"/>
      <c r="P12" s="216"/>
      <c r="Q12" s="216"/>
      <c r="R12" s="216"/>
      <c r="S12" s="216"/>
      <c r="T12" s="216"/>
      <c r="U12" s="216"/>
      <c r="V12" s="216"/>
      <c r="W12" s="216"/>
      <c r="X12" s="216"/>
      <c r="Y12" s="216"/>
      <c r="Z12" s="216"/>
      <c r="AA12" s="216"/>
      <c r="AB12" s="216"/>
      <c r="AC12" s="216"/>
      <c r="AD12" s="216"/>
      <c r="AE12" s="216"/>
    </row>
    <row r="13" spans="1:43" s="203" customFormat="1" ht="15.75" customHeight="1" x14ac:dyDescent="0.25">
      <c r="A13" s="216" t="s">
        <v>2673</v>
      </c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  <c r="O13" s="216"/>
      <c r="P13" s="216"/>
      <c r="Q13" s="216"/>
      <c r="R13" s="216"/>
      <c r="S13" s="216"/>
      <c r="T13" s="216"/>
      <c r="U13" s="216"/>
      <c r="V13" s="216"/>
      <c r="W13" s="225"/>
      <c r="X13" s="216"/>
      <c r="Y13" s="216"/>
      <c r="Z13" s="216"/>
      <c r="AA13" s="216"/>
      <c r="AB13" s="216"/>
      <c r="AC13" s="216"/>
      <c r="AD13" s="216"/>
      <c r="AE13" s="216"/>
    </row>
    <row r="14" spans="1:43" s="203" customFormat="1" ht="3.75" customHeigh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  <c r="O14" s="216"/>
      <c r="P14" s="216"/>
      <c r="Q14" s="216"/>
      <c r="R14" s="216"/>
      <c r="S14" s="216"/>
      <c r="T14" s="216"/>
      <c r="U14" s="216"/>
      <c r="V14" s="216"/>
      <c r="W14" s="216"/>
      <c r="X14" s="216"/>
      <c r="Y14" s="216"/>
      <c r="Z14" s="216"/>
      <c r="AA14" s="216"/>
      <c r="AB14" s="216"/>
      <c r="AC14" s="216"/>
      <c r="AD14" s="216"/>
      <c r="AE14" s="216"/>
    </row>
    <row r="15" spans="1:43" s="203" customFormat="1" ht="15.75" customHeight="1" x14ac:dyDescent="0.25">
      <c r="A15" s="207" t="s">
        <v>2674</v>
      </c>
      <c r="B15" s="217">
        <f>Параметры!$D$59</f>
        <v>156.25472081218268</v>
      </c>
      <c r="C15" s="216" t="s">
        <v>2668</v>
      </c>
      <c r="D15" s="210">
        <f>Параметры!$D$60</f>
        <v>8.5940096446700682</v>
      </c>
      <c r="E15" s="216" t="s">
        <v>2658</v>
      </c>
      <c r="F15" s="448">
        <f>B15+D15</f>
        <v>164.84873045685276</v>
      </c>
      <c r="G15" s="448"/>
      <c r="H15" s="203" t="s">
        <v>2470</v>
      </c>
      <c r="I15" s="213"/>
      <c r="J15" s="213"/>
      <c r="K15" s="438"/>
      <c r="L15" s="438"/>
      <c r="M15" s="219"/>
      <c r="P15" s="227"/>
      <c r="Q15" s="226"/>
      <c r="R15" s="216"/>
      <c r="S15" s="216"/>
      <c r="T15" s="216"/>
      <c r="U15" s="445"/>
      <c r="V15" s="445"/>
      <c r="W15" s="445"/>
      <c r="X15" s="445"/>
      <c r="Y15" s="228"/>
      <c r="Z15" s="228"/>
      <c r="AA15" s="228"/>
      <c r="AB15" s="228"/>
      <c r="AC15" s="228"/>
      <c r="AD15" s="228"/>
      <c r="AE15" s="216"/>
    </row>
    <row r="16" spans="1:43" s="203" customFormat="1" ht="3.75" customHeight="1" x14ac:dyDescent="0.25">
      <c r="A16" s="216"/>
      <c r="B16" s="216"/>
      <c r="C16" s="216"/>
      <c r="D16" s="216"/>
      <c r="E16" s="216"/>
      <c r="F16" s="216"/>
      <c r="G16" s="216"/>
      <c r="H16" s="216"/>
      <c r="I16" s="216"/>
      <c r="J16" s="216"/>
      <c r="K16" s="216"/>
      <c r="L16" s="216"/>
      <c r="M16" s="216"/>
      <c r="N16" s="216"/>
      <c r="O16" s="216"/>
      <c r="P16" s="216"/>
      <c r="Q16" s="216"/>
      <c r="R16" s="216"/>
      <c r="S16" s="216"/>
      <c r="T16" s="216"/>
      <c r="U16" s="216"/>
      <c r="V16" s="216"/>
      <c r="W16" s="216"/>
      <c r="X16" s="216"/>
      <c r="Y16" s="216"/>
      <c r="Z16" s="216"/>
      <c r="AA16" s="216"/>
      <c r="AB16" s="216"/>
      <c r="AC16" s="216"/>
      <c r="AD16" s="216"/>
      <c r="AE16" s="216"/>
    </row>
    <row r="17" spans="1:16376" s="203" customFormat="1" ht="27" customHeight="1" x14ac:dyDescent="0.25">
      <c r="A17" s="216" t="s">
        <v>2675</v>
      </c>
      <c r="B17" s="216"/>
      <c r="C17" s="216"/>
      <c r="D17" s="216"/>
      <c r="E17" s="216"/>
      <c r="F17" s="216"/>
      <c r="G17" s="216"/>
      <c r="H17" s="216"/>
      <c r="I17" s="216"/>
      <c r="J17" s="216"/>
      <c r="K17" s="216"/>
      <c r="L17" s="216"/>
      <c r="M17" s="216"/>
      <c r="N17" s="225"/>
      <c r="O17" s="216"/>
      <c r="P17" s="216"/>
      <c r="Q17" s="216"/>
      <c r="R17" s="216"/>
      <c r="S17" s="216"/>
      <c r="T17" s="216"/>
      <c r="U17" s="216"/>
      <c r="V17" s="436"/>
      <c r="W17" s="436"/>
      <c r="X17" s="436"/>
      <c r="Y17" s="216"/>
      <c r="Z17" s="216"/>
      <c r="AA17" s="216"/>
      <c r="AB17" s="216"/>
      <c r="AC17" s="216"/>
      <c r="AD17" s="216"/>
      <c r="AE17" s="216"/>
    </row>
    <row r="18" spans="1:16376" s="203" customFormat="1" ht="3.75" customHeight="1" x14ac:dyDescent="0.25">
      <c r="A18" s="216"/>
      <c r="B18" s="216"/>
      <c r="C18" s="216"/>
      <c r="D18" s="216"/>
      <c r="E18" s="216"/>
      <c r="F18" s="216"/>
      <c r="G18" s="216"/>
      <c r="H18" s="216"/>
      <c r="I18" s="216"/>
      <c r="J18" s="216"/>
      <c r="K18" s="216"/>
      <c r="L18" s="216"/>
      <c r="M18" s="216"/>
      <c r="N18" s="225"/>
      <c r="O18" s="216"/>
      <c r="P18" s="216"/>
      <c r="Q18" s="216"/>
      <c r="R18" s="216"/>
      <c r="S18" s="216"/>
      <c r="T18" s="216"/>
      <c r="U18" s="216"/>
      <c r="V18" s="216"/>
      <c r="W18" s="216"/>
      <c r="X18" s="216"/>
      <c r="Y18" s="216"/>
      <c r="Z18" s="216"/>
      <c r="AA18" s="216"/>
      <c r="AB18" s="216"/>
      <c r="AC18" s="216"/>
      <c r="AD18" s="216"/>
      <c r="AE18" s="216"/>
    </row>
    <row r="19" spans="1:16376" s="203" customFormat="1" ht="18.75" customHeight="1" x14ac:dyDescent="0.25">
      <c r="A19" s="207" t="s">
        <v>2676</v>
      </c>
      <c r="B19" s="221">
        <f>Параметры!$D$59</f>
        <v>156.25472081218268</v>
      </c>
      <c r="C19" s="216" t="s">
        <v>2470</v>
      </c>
      <c r="F19" s="226"/>
      <c r="G19" s="226"/>
      <c r="H19" s="216"/>
      <c r="I19" s="216"/>
      <c r="J19" s="216"/>
      <c r="K19" s="216"/>
      <c r="L19" s="218"/>
      <c r="M19" s="216"/>
      <c r="N19" s="225"/>
      <c r="O19" s="216"/>
      <c r="P19" s="216"/>
      <c r="Q19" s="216"/>
      <c r="R19" s="216"/>
      <c r="S19" s="216"/>
      <c r="T19" s="216"/>
      <c r="U19" s="216"/>
      <c r="V19" s="216"/>
      <c r="W19" s="216"/>
      <c r="X19" s="216"/>
      <c r="Y19" s="216"/>
      <c r="Z19" s="216"/>
      <c r="AA19" s="216"/>
      <c r="AB19" s="216"/>
      <c r="AC19" s="216"/>
      <c r="AD19" s="216"/>
      <c r="AE19" s="216"/>
    </row>
    <row r="20" spans="1:16376" s="203" customFormat="1" ht="3.75" customHeight="1" x14ac:dyDescent="0.25">
      <c r="A20" s="216"/>
      <c r="B20" s="216"/>
      <c r="C20" s="216"/>
      <c r="D20" s="216"/>
      <c r="E20" s="216"/>
      <c r="F20" s="216"/>
      <c r="G20" s="216"/>
      <c r="H20" s="216"/>
      <c r="I20" s="216"/>
      <c r="J20" s="216"/>
      <c r="K20" s="216"/>
      <c r="L20" s="216"/>
      <c r="M20" s="216"/>
      <c r="N20" s="216"/>
      <c r="O20" s="216"/>
      <c r="P20" s="216"/>
      <c r="Q20" s="216"/>
      <c r="R20" s="216"/>
      <c r="S20" s="216"/>
      <c r="T20" s="216"/>
      <c r="U20" s="216"/>
      <c r="V20" s="216"/>
      <c r="W20" s="216"/>
      <c r="X20" s="216"/>
      <c r="Y20" s="216"/>
      <c r="Z20" s="216"/>
      <c r="AA20" s="216"/>
      <c r="AB20" s="216"/>
      <c r="AC20" s="216"/>
      <c r="AD20" s="216"/>
      <c r="AE20" s="216"/>
    </row>
    <row r="21" spans="1:16376" s="203" customFormat="1" ht="15.75" customHeight="1" x14ac:dyDescent="0.25">
      <c r="A21" s="216" t="s">
        <v>2677</v>
      </c>
      <c r="B21" s="216"/>
      <c r="C21" s="220"/>
      <c r="D21" s="220"/>
      <c r="E21" s="220"/>
      <c r="F21" s="220"/>
      <c r="G21" s="220"/>
      <c r="H21" s="220"/>
      <c r="I21" s="442">
        <f>Параметры!$D$60</f>
        <v>8.5940096446700682</v>
      </c>
      <c r="J21" s="442"/>
      <c r="K21" s="442" t="s">
        <v>2470</v>
      </c>
      <c r="L21" s="442"/>
      <c r="M21" s="438"/>
      <c r="N21" s="438"/>
      <c r="O21" s="216"/>
      <c r="P21" s="216"/>
      <c r="Q21" s="216"/>
      <c r="R21" s="216"/>
      <c r="S21" s="216"/>
      <c r="T21" s="216"/>
      <c r="U21" s="216"/>
      <c r="V21" s="445"/>
      <c r="W21" s="445"/>
      <c r="X21" s="445"/>
      <c r="Y21" s="228"/>
      <c r="Z21" s="228"/>
      <c r="AA21" s="228"/>
      <c r="AB21" s="228"/>
      <c r="AC21" s="228"/>
      <c r="AD21" s="228"/>
      <c r="AE21" s="216"/>
    </row>
    <row r="22" spans="1:16376" s="203" customFormat="1" ht="3.75" customHeight="1" x14ac:dyDescent="0.25">
      <c r="A22" s="216"/>
      <c r="B22" s="216"/>
      <c r="C22" s="216"/>
      <c r="D22" s="216"/>
      <c r="E22" s="216"/>
      <c r="F22" s="216"/>
      <c r="G22" s="216"/>
      <c r="H22" s="216"/>
      <c r="I22" s="216"/>
      <c r="J22" s="216"/>
      <c r="K22" s="216"/>
      <c r="L22" s="216"/>
      <c r="M22" s="216"/>
      <c r="N22" s="216"/>
      <c r="O22" s="216"/>
      <c r="P22" s="216"/>
      <c r="Q22" s="216"/>
      <c r="R22" s="216"/>
      <c r="S22" s="216"/>
      <c r="T22" s="216"/>
      <c r="U22" s="216"/>
      <c r="V22" s="216"/>
      <c r="W22" s="216"/>
      <c r="X22" s="216"/>
      <c r="Y22" s="216"/>
      <c r="Z22" s="216"/>
      <c r="AA22" s="216"/>
      <c r="AB22" s="216"/>
      <c r="AC22" s="216"/>
      <c r="AD22" s="216"/>
      <c r="AE22" s="216"/>
    </row>
    <row r="23" spans="1:16376" s="203" customFormat="1" ht="15.75" customHeight="1" x14ac:dyDescent="0.25">
      <c r="A23" s="216" t="s">
        <v>2678</v>
      </c>
      <c r="B23" s="216"/>
      <c r="C23" s="229"/>
      <c r="D23" s="229"/>
      <c r="E23" s="229"/>
      <c r="F23" s="229"/>
      <c r="G23" s="229"/>
      <c r="H23" s="229"/>
      <c r="I23" s="229"/>
      <c r="J23" s="229"/>
      <c r="K23" s="218"/>
      <c r="L23" s="218"/>
      <c r="M23" s="216"/>
      <c r="N23" s="224"/>
      <c r="O23" s="216"/>
      <c r="P23" s="225"/>
      <c r="Q23" s="216"/>
      <c r="R23" s="216"/>
      <c r="S23" s="216"/>
      <c r="T23" s="216"/>
      <c r="U23" s="216"/>
      <c r="V23" s="216"/>
      <c r="W23" s="216"/>
      <c r="X23" s="216"/>
      <c r="Y23" s="216"/>
      <c r="Z23" s="216"/>
      <c r="AA23" s="216"/>
      <c r="AB23" s="216"/>
      <c r="AC23" s="216"/>
      <c r="AD23" s="216"/>
      <c r="AE23" s="216"/>
    </row>
    <row r="24" spans="1:16376" s="203" customFormat="1" ht="3.75" customHeight="1" x14ac:dyDescent="0.25">
      <c r="A24" s="216"/>
      <c r="B24" s="216"/>
      <c r="C24" s="229"/>
      <c r="D24" s="229"/>
      <c r="E24" s="229"/>
      <c r="F24" s="229"/>
      <c r="G24" s="229"/>
      <c r="H24" s="229"/>
      <c r="I24" s="229"/>
      <c r="J24" s="229"/>
      <c r="K24" s="218"/>
      <c r="L24" s="218"/>
      <c r="M24" s="216"/>
      <c r="N24" s="224"/>
      <c r="O24" s="216"/>
      <c r="P24" s="225"/>
      <c r="Q24" s="216"/>
      <c r="R24" s="216"/>
      <c r="S24" s="216"/>
      <c r="T24" s="216"/>
      <c r="U24" s="216"/>
      <c r="V24" s="216"/>
      <c r="W24" s="216"/>
      <c r="X24" s="216"/>
      <c r="Y24" s="216"/>
      <c r="Z24" s="216"/>
      <c r="AA24" s="216"/>
      <c r="AB24" s="216"/>
      <c r="AC24" s="216"/>
      <c r="AD24" s="216"/>
      <c r="AE24" s="216"/>
    </row>
    <row r="25" spans="1:16376" s="203" customFormat="1" ht="15.75" customHeight="1" x14ac:dyDescent="0.25">
      <c r="A25" s="216" t="s">
        <v>2679</v>
      </c>
      <c r="B25" s="218">
        <f>Параметры!$D$59</f>
        <v>156.25472081218268</v>
      </c>
      <c r="C25" s="216" t="s">
        <v>2668</v>
      </c>
      <c r="D25" s="219">
        <f>Параметры!$D$60</f>
        <v>8.5940096446700682</v>
      </c>
      <c r="E25" s="216" t="s">
        <v>2668</v>
      </c>
      <c r="F25" s="447">
        <f>Параметры!$D$61</f>
        <v>0.5</v>
      </c>
      <c r="G25" s="447"/>
      <c r="H25" s="218" t="s">
        <v>2658</v>
      </c>
      <c r="I25" s="449">
        <f>B25+D25+F25</f>
        <v>165.34873045685276</v>
      </c>
      <c r="J25" s="449"/>
      <c r="K25" s="216" t="s">
        <v>2470</v>
      </c>
      <c r="L25" s="226"/>
      <c r="M25" s="226"/>
      <c r="N25" s="224"/>
      <c r="O25" s="216"/>
      <c r="P25" s="225"/>
      <c r="Q25" s="216"/>
      <c r="R25" s="216"/>
      <c r="S25" s="216"/>
      <c r="T25" s="216"/>
      <c r="U25" s="216"/>
      <c r="V25" s="216"/>
      <c r="W25" s="216"/>
      <c r="X25" s="216"/>
      <c r="Y25" s="216"/>
      <c r="Z25" s="216"/>
      <c r="AA25" s="216"/>
      <c r="AB25" s="216"/>
      <c r="AC25" s="216"/>
      <c r="AD25" s="216"/>
      <c r="AE25" s="216"/>
    </row>
    <row r="26" spans="1:16376" s="203" customFormat="1" ht="16.5" customHeight="1" x14ac:dyDescent="0.25">
      <c r="A26" s="437" t="s">
        <v>2680</v>
      </c>
      <c r="B26" s="437"/>
      <c r="C26" s="437"/>
      <c r="D26" s="437"/>
      <c r="E26" s="437"/>
      <c r="F26" s="437"/>
      <c r="G26" s="437"/>
      <c r="H26" s="437"/>
      <c r="I26" s="437"/>
      <c r="J26" s="437"/>
      <c r="K26" s="437"/>
      <c r="L26" s="437"/>
      <c r="M26" s="437"/>
      <c r="N26" s="437"/>
      <c r="O26" s="437"/>
      <c r="P26" s="437"/>
      <c r="Q26" s="437"/>
      <c r="R26" s="437"/>
      <c r="S26" s="437"/>
      <c r="T26" s="437"/>
      <c r="U26" s="437"/>
      <c r="V26" s="437"/>
      <c r="W26" s="437"/>
      <c r="X26" s="437"/>
      <c r="Y26" s="437"/>
      <c r="Z26" s="437"/>
      <c r="AA26" s="437"/>
      <c r="AB26" s="437"/>
      <c r="AC26" s="437"/>
      <c r="AD26" s="437"/>
      <c r="AE26" s="437"/>
    </row>
    <row r="27" spans="1:16376" s="211" customFormat="1" ht="29.25" customHeight="1" x14ac:dyDescent="0.25">
      <c r="A27" s="216"/>
      <c r="B27" s="216"/>
      <c r="C27" s="439" t="s">
        <v>2681</v>
      </c>
      <c r="D27" s="439"/>
      <c r="E27" s="439"/>
      <c r="F27" s="439"/>
      <c r="G27" s="439"/>
      <c r="H27" s="439"/>
      <c r="I27" s="439"/>
      <c r="J27" s="439"/>
      <c r="K27" s="439"/>
      <c r="L27" s="439"/>
      <c r="M27" s="439"/>
      <c r="N27" s="439"/>
      <c r="O27" s="439"/>
      <c r="P27" s="439"/>
      <c r="Q27" s="439"/>
      <c r="R27" s="439"/>
      <c r="S27" s="439"/>
      <c r="T27" s="439"/>
      <c r="U27" s="439"/>
      <c r="V27" s="439"/>
      <c r="W27" s="439"/>
      <c r="X27" s="439"/>
      <c r="Y27" s="439"/>
      <c r="Z27" s="439"/>
      <c r="AA27" s="439"/>
      <c r="AB27" s="439"/>
      <c r="AC27" s="439"/>
      <c r="AD27" s="439"/>
      <c r="AE27" s="223"/>
      <c r="AF27" s="209"/>
      <c r="AG27" s="209"/>
      <c r="AH27" s="209"/>
      <c r="AI27" s="209"/>
      <c r="AJ27" s="209"/>
      <c r="AK27" s="209"/>
      <c r="AL27" s="209"/>
      <c r="AM27" s="209"/>
      <c r="AN27" s="209"/>
      <c r="AO27" s="209"/>
      <c r="AP27" s="209"/>
      <c r="AQ27" s="209"/>
      <c r="AR27" s="209"/>
      <c r="AS27" s="209"/>
      <c r="AT27" s="209"/>
      <c r="AU27" s="209"/>
      <c r="AV27" s="209"/>
      <c r="AW27" s="209"/>
      <c r="AX27" s="209"/>
      <c r="AY27" s="209"/>
      <c r="AZ27" s="209"/>
      <c r="BA27" s="209"/>
      <c r="BB27" s="209"/>
      <c r="BC27" s="209"/>
      <c r="BD27" s="209"/>
      <c r="BE27" s="209"/>
      <c r="BF27" s="209"/>
      <c r="BG27" s="209"/>
      <c r="BH27" s="209"/>
      <c r="BI27" s="209"/>
      <c r="BJ27" s="209"/>
      <c r="BK27" s="209"/>
      <c r="BL27" s="209"/>
      <c r="BM27" s="209"/>
      <c r="BN27" s="209"/>
      <c r="BO27" s="209"/>
      <c r="BP27" s="209"/>
      <c r="BQ27" s="209"/>
      <c r="BR27" s="209"/>
      <c r="BS27" s="209"/>
      <c r="BT27" s="209"/>
      <c r="BU27" s="209"/>
      <c r="BV27" s="209"/>
      <c r="BW27" s="209"/>
      <c r="BX27" s="209"/>
      <c r="BY27" s="209"/>
      <c r="BZ27" s="209"/>
      <c r="CA27" s="209"/>
      <c r="CB27" s="209"/>
      <c r="CC27" s="209"/>
      <c r="CD27" s="209"/>
      <c r="CE27" s="209"/>
      <c r="CF27" s="209"/>
      <c r="CG27" s="209"/>
      <c r="CH27" s="209"/>
      <c r="CI27" s="209"/>
      <c r="CJ27" s="209"/>
      <c r="CK27" s="209"/>
      <c r="CL27" s="209"/>
      <c r="CM27" s="209"/>
      <c r="CN27" s="209"/>
      <c r="CO27" s="209"/>
      <c r="CP27" s="209"/>
      <c r="CQ27" s="209"/>
      <c r="CR27" s="209"/>
      <c r="CS27" s="209"/>
      <c r="CT27" s="209"/>
      <c r="CU27" s="209"/>
      <c r="CV27" s="209"/>
      <c r="CW27" s="209"/>
      <c r="CX27" s="209"/>
      <c r="CY27" s="209"/>
      <c r="CZ27" s="209"/>
      <c r="DA27" s="209"/>
      <c r="DB27" s="209"/>
      <c r="DC27" s="209"/>
      <c r="DD27" s="209"/>
      <c r="DE27" s="209"/>
      <c r="DF27" s="209"/>
      <c r="DG27" s="209"/>
      <c r="DH27" s="209"/>
      <c r="DI27" s="209"/>
      <c r="DJ27" s="209"/>
      <c r="DK27" s="209"/>
      <c r="DL27" s="209"/>
      <c r="DM27" s="209"/>
      <c r="DN27" s="209"/>
      <c r="DO27" s="209"/>
      <c r="DP27" s="209"/>
      <c r="DQ27" s="209"/>
      <c r="DR27" s="209"/>
      <c r="DS27" s="209"/>
      <c r="DT27" s="209"/>
      <c r="DU27" s="209"/>
      <c r="DV27" s="209"/>
      <c r="DW27" s="209"/>
      <c r="DX27" s="209"/>
      <c r="DY27" s="209"/>
      <c r="DZ27" s="209"/>
      <c r="EA27" s="209"/>
      <c r="EB27" s="209"/>
      <c r="EC27" s="209"/>
      <c r="ED27" s="209"/>
      <c r="EE27" s="209"/>
      <c r="EF27" s="209"/>
      <c r="EG27" s="209"/>
      <c r="EH27" s="209"/>
      <c r="EI27" s="209"/>
      <c r="EJ27" s="209"/>
      <c r="EK27" s="209"/>
      <c r="EL27" s="209"/>
      <c r="EM27" s="209"/>
      <c r="EN27" s="209"/>
      <c r="EO27" s="209"/>
      <c r="EP27" s="209"/>
      <c r="EQ27" s="209"/>
      <c r="ER27" s="209"/>
      <c r="ES27" s="209"/>
      <c r="ET27" s="209"/>
      <c r="EU27" s="209"/>
      <c r="EV27" s="209"/>
      <c r="EW27" s="209"/>
      <c r="EX27" s="209"/>
      <c r="EY27" s="209"/>
      <c r="EZ27" s="209"/>
      <c r="FA27" s="209"/>
      <c r="FB27" s="209"/>
      <c r="FC27" s="209"/>
      <c r="FD27" s="209"/>
      <c r="FE27" s="209"/>
      <c r="FF27" s="209"/>
      <c r="FG27" s="209"/>
      <c r="FH27" s="209"/>
      <c r="FI27" s="209"/>
      <c r="FJ27" s="209"/>
      <c r="FK27" s="209"/>
      <c r="FL27" s="209"/>
      <c r="FM27" s="209"/>
      <c r="FN27" s="209"/>
      <c r="FO27" s="209"/>
      <c r="FP27" s="209"/>
      <c r="FQ27" s="209"/>
      <c r="FR27" s="209"/>
      <c r="FS27" s="209"/>
      <c r="FT27" s="209"/>
      <c r="FU27" s="209"/>
      <c r="FV27" s="209"/>
      <c r="FW27" s="209"/>
      <c r="FX27" s="209"/>
      <c r="FY27" s="209"/>
      <c r="FZ27" s="209"/>
      <c r="GA27" s="209"/>
      <c r="GB27" s="209"/>
      <c r="GC27" s="209"/>
      <c r="GD27" s="209"/>
      <c r="GE27" s="209"/>
      <c r="GF27" s="209"/>
      <c r="GG27" s="209"/>
      <c r="GH27" s="209"/>
      <c r="GI27" s="209"/>
      <c r="GJ27" s="209"/>
      <c r="GK27" s="209"/>
      <c r="GL27" s="209"/>
      <c r="GM27" s="209"/>
      <c r="GN27" s="209"/>
      <c r="GO27" s="209"/>
      <c r="GP27" s="209"/>
      <c r="GQ27" s="209"/>
      <c r="GR27" s="209"/>
      <c r="GS27" s="209"/>
      <c r="GT27" s="209"/>
      <c r="GU27" s="209"/>
      <c r="GV27" s="209"/>
      <c r="GW27" s="209"/>
      <c r="GX27" s="209"/>
      <c r="GY27" s="209"/>
      <c r="GZ27" s="209"/>
      <c r="HA27" s="209"/>
      <c r="HB27" s="209"/>
      <c r="HC27" s="209"/>
      <c r="HD27" s="209"/>
      <c r="HE27" s="209"/>
      <c r="HF27" s="209"/>
      <c r="HG27" s="209"/>
      <c r="HH27" s="209"/>
      <c r="HI27" s="209"/>
      <c r="HJ27" s="209"/>
      <c r="HK27" s="209"/>
      <c r="HL27" s="209"/>
      <c r="HM27" s="209"/>
      <c r="HN27" s="209"/>
      <c r="HO27" s="209"/>
      <c r="HP27" s="209"/>
      <c r="HQ27" s="209"/>
      <c r="HR27" s="209"/>
      <c r="HS27" s="209"/>
      <c r="HT27" s="209"/>
      <c r="HU27" s="209"/>
      <c r="HV27" s="209"/>
      <c r="HW27" s="209"/>
      <c r="HX27" s="209"/>
      <c r="HY27" s="209"/>
      <c r="HZ27" s="209"/>
      <c r="IA27" s="209"/>
      <c r="IB27" s="209"/>
      <c r="IC27" s="209"/>
      <c r="ID27" s="209"/>
      <c r="IE27" s="209"/>
      <c r="IF27" s="209"/>
      <c r="IG27" s="209"/>
      <c r="IH27" s="209"/>
      <c r="II27" s="209"/>
      <c r="IJ27" s="209"/>
      <c r="IK27" s="209"/>
      <c r="IL27" s="209"/>
      <c r="IM27" s="209"/>
      <c r="IN27" s="209"/>
      <c r="IO27" s="209"/>
      <c r="IP27" s="209"/>
      <c r="IQ27" s="209"/>
      <c r="IR27" s="209"/>
      <c r="IS27" s="209"/>
      <c r="IT27" s="209"/>
      <c r="IU27" s="209"/>
      <c r="IV27" s="209"/>
      <c r="IW27" s="209"/>
      <c r="IX27" s="209"/>
      <c r="IY27" s="209"/>
      <c r="IZ27" s="209"/>
      <c r="JA27" s="209"/>
      <c r="JB27" s="209"/>
      <c r="JC27" s="209"/>
      <c r="JD27" s="209"/>
      <c r="JE27" s="209"/>
      <c r="JF27" s="209"/>
      <c r="JG27" s="209"/>
      <c r="JH27" s="209"/>
      <c r="JI27" s="209"/>
      <c r="JJ27" s="209"/>
      <c r="JK27" s="209"/>
      <c r="JL27" s="209"/>
      <c r="JM27" s="209"/>
      <c r="JN27" s="209"/>
      <c r="JO27" s="209"/>
      <c r="JP27" s="209"/>
      <c r="JQ27" s="209"/>
      <c r="JR27" s="209"/>
      <c r="JS27" s="209"/>
      <c r="JT27" s="209"/>
      <c r="JU27" s="209"/>
      <c r="JV27" s="209"/>
      <c r="JW27" s="209"/>
      <c r="JX27" s="209"/>
      <c r="JY27" s="209"/>
      <c r="JZ27" s="209"/>
      <c r="KA27" s="209"/>
      <c r="KB27" s="209"/>
      <c r="KC27" s="209"/>
      <c r="KD27" s="209"/>
      <c r="KE27" s="209"/>
      <c r="KF27" s="209"/>
      <c r="KG27" s="209"/>
      <c r="KH27" s="209"/>
      <c r="KI27" s="209"/>
      <c r="KJ27" s="209"/>
      <c r="KK27" s="209"/>
      <c r="KL27" s="209"/>
      <c r="KM27" s="209"/>
      <c r="KN27" s="209"/>
      <c r="KO27" s="209"/>
      <c r="KP27" s="209"/>
      <c r="KQ27" s="209"/>
      <c r="KR27" s="209"/>
      <c r="KS27" s="209"/>
      <c r="KT27" s="209"/>
      <c r="KU27" s="209"/>
      <c r="KV27" s="209"/>
      <c r="KW27" s="209"/>
      <c r="KX27" s="209"/>
      <c r="KY27" s="209"/>
      <c r="KZ27" s="209"/>
      <c r="LA27" s="209"/>
      <c r="LB27" s="209"/>
      <c r="LC27" s="209"/>
      <c r="LD27" s="209"/>
      <c r="LE27" s="209"/>
      <c r="LF27" s="209"/>
      <c r="LG27" s="209"/>
      <c r="LH27" s="209"/>
      <c r="LI27" s="209"/>
      <c r="LJ27" s="209"/>
      <c r="LK27" s="209"/>
      <c r="LL27" s="209"/>
      <c r="LM27" s="209"/>
      <c r="LN27" s="209"/>
      <c r="LO27" s="209"/>
      <c r="LP27" s="209"/>
      <c r="LQ27" s="209"/>
      <c r="LR27" s="209"/>
      <c r="LS27" s="209"/>
      <c r="LT27" s="209"/>
      <c r="LU27" s="209"/>
      <c r="LV27" s="209"/>
      <c r="LW27" s="209"/>
      <c r="LX27" s="209"/>
      <c r="LY27" s="209"/>
      <c r="LZ27" s="209"/>
      <c r="MA27" s="209"/>
      <c r="MB27" s="209"/>
      <c r="MC27" s="209"/>
      <c r="MD27" s="209"/>
      <c r="ME27" s="209"/>
      <c r="MF27" s="209"/>
      <c r="MG27" s="209"/>
      <c r="MH27" s="209"/>
      <c r="MI27" s="209"/>
      <c r="MJ27" s="209"/>
      <c r="MK27" s="209"/>
      <c r="ML27" s="209"/>
      <c r="MM27" s="209"/>
      <c r="MN27" s="209"/>
      <c r="MO27" s="209"/>
      <c r="MP27" s="209"/>
      <c r="MQ27" s="209"/>
      <c r="MR27" s="209"/>
      <c r="MS27" s="209"/>
      <c r="MT27" s="209"/>
      <c r="MU27" s="209"/>
      <c r="MV27" s="209"/>
      <c r="MW27" s="209"/>
      <c r="MX27" s="209"/>
      <c r="MY27" s="209"/>
      <c r="MZ27" s="209"/>
      <c r="NA27" s="209"/>
      <c r="NB27" s="209"/>
      <c r="NC27" s="209"/>
      <c r="ND27" s="209"/>
      <c r="NE27" s="209"/>
      <c r="NF27" s="209"/>
      <c r="NG27" s="209"/>
      <c r="NH27" s="209"/>
      <c r="NI27" s="209"/>
      <c r="NJ27" s="209"/>
      <c r="NK27" s="209"/>
      <c r="NL27" s="209"/>
      <c r="NM27" s="209"/>
      <c r="NN27" s="209"/>
      <c r="NO27" s="209"/>
      <c r="NP27" s="209"/>
      <c r="NQ27" s="209"/>
      <c r="NR27" s="209"/>
      <c r="NS27" s="209"/>
      <c r="NT27" s="209"/>
      <c r="NU27" s="209"/>
      <c r="NV27" s="209"/>
      <c r="NW27" s="209"/>
      <c r="NX27" s="209"/>
      <c r="NY27" s="209"/>
      <c r="NZ27" s="209"/>
      <c r="OA27" s="209"/>
      <c r="OB27" s="209"/>
      <c r="OC27" s="209"/>
      <c r="OD27" s="209"/>
      <c r="OE27" s="209"/>
      <c r="OF27" s="209"/>
      <c r="OG27" s="209"/>
      <c r="OH27" s="209"/>
      <c r="OI27" s="209"/>
      <c r="OJ27" s="209"/>
      <c r="OK27" s="209"/>
      <c r="OL27" s="209"/>
      <c r="OM27" s="209"/>
      <c r="ON27" s="209"/>
      <c r="OO27" s="209"/>
      <c r="OP27" s="209"/>
      <c r="OQ27" s="209"/>
      <c r="OR27" s="209"/>
      <c r="OS27" s="209"/>
      <c r="OT27" s="209"/>
      <c r="OU27" s="209"/>
      <c r="OV27" s="209"/>
      <c r="OW27" s="209"/>
      <c r="OX27" s="209"/>
      <c r="OY27" s="209"/>
      <c r="OZ27" s="209"/>
      <c r="PA27" s="209"/>
      <c r="PB27" s="209"/>
      <c r="PC27" s="209"/>
      <c r="PD27" s="209"/>
      <c r="PE27" s="209"/>
      <c r="PF27" s="209"/>
      <c r="PG27" s="209"/>
      <c r="PH27" s="209"/>
      <c r="PI27" s="209"/>
      <c r="PJ27" s="209"/>
      <c r="PK27" s="209"/>
      <c r="PL27" s="209"/>
      <c r="PM27" s="209"/>
      <c r="PN27" s="209"/>
      <c r="PO27" s="209"/>
      <c r="PP27" s="209"/>
      <c r="PQ27" s="209"/>
      <c r="PR27" s="209"/>
      <c r="PS27" s="209"/>
      <c r="PT27" s="209"/>
      <c r="PU27" s="209"/>
      <c r="PV27" s="209"/>
      <c r="PW27" s="209"/>
      <c r="PX27" s="209"/>
      <c r="PY27" s="209"/>
      <c r="PZ27" s="209"/>
      <c r="QA27" s="209"/>
      <c r="QB27" s="209"/>
      <c r="QC27" s="209"/>
      <c r="QD27" s="209"/>
      <c r="QE27" s="209"/>
      <c r="QF27" s="209"/>
      <c r="QG27" s="209"/>
      <c r="QH27" s="209"/>
      <c r="QI27" s="209"/>
      <c r="QJ27" s="209"/>
      <c r="QK27" s="209"/>
      <c r="QL27" s="209"/>
      <c r="QM27" s="209"/>
      <c r="QN27" s="209"/>
      <c r="QO27" s="209"/>
      <c r="QP27" s="209"/>
      <c r="QQ27" s="209"/>
      <c r="QR27" s="209"/>
      <c r="QS27" s="209"/>
      <c r="QT27" s="209"/>
      <c r="QU27" s="209"/>
      <c r="QV27" s="209"/>
      <c r="QW27" s="209"/>
      <c r="QX27" s="209"/>
      <c r="QY27" s="209"/>
      <c r="QZ27" s="209"/>
      <c r="RA27" s="209"/>
      <c r="RB27" s="209"/>
      <c r="RC27" s="209"/>
      <c r="RD27" s="209"/>
      <c r="RE27" s="209"/>
      <c r="RF27" s="209"/>
      <c r="RG27" s="209"/>
      <c r="RH27" s="209"/>
      <c r="RI27" s="209"/>
      <c r="RJ27" s="209"/>
      <c r="RK27" s="209"/>
      <c r="RL27" s="209"/>
      <c r="RM27" s="209"/>
      <c r="RN27" s="209"/>
      <c r="RO27" s="209"/>
      <c r="RP27" s="209"/>
      <c r="RQ27" s="209"/>
      <c r="RR27" s="209"/>
      <c r="RS27" s="209"/>
      <c r="RT27" s="209"/>
      <c r="RU27" s="209"/>
      <c r="RV27" s="209"/>
      <c r="RW27" s="209"/>
      <c r="RX27" s="209"/>
      <c r="RY27" s="209"/>
      <c r="RZ27" s="209"/>
      <c r="SA27" s="209"/>
      <c r="SB27" s="209"/>
      <c r="SC27" s="209"/>
      <c r="SD27" s="209"/>
      <c r="SE27" s="209"/>
      <c r="SF27" s="209"/>
      <c r="SG27" s="209"/>
      <c r="SH27" s="209"/>
      <c r="SI27" s="209"/>
      <c r="SJ27" s="209"/>
      <c r="SK27" s="209"/>
      <c r="SL27" s="209"/>
      <c r="SM27" s="209"/>
      <c r="SN27" s="209"/>
      <c r="SO27" s="209"/>
      <c r="SP27" s="209"/>
      <c r="SQ27" s="209"/>
      <c r="SR27" s="209"/>
      <c r="SS27" s="209"/>
      <c r="ST27" s="209"/>
      <c r="SU27" s="209"/>
      <c r="SV27" s="209"/>
      <c r="SW27" s="209"/>
      <c r="SX27" s="209"/>
      <c r="SY27" s="209"/>
      <c r="SZ27" s="209"/>
      <c r="TA27" s="209"/>
      <c r="TB27" s="209"/>
      <c r="TC27" s="209"/>
      <c r="TD27" s="209"/>
      <c r="TE27" s="209"/>
      <c r="TF27" s="209"/>
      <c r="TG27" s="209"/>
      <c r="TH27" s="209"/>
      <c r="TI27" s="209"/>
      <c r="TJ27" s="209"/>
      <c r="TK27" s="209"/>
      <c r="TL27" s="209"/>
      <c r="TM27" s="209"/>
      <c r="TN27" s="209"/>
      <c r="TO27" s="209"/>
      <c r="TP27" s="209"/>
      <c r="TQ27" s="209"/>
      <c r="TR27" s="209"/>
      <c r="TS27" s="209"/>
      <c r="TT27" s="209"/>
      <c r="TU27" s="209"/>
      <c r="TV27" s="209"/>
      <c r="TW27" s="209"/>
      <c r="TX27" s="209"/>
      <c r="TY27" s="209"/>
      <c r="TZ27" s="209"/>
      <c r="UA27" s="209"/>
      <c r="UB27" s="209"/>
      <c r="UC27" s="209"/>
      <c r="UD27" s="209"/>
      <c r="UE27" s="209"/>
      <c r="UF27" s="209"/>
      <c r="UG27" s="209"/>
      <c r="UH27" s="209"/>
      <c r="UI27" s="209"/>
      <c r="UJ27" s="209"/>
      <c r="UK27" s="209"/>
      <c r="UL27" s="209"/>
      <c r="UM27" s="209"/>
      <c r="UN27" s="209"/>
      <c r="UO27" s="209"/>
      <c r="UP27" s="209"/>
      <c r="UQ27" s="209"/>
      <c r="UR27" s="209"/>
      <c r="US27" s="209"/>
      <c r="UT27" s="209"/>
      <c r="UU27" s="209"/>
      <c r="UV27" s="209"/>
      <c r="UW27" s="209"/>
      <c r="UX27" s="209"/>
      <c r="UY27" s="209"/>
      <c r="UZ27" s="209"/>
      <c r="VA27" s="209"/>
      <c r="VB27" s="209"/>
      <c r="VC27" s="209"/>
      <c r="VD27" s="209"/>
      <c r="VE27" s="209"/>
      <c r="VF27" s="209"/>
      <c r="VG27" s="209"/>
      <c r="VH27" s="209"/>
      <c r="VI27" s="209"/>
      <c r="VJ27" s="209"/>
      <c r="VK27" s="209"/>
      <c r="VL27" s="209"/>
      <c r="VM27" s="209"/>
      <c r="VN27" s="209"/>
      <c r="VO27" s="209"/>
      <c r="VP27" s="209"/>
      <c r="VQ27" s="209"/>
      <c r="VR27" s="209"/>
      <c r="VS27" s="209"/>
      <c r="VT27" s="209"/>
      <c r="VU27" s="209"/>
      <c r="VV27" s="209"/>
      <c r="VW27" s="209"/>
      <c r="VX27" s="209"/>
      <c r="VY27" s="209"/>
      <c r="VZ27" s="209"/>
      <c r="WA27" s="209"/>
      <c r="WB27" s="209"/>
      <c r="WC27" s="209"/>
      <c r="WD27" s="209"/>
      <c r="WE27" s="209"/>
      <c r="WF27" s="209"/>
      <c r="WG27" s="209"/>
      <c r="WH27" s="209"/>
      <c r="WI27" s="209"/>
      <c r="WJ27" s="209"/>
      <c r="WK27" s="209"/>
      <c r="WL27" s="209"/>
      <c r="WM27" s="209"/>
      <c r="WN27" s="209"/>
      <c r="WO27" s="209"/>
      <c r="WP27" s="209"/>
      <c r="WQ27" s="209"/>
      <c r="WR27" s="209"/>
      <c r="WS27" s="209"/>
      <c r="WT27" s="209"/>
      <c r="WU27" s="209"/>
      <c r="WV27" s="209"/>
      <c r="WW27" s="209"/>
      <c r="WX27" s="209"/>
      <c r="WY27" s="209"/>
      <c r="WZ27" s="209"/>
      <c r="XA27" s="209"/>
      <c r="XB27" s="209"/>
      <c r="XC27" s="209"/>
      <c r="XD27" s="209"/>
      <c r="XE27" s="209"/>
      <c r="XF27" s="209"/>
      <c r="XG27" s="209"/>
      <c r="XH27" s="209"/>
      <c r="XI27" s="209"/>
      <c r="XJ27" s="209"/>
      <c r="XK27" s="209"/>
      <c r="XL27" s="209"/>
      <c r="XM27" s="209"/>
      <c r="XN27" s="209"/>
      <c r="XO27" s="209"/>
      <c r="XP27" s="209"/>
      <c r="XQ27" s="209"/>
      <c r="XR27" s="209"/>
      <c r="XS27" s="209"/>
      <c r="XT27" s="209"/>
      <c r="XU27" s="209"/>
      <c r="XV27" s="209"/>
      <c r="XW27" s="209"/>
      <c r="XX27" s="209"/>
      <c r="XY27" s="209"/>
      <c r="XZ27" s="209"/>
      <c r="YA27" s="209"/>
      <c r="YB27" s="209"/>
      <c r="YC27" s="209"/>
      <c r="YD27" s="209"/>
      <c r="YE27" s="209"/>
      <c r="YF27" s="209"/>
      <c r="YG27" s="209"/>
      <c r="YH27" s="209"/>
      <c r="YI27" s="209"/>
      <c r="YJ27" s="209"/>
      <c r="YK27" s="209"/>
      <c r="YL27" s="209"/>
      <c r="YM27" s="209"/>
      <c r="YN27" s="209"/>
      <c r="YO27" s="209"/>
      <c r="YP27" s="209"/>
      <c r="YQ27" s="209"/>
      <c r="YR27" s="209"/>
      <c r="YS27" s="209"/>
      <c r="YT27" s="209"/>
      <c r="YU27" s="209"/>
      <c r="YV27" s="209"/>
      <c r="YW27" s="209"/>
      <c r="YX27" s="209"/>
      <c r="YY27" s="209"/>
      <c r="YZ27" s="209"/>
      <c r="ZA27" s="209"/>
      <c r="ZB27" s="209"/>
      <c r="ZC27" s="209"/>
      <c r="ZD27" s="209"/>
      <c r="ZE27" s="209"/>
      <c r="ZF27" s="209"/>
      <c r="ZG27" s="209"/>
      <c r="ZH27" s="209"/>
      <c r="ZI27" s="209"/>
      <c r="ZJ27" s="209"/>
      <c r="ZK27" s="209"/>
      <c r="ZL27" s="209"/>
      <c r="ZM27" s="209"/>
      <c r="ZN27" s="209"/>
      <c r="ZO27" s="209"/>
      <c r="ZP27" s="209"/>
      <c r="ZQ27" s="209"/>
      <c r="ZR27" s="209"/>
      <c r="ZS27" s="209"/>
      <c r="ZT27" s="209"/>
      <c r="ZU27" s="209"/>
      <c r="ZV27" s="209"/>
      <c r="ZW27" s="209"/>
      <c r="ZX27" s="209"/>
      <c r="ZY27" s="209"/>
      <c r="ZZ27" s="209"/>
      <c r="AAA27" s="209"/>
      <c r="AAB27" s="209"/>
      <c r="AAC27" s="209"/>
      <c r="AAD27" s="209"/>
      <c r="AAE27" s="209"/>
      <c r="AAF27" s="209"/>
      <c r="AAG27" s="209"/>
      <c r="AAH27" s="209"/>
      <c r="AAI27" s="209"/>
      <c r="AAJ27" s="209"/>
      <c r="AAK27" s="209"/>
      <c r="AAL27" s="209"/>
      <c r="AAM27" s="209"/>
      <c r="AAN27" s="209"/>
      <c r="AAO27" s="209"/>
      <c r="AAP27" s="209"/>
      <c r="AAQ27" s="209"/>
      <c r="AAR27" s="209"/>
      <c r="AAS27" s="209"/>
      <c r="AAT27" s="209"/>
      <c r="AAU27" s="209"/>
      <c r="AAV27" s="209"/>
      <c r="AAW27" s="209"/>
      <c r="AAX27" s="209"/>
      <c r="AAY27" s="209"/>
      <c r="AAZ27" s="209"/>
      <c r="ABA27" s="209"/>
      <c r="ABB27" s="209"/>
      <c r="ABC27" s="209"/>
      <c r="ABD27" s="209"/>
      <c r="ABE27" s="209"/>
      <c r="ABF27" s="209"/>
      <c r="ABG27" s="209"/>
      <c r="ABH27" s="209"/>
      <c r="ABI27" s="209"/>
      <c r="ABJ27" s="209"/>
      <c r="ABK27" s="209"/>
      <c r="ABL27" s="209"/>
      <c r="ABM27" s="209"/>
      <c r="ABN27" s="209"/>
      <c r="ABO27" s="209"/>
      <c r="ABP27" s="209"/>
      <c r="ABQ27" s="209"/>
      <c r="ABR27" s="209"/>
      <c r="ABS27" s="209"/>
      <c r="ABT27" s="209"/>
      <c r="ABU27" s="209"/>
      <c r="ABV27" s="209"/>
      <c r="ABW27" s="209"/>
      <c r="ABX27" s="209"/>
      <c r="ABY27" s="209"/>
      <c r="ABZ27" s="209"/>
      <c r="ACA27" s="209"/>
      <c r="ACB27" s="209"/>
      <c r="ACC27" s="209"/>
      <c r="ACD27" s="209"/>
      <c r="ACE27" s="209"/>
      <c r="ACF27" s="209"/>
      <c r="ACG27" s="209"/>
      <c r="ACH27" s="209"/>
      <c r="ACI27" s="209"/>
      <c r="ACJ27" s="209"/>
      <c r="ACK27" s="209"/>
      <c r="ACL27" s="209"/>
      <c r="ACM27" s="209"/>
      <c r="ACN27" s="209"/>
      <c r="ACO27" s="209"/>
      <c r="ACP27" s="209"/>
      <c r="ACQ27" s="209"/>
      <c r="ACR27" s="209"/>
      <c r="ACS27" s="209"/>
      <c r="ACT27" s="209"/>
      <c r="ACU27" s="209"/>
      <c r="ACV27" s="209"/>
      <c r="ACW27" s="209"/>
      <c r="ACX27" s="209"/>
      <c r="ACY27" s="209"/>
      <c r="ACZ27" s="209"/>
      <c r="ADA27" s="209"/>
      <c r="ADB27" s="209"/>
      <c r="ADC27" s="209"/>
      <c r="ADD27" s="209"/>
      <c r="ADE27" s="209"/>
      <c r="ADF27" s="209"/>
      <c r="ADG27" s="209"/>
      <c r="ADH27" s="209"/>
      <c r="ADI27" s="209"/>
      <c r="ADJ27" s="209"/>
      <c r="ADK27" s="209"/>
      <c r="ADL27" s="209"/>
      <c r="ADM27" s="209"/>
      <c r="ADN27" s="209"/>
      <c r="ADO27" s="209"/>
      <c r="ADP27" s="209"/>
      <c r="ADQ27" s="209"/>
      <c r="ADR27" s="209"/>
      <c r="ADS27" s="209"/>
      <c r="ADT27" s="209"/>
      <c r="ADU27" s="209"/>
      <c r="ADV27" s="209"/>
      <c r="ADW27" s="209"/>
      <c r="ADX27" s="209"/>
      <c r="ADY27" s="209"/>
      <c r="ADZ27" s="209"/>
      <c r="AEA27" s="209"/>
      <c r="AEB27" s="209"/>
      <c r="AEC27" s="209"/>
      <c r="AED27" s="209"/>
      <c r="AEE27" s="209"/>
      <c r="AEF27" s="209"/>
      <c r="AEG27" s="209"/>
      <c r="AEH27" s="209"/>
      <c r="AEI27" s="209"/>
      <c r="AEJ27" s="209"/>
      <c r="AEK27" s="209"/>
      <c r="AEL27" s="209"/>
      <c r="AEM27" s="209"/>
      <c r="AEN27" s="209"/>
      <c r="AEO27" s="209"/>
      <c r="AEP27" s="209"/>
      <c r="AEQ27" s="209"/>
      <c r="AER27" s="209"/>
      <c r="AES27" s="209"/>
      <c r="AET27" s="209"/>
      <c r="AEU27" s="209"/>
      <c r="AEV27" s="209"/>
      <c r="AEW27" s="209"/>
      <c r="AEX27" s="209"/>
      <c r="AEY27" s="209"/>
      <c r="AEZ27" s="209"/>
      <c r="AFA27" s="209"/>
      <c r="AFB27" s="209"/>
      <c r="AFC27" s="209"/>
      <c r="AFD27" s="209"/>
      <c r="AFE27" s="209"/>
      <c r="AFF27" s="209"/>
      <c r="AFG27" s="209"/>
      <c r="AFH27" s="209"/>
      <c r="AFI27" s="209"/>
      <c r="AFJ27" s="209"/>
      <c r="AFK27" s="209"/>
      <c r="AFL27" s="209"/>
      <c r="AFM27" s="209"/>
      <c r="AFN27" s="209"/>
      <c r="AFO27" s="209"/>
      <c r="AFP27" s="209"/>
      <c r="AFQ27" s="209"/>
      <c r="AFR27" s="209"/>
      <c r="AFS27" s="209"/>
      <c r="AFT27" s="209"/>
      <c r="AFU27" s="209"/>
      <c r="AFV27" s="209"/>
      <c r="AFW27" s="209"/>
      <c r="AFX27" s="209"/>
      <c r="AFY27" s="209"/>
      <c r="AFZ27" s="209"/>
      <c r="AGA27" s="209"/>
      <c r="AGB27" s="209"/>
      <c r="AGC27" s="209"/>
      <c r="AGD27" s="209"/>
      <c r="AGE27" s="209"/>
      <c r="AGF27" s="209"/>
      <c r="AGG27" s="209"/>
      <c r="AGH27" s="209"/>
      <c r="AGI27" s="209"/>
      <c r="AGJ27" s="209"/>
      <c r="AGK27" s="209"/>
      <c r="AGL27" s="209"/>
      <c r="AGM27" s="209"/>
      <c r="AGN27" s="209"/>
      <c r="AGO27" s="209"/>
      <c r="AGP27" s="209"/>
      <c r="AGQ27" s="209"/>
      <c r="AGR27" s="209"/>
      <c r="AGS27" s="209"/>
      <c r="AGT27" s="209"/>
      <c r="AGU27" s="209"/>
      <c r="AGV27" s="209"/>
      <c r="AGW27" s="209"/>
      <c r="AGX27" s="209"/>
      <c r="AGY27" s="209"/>
      <c r="AGZ27" s="209"/>
      <c r="AHA27" s="209"/>
      <c r="AHB27" s="209"/>
      <c r="AHC27" s="209"/>
      <c r="AHD27" s="209"/>
      <c r="AHE27" s="209"/>
      <c r="AHF27" s="209"/>
      <c r="AHG27" s="209"/>
      <c r="AHH27" s="209"/>
      <c r="AHI27" s="209"/>
      <c r="AHJ27" s="209"/>
      <c r="AHK27" s="209"/>
      <c r="AHL27" s="209"/>
      <c r="AHM27" s="209"/>
      <c r="AHN27" s="209"/>
      <c r="AHO27" s="209"/>
      <c r="AHP27" s="209"/>
      <c r="AHQ27" s="209"/>
      <c r="AHR27" s="209"/>
      <c r="AHS27" s="209"/>
      <c r="AHT27" s="209"/>
      <c r="AHU27" s="209"/>
      <c r="AHV27" s="209"/>
      <c r="AHW27" s="209"/>
      <c r="AHX27" s="209"/>
      <c r="AHY27" s="209"/>
      <c r="AHZ27" s="209"/>
      <c r="AIA27" s="209"/>
      <c r="AIB27" s="209"/>
      <c r="AIC27" s="209"/>
      <c r="AID27" s="209"/>
      <c r="AIE27" s="209"/>
      <c r="AIF27" s="209"/>
      <c r="AIG27" s="209"/>
      <c r="AIH27" s="209"/>
      <c r="AII27" s="209"/>
      <c r="AIJ27" s="209"/>
      <c r="AIK27" s="209"/>
      <c r="AIL27" s="209"/>
      <c r="AIM27" s="209"/>
      <c r="AIN27" s="209"/>
      <c r="AIO27" s="209"/>
      <c r="AIP27" s="209"/>
      <c r="AIQ27" s="209"/>
      <c r="AIR27" s="209"/>
      <c r="AIS27" s="209"/>
      <c r="AIT27" s="209"/>
      <c r="AIU27" s="209"/>
      <c r="AIV27" s="209"/>
      <c r="AIW27" s="209"/>
      <c r="AIX27" s="209"/>
      <c r="AIY27" s="209"/>
      <c r="AIZ27" s="209"/>
      <c r="AJA27" s="209"/>
      <c r="AJB27" s="209"/>
      <c r="AJC27" s="209"/>
      <c r="AJD27" s="209"/>
      <c r="AJE27" s="209"/>
      <c r="AJF27" s="209"/>
      <c r="AJG27" s="209"/>
      <c r="AJH27" s="209"/>
      <c r="AJI27" s="209"/>
      <c r="AJJ27" s="209"/>
      <c r="AJK27" s="209"/>
      <c r="AJL27" s="209"/>
      <c r="AJM27" s="209"/>
      <c r="AJN27" s="209"/>
      <c r="AJO27" s="209"/>
      <c r="AJP27" s="209"/>
      <c r="AJQ27" s="209"/>
      <c r="AJR27" s="209"/>
      <c r="AJS27" s="209"/>
      <c r="AJT27" s="209"/>
      <c r="AJU27" s="209"/>
      <c r="AJV27" s="209"/>
      <c r="AJW27" s="209"/>
      <c r="AJX27" s="209"/>
      <c r="AJY27" s="209"/>
      <c r="AJZ27" s="209"/>
      <c r="AKA27" s="209"/>
      <c r="AKB27" s="209"/>
      <c r="AKC27" s="209"/>
      <c r="AKD27" s="209"/>
      <c r="AKE27" s="209"/>
      <c r="AKF27" s="209"/>
      <c r="AKG27" s="209"/>
      <c r="AKH27" s="209"/>
      <c r="AKI27" s="209"/>
      <c r="AKJ27" s="209"/>
      <c r="AKK27" s="209"/>
      <c r="AKL27" s="209"/>
      <c r="AKM27" s="209"/>
      <c r="AKN27" s="209"/>
      <c r="AKO27" s="209"/>
      <c r="AKP27" s="209"/>
      <c r="AKQ27" s="209"/>
      <c r="AKR27" s="209"/>
      <c r="AKS27" s="209"/>
      <c r="AKT27" s="209"/>
      <c r="AKU27" s="209"/>
      <c r="AKV27" s="209"/>
      <c r="AKW27" s="209"/>
      <c r="AKX27" s="209"/>
      <c r="AKY27" s="209"/>
      <c r="AKZ27" s="209"/>
      <c r="ALA27" s="209"/>
      <c r="ALB27" s="209"/>
      <c r="ALC27" s="209"/>
      <c r="ALD27" s="209"/>
      <c r="ALE27" s="209"/>
      <c r="ALF27" s="209"/>
      <c r="ALG27" s="209"/>
      <c r="ALH27" s="209"/>
      <c r="ALI27" s="209"/>
      <c r="ALJ27" s="209"/>
      <c r="ALK27" s="209"/>
      <c r="ALL27" s="209"/>
      <c r="ALM27" s="209"/>
      <c r="ALN27" s="209"/>
      <c r="ALO27" s="209"/>
      <c r="ALP27" s="209"/>
      <c r="ALQ27" s="209"/>
      <c r="ALR27" s="209"/>
      <c r="ALS27" s="209"/>
      <c r="ALT27" s="209"/>
      <c r="ALU27" s="209"/>
      <c r="ALV27" s="209"/>
      <c r="ALW27" s="209"/>
      <c r="ALX27" s="209"/>
      <c r="ALY27" s="209"/>
      <c r="ALZ27" s="209"/>
      <c r="AMA27" s="209"/>
      <c r="AMB27" s="209"/>
      <c r="AMC27" s="209"/>
      <c r="AMD27" s="209"/>
      <c r="AME27" s="209"/>
      <c r="AMF27" s="209"/>
      <c r="AMG27" s="209"/>
      <c r="AMH27" s="209"/>
      <c r="AMI27" s="209"/>
      <c r="AMJ27" s="209"/>
      <c r="AMK27" s="209"/>
      <c r="AML27" s="209"/>
      <c r="AMM27" s="209"/>
      <c r="AMN27" s="209"/>
      <c r="AMO27" s="209"/>
      <c r="AMP27" s="209"/>
      <c r="AMQ27" s="209"/>
      <c r="AMR27" s="209"/>
      <c r="AMS27" s="209"/>
      <c r="AMT27" s="209"/>
      <c r="AMU27" s="209"/>
      <c r="AMV27" s="209"/>
      <c r="AMW27" s="209"/>
      <c r="AMX27" s="209"/>
      <c r="AMY27" s="209"/>
      <c r="AMZ27" s="209"/>
      <c r="ANA27" s="209"/>
      <c r="ANB27" s="209"/>
      <c r="ANC27" s="209"/>
      <c r="AND27" s="209"/>
      <c r="ANE27" s="209"/>
      <c r="ANF27" s="209"/>
      <c r="ANG27" s="209"/>
      <c r="ANH27" s="209"/>
      <c r="ANI27" s="209"/>
      <c r="ANJ27" s="209"/>
      <c r="ANK27" s="209"/>
      <c r="ANL27" s="209"/>
      <c r="ANM27" s="209"/>
      <c r="ANN27" s="209"/>
      <c r="ANO27" s="209"/>
      <c r="ANP27" s="209"/>
      <c r="ANQ27" s="209"/>
      <c r="ANR27" s="209"/>
      <c r="ANS27" s="209"/>
      <c r="ANT27" s="209"/>
      <c r="ANU27" s="209"/>
      <c r="ANV27" s="209"/>
      <c r="ANW27" s="209"/>
      <c r="ANX27" s="209"/>
      <c r="ANY27" s="209"/>
      <c r="ANZ27" s="209"/>
      <c r="AOA27" s="209"/>
      <c r="AOB27" s="209"/>
      <c r="AOC27" s="209"/>
      <c r="AOD27" s="209"/>
      <c r="AOE27" s="209"/>
      <c r="AOF27" s="209"/>
      <c r="AOG27" s="209"/>
      <c r="AOH27" s="209"/>
      <c r="AOI27" s="209"/>
      <c r="AOJ27" s="209"/>
      <c r="AOK27" s="209"/>
      <c r="AOL27" s="209"/>
      <c r="AOM27" s="209"/>
      <c r="AON27" s="209"/>
      <c r="AOO27" s="209"/>
      <c r="AOP27" s="209"/>
      <c r="AOQ27" s="209"/>
      <c r="AOR27" s="209"/>
      <c r="AOS27" s="209"/>
      <c r="AOT27" s="209"/>
      <c r="AOU27" s="209"/>
      <c r="AOV27" s="209"/>
      <c r="AOW27" s="209"/>
      <c r="AOX27" s="209"/>
      <c r="AOY27" s="209"/>
      <c r="AOZ27" s="209"/>
      <c r="APA27" s="209"/>
      <c r="APB27" s="209"/>
      <c r="APC27" s="209"/>
      <c r="APD27" s="209"/>
      <c r="APE27" s="209"/>
      <c r="APF27" s="209"/>
      <c r="APG27" s="209"/>
      <c r="APH27" s="209"/>
      <c r="API27" s="209"/>
      <c r="APJ27" s="209"/>
      <c r="APK27" s="209"/>
      <c r="APL27" s="209"/>
      <c r="APM27" s="209"/>
      <c r="APN27" s="209"/>
      <c r="APO27" s="209"/>
      <c r="APP27" s="209"/>
      <c r="APQ27" s="209"/>
      <c r="APR27" s="209"/>
      <c r="APS27" s="209"/>
      <c r="APT27" s="209"/>
      <c r="APU27" s="209"/>
      <c r="APV27" s="209"/>
      <c r="APW27" s="209"/>
      <c r="APX27" s="209"/>
      <c r="APY27" s="209"/>
      <c r="APZ27" s="209"/>
      <c r="AQA27" s="209"/>
      <c r="AQB27" s="209"/>
      <c r="AQC27" s="209"/>
      <c r="AQD27" s="209"/>
      <c r="AQE27" s="209"/>
      <c r="AQF27" s="209"/>
      <c r="AQG27" s="209"/>
      <c r="AQH27" s="209"/>
      <c r="AQI27" s="209"/>
      <c r="AQJ27" s="209"/>
      <c r="AQK27" s="209"/>
      <c r="AQL27" s="209"/>
      <c r="AQM27" s="209"/>
      <c r="AQN27" s="209"/>
      <c r="AQO27" s="209"/>
      <c r="AQP27" s="209"/>
      <c r="AQQ27" s="209"/>
      <c r="AQR27" s="209"/>
      <c r="AQS27" s="209"/>
      <c r="AQT27" s="209"/>
      <c r="AQU27" s="209"/>
      <c r="AQV27" s="209"/>
      <c r="AQW27" s="209"/>
      <c r="AQX27" s="209"/>
      <c r="AQY27" s="209"/>
      <c r="AQZ27" s="209"/>
      <c r="ARA27" s="209"/>
      <c r="ARB27" s="209"/>
      <c r="ARC27" s="209"/>
      <c r="ARD27" s="209"/>
      <c r="ARE27" s="209"/>
      <c r="ARF27" s="209"/>
      <c r="ARG27" s="209"/>
      <c r="ARH27" s="209"/>
      <c r="ARI27" s="209"/>
      <c r="ARJ27" s="209"/>
      <c r="ARK27" s="209"/>
      <c r="ARL27" s="209"/>
      <c r="ARM27" s="209"/>
      <c r="ARN27" s="209"/>
      <c r="ARO27" s="209"/>
      <c r="ARP27" s="209"/>
      <c r="ARQ27" s="209"/>
      <c r="ARR27" s="209"/>
      <c r="ARS27" s="209"/>
      <c r="ART27" s="209"/>
      <c r="ARU27" s="209"/>
      <c r="ARV27" s="209"/>
      <c r="ARW27" s="209"/>
      <c r="ARX27" s="209"/>
      <c r="ARY27" s="209"/>
      <c r="ARZ27" s="209"/>
      <c r="ASA27" s="209"/>
      <c r="ASB27" s="209"/>
      <c r="ASC27" s="209"/>
      <c r="ASD27" s="209"/>
      <c r="ASE27" s="209"/>
      <c r="ASF27" s="209"/>
      <c r="ASG27" s="209"/>
      <c r="ASH27" s="209"/>
      <c r="ASI27" s="209"/>
      <c r="ASJ27" s="209"/>
      <c r="ASK27" s="209"/>
      <c r="ASL27" s="209"/>
      <c r="ASM27" s="209"/>
      <c r="ASN27" s="209"/>
      <c r="ASO27" s="209"/>
      <c r="ASP27" s="209"/>
      <c r="ASQ27" s="209"/>
      <c r="ASR27" s="209"/>
      <c r="ASS27" s="209"/>
      <c r="AST27" s="209"/>
      <c r="ASU27" s="209"/>
      <c r="ASV27" s="209"/>
      <c r="ASW27" s="209"/>
      <c r="ASX27" s="209"/>
      <c r="ASY27" s="209"/>
      <c r="ASZ27" s="209"/>
      <c r="ATA27" s="209"/>
      <c r="ATB27" s="209"/>
      <c r="ATC27" s="209"/>
      <c r="ATD27" s="209"/>
      <c r="ATE27" s="209"/>
      <c r="ATF27" s="209"/>
      <c r="ATG27" s="209"/>
      <c r="ATH27" s="209"/>
      <c r="ATI27" s="209"/>
      <c r="ATJ27" s="209"/>
      <c r="ATK27" s="209"/>
      <c r="ATL27" s="209"/>
      <c r="ATM27" s="209"/>
      <c r="ATN27" s="209"/>
      <c r="ATO27" s="209"/>
      <c r="ATP27" s="209"/>
      <c r="ATQ27" s="209"/>
      <c r="ATR27" s="209"/>
      <c r="ATS27" s="209"/>
      <c r="ATT27" s="209"/>
      <c r="ATU27" s="209"/>
      <c r="ATV27" s="209"/>
      <c r="ATW27" s="209"/>
      <c r="ATX27" s="209"/>
      <c r="ATY27" s="209"/>
      <c r="ATZ27" s="209"/>
      <c r="AUA27" s="209"/>
      <c r="AUB27" s="209"/>
      <c r="AUC27" s="209"/>
      <c r="AUD27" s="209"/>
      <c r="AUE27" s="209"/>
      <c r="AUF27" s="209"/>
      <c r="AUG27" s="209"/>
      <c r="AUH27" s="209"/>
      <c r="AUI27" s="209"/>
      <c r="AUJ27" s="209"/>
      <c r="AUK27" s="209"/>
      <c r="AUL27" s="209"/>
      <c r="AUM27" s="209"/>
      <c r="AUN27" s="209"/>
      <c r="AUO27" s="209"/>
      <c r="AUP27" s="209"/>
      <c r="AUQ27" s="209"/>
      <c r="AUR27" s="209"/>
      <c r="AUS27" s="209"/>
      <c r="AUT27" s="209"/>
      <c r="AUU27" s="209"/>
      <c r="AUV27" s="209"/>
      <c r="AUW27" s="209"/>
      <c r="AUX27" s="209"/>
      <c r="AUY27" s="209"/>
      <c r="AUZ27" s="209"/>
      <c r="AVA27" s="209"/>
      <c r="AVB27" s="209"/>
      <c r="AVC27" s="209"/>
      <c r="AVD27" s="209"/>
      <c r="AVE27" s="209"/>
      <c r="AVF27" s="209"/>
      <c r="AVG27" s="209"/>
      <c r="AVH27" s="209"/>
      <c r="AVI27" s="209"/>
      <c r="AVJ27" s="209"/>
      <c r="AVK27" s="209"/>
      <c r="AVL27" s="209"/>
      <c r="AVM27" s="209"/>
      <c r="AVN27" s="209"/>
      <c r="AVO27" s="209"/>
      <c r="AVP27" s="209"/>
      <c r="AVQ27" s="209"/>
      <c r="AVR27" s="209"/>
      <c r="AVS27" s="209"/>
      <c r="AVT27" s="209"/>
      <c r="AVU27" s="209"/>
      <c r="AVV27" s="209"/>
      <c r="AVW27" s="209"/>
      <c r="AVX27" s="209"/>
      <c r="AVY27" s="209"/>
      <c r="AVZ27" s="209"/>
      <c r="AWA27" s="209"/>
      <c r="AWB27" s="209"/>
      <c r="AWC27" s="209"/>
      <c r="AWD27" s="209"/>
      <c r="AWE27" s="209"/>
      <c r="AWF27" s="209"/>
      <c r="AWG27" s="209"/>
      <c r="AWH27" s="209"/>
      <c r="AWI27" s="209"/>
      <c r="AWJ27" s="209"/>
      <c r="AWK27" s="209"/>
      <c r="AWL27" s="209"/>
      <c r="AWM27" s="209"/>
      <c r="AWN27" s="209"/>
      <c r="AWO27" s="209"/>
      <c r="AWP27" s="209"/>
      <c r="AWQ27" s="209"/>
      <c r="AWR27" s="209"/>
      <c r="AWS27" s="209"/>
      <c r="AWT27" s="209"/>
      <c r="AWU27" s="209"/>
      <c r="AWV27" s="209"/>
      <c r="AWW27" s="209"/>
      <c r="AWX27" s="209"/>
      <c r="AWY27" s="209"/>
      <c r="AWZ27" s="209"/>
      <c r="AXA27" s="209"/>
      <c r="AXB27" s="209"/>
      <c r="AXC27" s="209"/>
      <c r="AXD27" s="209"/>
      <c r="AXE27" s="209"/>
      <c r="AXF27" s="209"/>
      <c r="AXG27" s="209"/>
      <c r="AXH27" s="209"/>
      <c r="AXI27" s="209"/>
      <c r="AXJ27" s="209"/>
      <c r="AXK27" s="209"/>
      <c r="AXL27" s="209"/>
      <c r="AXM27" s="209"/>
      <c r="AXN27" s="209"/>
      <c r="AXO27" s="209"/>
      <c r="AXP27" s="209"/>
      <c r="AXQ27" s="209"/>
      <c r="AXR27" s="209"/>
      <c r="AXS27" s="209"/>
      <c r="AXT27" s="209"/>
      <c r="AXU27" s="209"/>
      <c r="AXV27" s="209"/>
      <c r="AXW27" s="209"/>
      <c r="AXX27" s="209"/>
      <c r="AXY27" s="209"/>
      <c r="AXZ27" s="209"/>
      <c r="AYA27" s="209"/>
      <c r="AYB27" s="209"/>
      <c r="AYC27" s="209"/>
      <c r="AYD27" s="209"/>
      <c r="AYE27" s="209"/>
      <c r="AYF27" s="209"/>
      <c r="AYG27" s="209"/>
      <c r="AYH27" s="209"/>
      <c r="AYI27" s="209"/>
      <c r="AYJ27" s="209"/>
      <c r="AYK27" s="209"/>
      <c r="AYL27" s="209"/>
      <c r="AYM27" s="209"/>
      <c r="AYN27" s="209"/>
      <c r="AYO27" s="209"/>
      <c r="AYP27" s="209"/>
      <c r="AYQ27" s="209"/>
      <c r="AYR27" s="209"/>
      <c r="AYS27" s="209"/>
      <c r="AYT27" s="209"/>
      <c r="AYU27" s="209"/>
      <c r="AYV27" s="209"/>
      <c r="AYW27" s="209"/>
      <c r="AYX27" s="209"/>
      <c r="AYY27" s="209"/>
      <c r="AYZ27" s="209"/>
      <c r="AZA27" s="209"/>
      <c r="AZB27" s="209"/>
      <c r="AZC27" s="209"/>
      <c r="AZD27" s="209"/>
      <c r="AZE27" s="209"/>
      <c r="AZF27" s="209"/>
      <c r="AZG27" s="209"/>
      <c r="AZH27" s="209"/>
      <c r="AZI27" s="209"/>
      <c r="AZJ27" s="209"/>
      <c r="AZK27" s="209"/>
      <c r="AZL27" s="209"/>
      <c r="AZM27" s="209"/>
      <c r="AZN27" s="209"/>
      <c r="AZO27" s="209"/>
      <c r="AZP27" s="209"/>
      <c r="AZQ27" s="209"/>
      <c r="AZR27" s="209"/>
      <c r="AZS27" s="209"/>
      <c r="AZT27" s="209"/>
      <c r="AZU27" s="209"/>
      <c r="AZV27" s="209"/>
      <c r="AZW27" s="209"/>
      <c r="AZX27" s="209"/>
      <c r="AZY27" s="209"/>
      <c r="AZZ27" s="209"/>
      <c r="BAA27" s="209"/>
      <c r="BAB27" s="209"/>
      <c r="BAC27" s="209"/>
      <c r="BAD27" s="209"/>
      <c r="BAE27" s="209"/>
      <c r="BAF27" s="209"/>
      <c r="BAG27" s="209"/>
      <c r="BAH27" s="209"/>
      <c r="BAI27" s="209"/>
      <c r="BAJ27" s="209"/>
      <c r="BAK27" s="209"/>
      <c r="BAL27" s="209"/>
      <c r="BAM27" s="209"/>
      <c r="BAN27" s="209"/>
      <c r="BAO27" s="209"/>
      <c r="BAP27" s="209"/>
      <c r="BAQ27" s="209"/>
      <c r="BAR27" s="209"/>
      <c r="BAS27" s="209"/>
      <c r="BAT27" s="209"/>
      <c r="BAU27" s="209"/>
      <c r="BAV27" s="209"/>
      <c r="BAW27" s="209"/>
      <c r="BAX27" s="209"/>
      <c r="BAY27" s="209"/>
      <c r="BAZ27" s="209"/>
      <c r="BBA27" s="209"/>
      <c r="BBB27" s="209"/>
      <c r="BBC27" s="209"/>
      <c r="BBD27" s="209"/>
      <c r="BBE27" s="209"/>
      <c r="BBF27" s="209"/>
      <c r="BBG27" s="209"/>
      <c r="BBH27" s="209"/>
      <c r="BBI27" s="209"/>
      <c r="BBJ27" s="209"/>
      <c r="BBK27" s="209"/>
      <c r="BBL27" s="209"/>
      <c r="BBM27" s="209"/>
      <c r="BBN27" s="209"/>
      <c r="BBO27" s="209"/>
      <c r="BBP27" s="209"/>
      <c r="BBQ27" s="209"/>
      <c r="BBR27" s="209"/>
      <c r="BBS27" s="209"/>
      <c r="BBT27" s="209"/>
      <c r="BBU27" s="209"/>
      <c r="BBV27" s="209"/>
      <c r="BBW27" s="209"/>
      <c r="BBX27" s="209"/>
      <c r="BBY27" s="209"/>
      <c r="BBZ27" s="209"/>
      <c r="BCA27" s="209"/>
      <c r="BCB27" s="209"/>
      <c r="BCC27" s="209"/>
      <c r="BCD27" s="209"/>
      <c r="BCE27" s="209"/>
      <c r="BCF27" s="209"/>
      <c r="BCG27" s="209"/>
      <c r="BCH27" s="209"/>
      <c r="BCI27" s="209"/>
      <c r="BCJ27" s="209"/>
      <c r="BCK27" s="209"/>
      <c r="BCL27" s="209"/>
      <c r="BCM27" s="209"/>
      <c r="BCN27" s="209"/>
      <c r="BCO27" s="209"/>
      <c r="BCP27" s="209"/>
      <c r="BCQ27" s="209"/>
      <c r="BCR27" s="209"/>
      <c r="BCS27" s="209"/>
      <c r="BCT27" s="209"/>
      <c r="BCU27" s="209"/>
      <c r="BCV27" s="209"/>
      <c r="BCW27" s="209"/>
      <c r="BCX27" s="209"/>
      <c r="BCY27" s="209"/>
      <c r="BCZ27" s="209"/>
      <c r="BDA27" s="209"/>
      <c r="BDB27" s="209"/>
      <c r="BDC27" s="209"/>
      <c r="BDD27" s="209"/>
      <c r="BDE27" s="209"/>
      <c r="BDF27" s="209"/>
      <c r="BDG27" s="209"/>
      <c r="BDH27" s="209"/>
      <c r="BDI27" s="209"/>
      <c r="BDJ27" s="209"/>
      <c r="BDK27" s="209"/>
      <c r="BDL27" s="209"/>
      <c r="BDM27" s="209"/>
      <c r="BDN27" s="209"/>
      <c r="BDO27" s="209"/>
      <c r="BDP27" s="209"/>
      <c r="BDQ27" s="209"/>
      <c r="BDR27" s="209"/>
      <c r="BDS27" s="209"/>
      <c r="BDT27" s="209"/>
      <c r="BDU27" s="209"/>
      <c r="BDV27" s="209"/>
      <c r="BDW27" s="209"/>
      <c r="BDX27" s="209"/>
      <c r="BDY27" s="209"/>
      <c r="BDZ27" s="209"/>
      <c r="BEA27" s="209"/>
      <c r="BEB27" s="209"/>
      <c r="BEC27" s="209"/>
      <c r="BED27" s="209"/>
      <c r="BEE27" s="209"/>
      <c r="BEF27" s="209"/>
      <c r="BEG27" s="209"/>
      <c r="BEH27" s="209"/>
      <c r="BEI27" s="209"/>
      <c r="BEJ27" s="209"/>
      <c r="BEK27" s="209"/>
      <c r="BEL27" s="209"/>
      <c r="BEM27" s="209"/>
      <c r="BEN27" s="209"/>
      <c r="BEO27" s="209"/>
      <c r="BEP27" s="209"/>
      <c r="BEQ27" s="209"/>
      <c r="BER27" s="209"/>
      <c r="BES27" s="209"/>
      <c r="BET27" s="209"/>
      <c r="BEU27" s="209"/>
      <c r="BEV27" s="209"/>
      <c r="BEW27" s="209"/>
      <c r="BEX27" s="209"/>
      <c r="BEY27" s="209"/>
      <c r="BEZ27" s="209"/>
      <c r="BFA27" s="209"/>
      <c r="BFB27" s="209"/>
      <c r="BFC27" s="209"/>
      <c r="BFD27" s="209"/>
      <c r="BFE27" s="209"/>
      <c r="BFF27" s="209"/>
      <c r="BFG27" s="209"/>
      <c r="BFH27" s="209"/>
      <c r="BFI27" s="209"/>
      <c r="BFJ27" s="209"/>
      <c r="BFK27" s="209"/>
      <c r="BFL27" s="209"/>
      <c r="BFM27" s="209"/>
      <c r="BFN27" s="209"/>
      <c r="BFO27" s="209"/>
      <c r="BFP27" s="209"/>
      <c r="BFQ27" s="209"/>
      <c r="BFR27" s="209"/>
      <c r="BFS27" s="209"/>
      <c r="BFT27" s="209"/>
      <c r="BFU27" s="209"/>
      <c r="BFV27" s="209"/>
      <c r="BFW27" s="209"/>
      <c r="BFX27" s="209"/>
      <c r="BFY27" s="209"/>
      <c r="BFZ27" s="209"/>
      <c r="BGA27" s="209"/>
      <c r="BGB27" s="209"/>
      <c r="BGC27" s="209"/>
      <c r="BGD27" s="209"/>
      <c r="BGE27" s="209"/>
      <c r="BGF27" s="209"/>
      <c r="BGG27" s="209"/>
      <c r="BGH27" s="209"/>
      <c r="BGI27" s="209"/>
      <c r="BGJ27" s="209"/>
      <c r="BGK27" s="209"/>
      <c r="BGL27" s="209"/>
      <c r="BGM27" s="209"/>
      <c r="BGN27" s="209"/>
      <c r="BGO27" s="209"/>
      <c r="BGP27" s="209"/>
      <c r="BGQ27" s="209"/>
      <c r="BGR27" s="209"/>
      <c r="BGS27" s="209"/>
      <c r="BGT27" s="209"/>
      <c r="BGU27" s="209"/>
      <c r="BGV27" s="209"/>
      <c r="BGW27" s="209"/>
      <c r="BGX27" s="209"/>
      <c r="BGY27" s="209"/>
      <c r="BGZ27" s="209"/>
      <c r="BHA27" s="209"/>
      <c r="BHB27" s="209"/>
      <c r="BHC27" s="209"/>
      <c r="BHD27" s="209"/>
      <c r="BHE27" s="209"/>
      <c r="BHF27" s="209"/>
      <c r="BHG27" s="209"/>
      <c r="BHH27" s="209"/>
      <c r="BHI27" s="209"/>
      <c r="BHJ27" s="209"/>
      <c r="BHK27" s="209"/>
      <c r="BHL27" s="209"/>
      <c r="BHM27" s="209"/>
      <c r="BHN27" s="209"/>
      <c r="BHO27" s="209"/>
      <c r="BHP27" s="209"/>
      <c r="BHQ27" s="209"/>
      <c r="BHR27" s="209"/>
      <c r="BHS27" s="209"/>
      <c r="BHT27" s="209"/>
      <c r="BHU27" s="209"/>
      <c r="BHV27" s="209"/>
      <c r="BHW27" s="209"/>
      <c r="BHX27" s="209"/>
      <c r="BHY27" s="209"/>
      <c r="BHZ27" s="209"/>
      <c r="BIA27" s="209"/>
      <c r="BIB27" s="209"/>
      <c r="BIC27" s="209"/>
      <c r="BID27" s="209"/>
      <c r="BIE27" s="209"/>
      <c r="BIF27" s="209"/>
      <c r="BIG27" s="209"/>
      <c r="BIH27" s="209"/>
      <c r="BII27" s="209"/>
      <c r="BIJ27" s="209"/>
      <c r="BIK27" s="209"/>
      <c r="BIL27" s="209"/>
      <c r="BIM27" s="209"/>
      <c r="BIN27" s="209"/>
      <c r="BIO27" s="209"/>
      <c r="BIP27" s="209"/>
      <c r="BIQ27" s="209"/>
      <c r="BIR27" s="209"/>
      <c r="BIS27" s="209"/>
      <c r="BIT27" s="209"/>
      <c r="BIU27" s="209"/>
      <c r="BIV27" s="209"/>
      <c r="BIW27" s="209"/>
      <c r="BIX27" s="209"/>
      <c r="BIY27" s="209"/>
      <c r="BIZ27" s="209"/>
      <c r="BJA27" s="209"/>
      <c r="BJB27" s="209"/>
      <c r="BJC27" s="209"/>
      <c r="BJD27" s="209"/>
      <c r="BJE27" s="209"/>
      <c r="BJF27" s="209"/>
      <c r="BJG27" s="209"/>
      <c r="BJH27" s="209"/>
      <c r="BJI27" s="209"/>
      <c r="BJJ27" s="209"/>
      <c r="BJK27" s="209"/>
      <c r="BJL27" s="209"/>
      <c r="BJM27" s="209"/>
      <c r="BJN27" s="209"/>
      <c r="BJO27" s="209"/>
      <c r="BJP27" s="209"/>
      <c r="BJQ27" s="209"/>
      <c r="BJR27" s="209"/>
      <c r="BJS27" s="209"/>
      <c r="BJT27" s="209"/>
      <c r="BJU27" s="209"/>
      <c r="BJV27" s="209"/>
      <c r="BJW27" s="209"/>
      <c r="BJX27" s="209"/>
      <c r="BJY27" s="209"/>
      <c r="BJZ27" s="209"/>
      <c r="BKA27" s="209"/>
      <c r="BKB27" s="209"/>
      <c r="BKC27" s="209"/>
      <c r="BKD27" s="209"/>
      <c r="BKE27" s="209"/>
      <c r="BKF27" s="209"/>
      <c r="BKG27" s="209"/>
      <c r="BKH27" s="209"/>
      <c r="BKI27" s="209"/>
      <c r="BKJ27" s="209"/>
      <c r="BKK27" s="209"/>
      <c r="BKL27" s="209"/>
      <c r="BKM27" s="209"/>
      <c r="BKN27" s="209"/>
      <c r="BKO27" s="209"/>
      <c r="BKP27" s="209"/>
      <c r="BKQ27" s="209"/>
      <c r="BKR27" s="209"/>
      <c r="BKS27" s="209"/>
      <c r="BKT27" s="209"/>
      <c r="BKU27" s="209"/>
      <c r="BKV27" s="209"/>
      <c r="BKW27" s="209"/>
      <c r="BKX27" s="209"/>
      <c r="BKY27" s="209"/>
      <c r="BKZ27" s="209"/>
      <c r="BLA27" s="209"/>
      <c r="BLB27" s="209"/>
      <c r="BLC27" s="209"/>
      <c r="BLD27" s="209"/>
      <c r="BLE27" s="209"/>
      <c r="BLF27" s="209"/>
      <c r="BLG27" s="209"/>
      <c r="BLH27" s="209"/>
      <c r="BLI27" s="209"/>
      <c r="BLJ27" s="209"/>
      <c r="BLK27" s="209"/>
      <c r="BLL27" s="209"/>
      <c r="BLM27" s="209"/>
      <c r="BLN27" s="209"/>
      <c r="BLO27" s="209"/>
      <c r="BLP27" s="209"/>
      <c r="BLQ27" s="209"/>
      <c r="BLR27" s="209"/>
      <c r="BLS27" s="209"/>
      <c r="BLT27" s="209"/>
      <c r="BLU27" s="209"/>
      <c r="BLV27" s="209"/>
      <c r="BLW27" s="209"/>
      <c r="BLX27" s="209"/>
      <c r="BLY27" s="209"/>
      <c r="BLZ27" s="209"/>
      <c r="BMA27" s="209"/>
      <c r="BMB27" s="209"/>
      <c r="BMC27" s="209"/>
      <c r="BMD27" s="209"/>
      <c r="BME27" s="209"/>
      <c r="BMF27" s="209"/>
      <c r="BMG27" s="209"/>
      <c r="BMH27" s="209"/>
      <c r="BMI27" s="209"/>
      <c r="BMJ27" s="209"/>
      <c r="BMK27" s="209"/>
      <c r="BML27" s="209"/>
      <c r="BMM27" s="209"/>
      <c r="BMN27" s="209"/>
      <c r="BMO27" s="209"/>
      <c r="BMP27" s="209"/>
      <c r="BMQ27" s="209"/>
      <c r="BMR27" s="209"/>
      <c r="BMS27" s="209"/>
      <c r="BMT27" s="209"/>
      <c r="BMU27" s="209"/>
      <c r="BMV27" s="209"/>
      <c r="BMW27" s="209"/>
      <c r="BMX27" s="209"/>
      <c r="BMY27" s="209"/>
      <c r="BMZ27" s="209"/>
      <c r="BNA27" s="209"/>
      <c r="BNB27" s="209"/>
      <c r="BNC27" s="209"/>
      <c r="BND27" s="209"/>
      <c r="BNE27" s="209"/>
      <c r="BNF27" s="209"/>
      <c r="BNG27" s="209"/>
      <c r="BNH27" s="209"/>
      <c r="BNI27" s="209"/>
      <c r="BNJ27" s="209"/>
      <c r="BNK27" s="209"/>
      <c r="BNL27" s="209"/>
      <c r="BNM27" s="209"/>
      <c r="BNN27" s="209"/>
      <c r="BNO27" s="209"/>
      <c r="BNP27" s="209"/>
      <c r="BNQ27" s="209"/>
      <c r="BNR27" s="209"/>
      <c r="BNS27" s="209"/>
      <c r="BNT27" s="209"/>
      <c r="BNU27" s="209"/>
      <c r="BNV27" s="209"/>
      <c r="BNW27" s="209"/>
      <c r="BNX27" s="209"/>
      <c r="BNY27" s="209"/>
      <c r="BNZ27" s="209"/>
      <c r="BOA27" s="209"/>
      <c r="BOB27" s="209"/>
      <c r="BOC27" s="209"/>
      <c r="BOD27" s="209"/>
      <c r="BOE27" s="209"/>
      <c r="BOF27" s="209"/>
      <c r="BOG27" s="209"/>
      <c r="BOH27" s="209"/>
      <c r="BOI27" s="209"/>
      <c r="BOJ27" s="209"/>
      <c r="BOK27" s="209"/>
      <c r="BOL27" s="209"/>
      <c r="BOM27" s="209"/>
      <c r="BON27" s="209"/>
      <c r="BOO27" s="209"/>
      <c r="BOP27" s="209"/>
      <c r="BOQ27" s="209"/>
      <c r="BOR27" s="209"/>
      <c r="BOS27" s="209"/>
      <c r="BOT27" s="209"/>
      <c r="BOU27" s="209"/>
      <c r="BOV27" s="209"/>
      <c r="BOW27" s="209"/>
      <c r="BOX27" s="209"/>
      <c r="BOY27" s="209"/>
      <c r="BOZ27" s="209"/>
      <c r="BPA27" s="209"/>
      <c r="BPB27" s="209"/>
      <c r="BPC27" s="209"/>
      <c r="BPD27" s="209"/>
      <c r="BPE27" s="209"/>
      <c r="BPF27" s="209"/>
      <c r="BPG27" s="209"/>
      <c r="BPH27" s="209"/>
      <c r="BPI27" s="209"/>
      <c r="BPJ27" s="209"/>
      <c r="BPK27" s="209"/>
      <c r="BPL27" s="209"/>
      <c r="BPM27" s="209"/>
      <c r="BPN27" s="209"/>
      <c r="BPO27" s="209"/>
      <c r="BPP27" s="209"/>
      <c r="BPQ27" s="209"/>
      <c r="BPR27" s="209"/>
      <c r="BPS27" s="209"/>
      <c r="BPT27" s="209"/>
      <c r="BPU27" s="209"/>
      <c r="BPV27" s="209"/>
      <c r="BPW27" s="209"/>
      <c r="BPX27" s="209"/>
      <c r="BPY27" s="209"/>
      <c r="BPZ27" s="209"/>
      <c r="BQA27" s="209"/>
      <c r="BQB27" s="209"/>
      <c r="BQC27" s="209"/>
      <c r="BQD27" s="209"/>
      <c r="BQE27" s="209"/>
      <c r="BQF27" s="209"/>
      <c r="BQG27" s="209"/>
      <c r="BQH27" s="209"/>
      <c r="BQI27" s="209"/>
      <c r="BQJ27" s="209"/>
      <c r="BQK27" s="209"/>
      <c r="BQL27" s="209"/>
      <c r="BQM27" s="209"/>
      <c r="BQN27" s="209"/>
      <c r="BQO27" s="209"/>
      <c r="BQP27" s="209"/>
      <c r="BQQ27" s="209"/>
      <c r="BQR27" s="209"/>
      <c r="BQS27" s="209"/>
      <c r="BQT27" s="209"/>
      <c r="BQU27" s="209"/>
      <c r="BQV27" s="209"/>
      <c r="BQW27" s="209"/>
      <c r="BQX27" s="209"/>
      <c r="BQY27" s="209"/>
      <c r="BQZ27" s="209"/>
      <c r="BRA27" s="209"/>
      <c r="BRB27" s="209"/>
      <c r="BRC27" s="209"/>
      <c r="BRD27" s="209"/>
      <c r="BRE27" s="209"/>
      <c r="BRF27" s="209"/>
      <c r="BRG27" s="209"/>
      <c r="BRH27" s="209"/>
      <c r="BRI27" s="209"/>
      <c r="BRJ27" s="209"/>
      <c r="BRK27" s="209"/>
      <c r="BRL27" s="209"/>
      <c r="BRM27" s="209"/>
      <c r="BRN27" s="209"/>
      <c r="BRO27" s="209"/>
      <c r="BRP27" s="209"/>
      <c r="BRQ27" s="209"/>
      <c r="BRR27" s="209"/>
      <c r="BRS27" s="209"/>
      <c r="BRT27" s="209"/>
      <c r="BRU27" s="209"/>
      <c r="BRV27" s="209"/>
      <c r="BRW27" s="209"/>
      <c r="BRX27" s="209"/>
      <c r="BRY27" s="209"/>
      <c r="BRZ27" s="209"/>
      <c r="BSA27" s="209"/>
      <c r="BSB27" s="209"/>
      <c r="BSC27" s="209"/>
      <c r="BSD27" s="209"/>
      <c r="BSE27" s="209"/>
      <c r="BSF27" s="209"/>
      <c r="BSG27" s="209"/>
      <c r="BSH27" s="209"/>
      <c r="BSI27" s="209"/>
      <c r="BSJ27" s="209"/>
      <c r="BSK27" s="209"/>
      <c r="BSL27" s="209"/>
      <c r="BSM27" s="209"/>
      <c r="BSN27" s="209"/>
      <c r="BSO27" s="209"/>
      <c r="BSP27" s="209"/>
      <c r="BSQ27" s="209"/>
      <c r="BSR27" s="209"/>
      <c r="BSS27" s="209"/>
      <c r="BST27" s="209"/>
      <c r="BSU27" s="209"/>
      <c r="BSV27" s="209"/>
      <c r="BSW27" s="209"/>
      <c r="BSX27" s="209"/>
      <c r="BSY27" s="209"/>
      <c r="BSZ27" s="209"/>
      <c r="BTA27" s="209"/>
      <c r="BTB27" s="209"/>
      <c r="BTC27" s="209"/>
      <c r="BTD27" s="209"/>
      <c r="BTE27" s="209"/>
      <c r="BTF27" s="209"/>
      <c r="BTG27" s="209"/>
      <c r="BTH27" s="209"/>
      <c r="BTI27" s="209"/>
      <c r="BTJ27" s="209"/>
      <c r="BTK27" s="209"/>
      <c r="BTL27" s="209"/>
      <c r="BTM27" s="209"/>
      <c r="BTN27" s="209"/>
      <c r="BTO27" s="209"/>
      <c r="BTP27" s="209"/>
      <c r="BTQ27" s="209"/>
      <c r="BTR27" s="209"/>
      <c r="BTS27" s="209"/>
      <c r="BTT27" s="209"/>
      <c r="BTU27" s="209"/>
      <c r="BTV27" s="209"/>
      <c r="BTW27" s="209"/>
      <c r="BTX27" s="209"/>
      <c r="BTY27" s="209"/>
      <c r="BTZ27" s="209"/>
      <c r="BUA27" s="209"/>
      <c r="BUB27" s="209"/>
      <c r="BUC27" s="209"/>
      <c r="BUD27" s="209"/>
      <c r="BUE27" s="209"/>
      <c r="BUF27" s="209"/>
      <c r="BUG27" s="209"/>
      <c r="BUH27" s="209"/>
      <c r="BUI27" s="209"/>
      <c r="BUJ27" s="209"/>
      <c r="BUK27" s="209"/>
      <c r="BUL27" s="209"/>
      <c r="BUM27" s="209"/>
      <c r="BUN27" s="209"/>
      <c r="BUO27" s="209"/>
      <c r="BUP27" s="209"/>
      <c r="BUQ27" s="209"/>
      <c r="BUR27" s="209"/>
      <c r="BUS27" s="209"/>
      <c r="BUT27" s="209"/>
      <c r="BUU27" s="209"/>
      <c r="BUV27" s="209"/>
      <c r="BUW27" s="209"/>
      <c r="BUX27" s="209"/>
      <c r="BUY27" s="209"/>
      <c r="BUZ27" s="209"/>
      <c r="BVA27" s="209"/>
      <c r="BVB27" s="209"/>
      <c r="BVC27" s="209"/>
      <c r="BVD27" s="209"/>
      <c r="BVE27" s="209"/>
      <c r="BVF27" s="209"/>
      <c r="BVG27" s="209"/>
      <c r="BVH27" s="209"/>
      <c r="BVI27" s="209"/>
      <c r="BVJ27" s="209"/>
      <c r="BVK27" s="209"/>
      <c r="BVL27" s="209"/>
      <c r="BVM27" s="209"/>
      <c r="BVN27" s="209"/>
      <c r="BVO27" s="209"/>
      <c r="BVP27" s="209"/>
      <c r="BVQ27" s="209"/>
      <c r="BVR27" s="209"/>
      <c r="BVS27" s="209"/>
      <c r="BVT27" s="209"/>
      <c r="BVU27" s="209"/>
      <c r="BVV27" s="209"/>
      <c r="BVW27" s="209"/>
      <c r="BVX27" s="209"/>
      <c r="BVY27" s="209"/>
      <c r="BVZ27" s="209"/>
      <c r="BWA27" s="209"/>
      <c r="BWB27" s="209"/>
      <c r="BWC27" s="209"/>
      <c r="BWD27" s="209"/>
      <c r="BWE27" s="209"/>
      <c r="BWF27" s="209"/>
      <c r="BWG27" s="209"/>
      <c r="BWH27" s="209"/>
      <c r="BWI27" s="209"/>
      <c r="BWJ27" s="209"/>
      <c r="BWK27" s="209"/>
      <c r="BWL27" s="209"/>
      <c r="BWM27" s="209"/>
      <c r="BWN27" s="209"/>
      <c r="BWO27" s="209"/>
      <c r="BWP27" s="209"/>
      <c r="BWQ27" s="209"/>
      <c r="BWR27" s="209"/>
      <c r="BWS27" s="209"/>
      <c r="BWT27" s="209"/>
      <c r="BWU27" s="209"/>
      <c r="BWV27" s="209"/>
      <c r="BWW27" s="209"/>
      <c r="BWX27" s="209"/>
      <c r="BWY27" s="209"/>
      <c r="BWZ27" s="209"/>
      <c r="BXA27" s="209"/>
      <c r="BXB27" s="209"/>
      <c r="BXC27" s="209"/>
      <c r="BXD27" s="209"/>
      <c r="BXE27" s="209"/>
      <c r="BXF27" s="209"/>
      <c r="BXG27" s="209"/>
      <c r="BXH27" s="209"/>
      <c r="BXI27" s="209"/>
      <c r="BXJ27" s="209"/>
      <c r="BXK27" s="209"/>
      <c r="BXL27" s="209"/>
      <c r="BXM27" s="209"/>
      <c r="BXN27" s="209"/>
      <c r="BXO27" s="209"/>
      <c r="BXP27" s="209"/>
      <c r="BXQ27" s="209"/>
      <c r="BXR27" s="209"/>
      <c r="BXS27" s="209"/>
      <c r="BXT27" s="209"/>
      <c r="BXU27" s="209"/>
      <c r="BXV27" s="209"/>
      <c r="BXW27" s="209"/>
      <c r="BXX27" s="209"/>
      <c r="BXY27" s="209"/>
      <c r="BXZ27" s="209"/>
      <c r="BYA27" s="209"/>
      <c r="BYB27" s="209"/>
      <c r="BYC27" s="209"/>
      <c r="BYD27" s="209"/>
      <c r="BYE27" s="209"/>
      <c r="BYF27" s="209"/>
      <c r="BYG27" s="209"/>
      <c r="BYH27" s="209"/>
      <c r="BYI27" s="209"/>
      <c r="BYJ27" s="209"/>
      <c r="BYK27" s="209"/>
      <c r="BYL27" s="209"/>
      <c r="BYM27" s="209"/>
      <c r="BYN27" s="209"/>
      <c r="BYO27" s="209"/>
      <c r="BYP27" s="209"/>
      <c r="BYQ27" s="209"/>
      <c r="BYR27" s="209"/>
      <c r="BYS27" s="209"/>
      <c r="BYT27" s="209"/>
      <c r="BYU27" s="209"/>
      <c r="BYV27" s="209"/>
      <c r="BYW27" s="209"/>
      <c r="BYX27" s="209"/>
      <c r="BYY27" s="209"/>
      <c r="BYZ27" s="209"/>
      <c r="BZA27" s="209"/>
      <c r="BZB27" s="209"/>
      <c r="BZC27" s="209"/>
      <c r="BZD27" s="209"/>
      <c r="BZE27" s="209"/>
      <c r="BZF27" s="209"/>
      <c r="BZG27" s="209"/>
      <c r="BZH27" s="209"/>
      <c r="BZI27" s="209"/>
      <c r="BZJ27" s="209"/>
      <c r="BZK27" s="209"/>
      <c r="BZL27" s="209"/>
      <c r="BZM27" s="209"/>
      <c r="BZN27" s="209"/>
      <c r="BZO27" s="209"/>
      <c r="BZP27" s="209"/>
      <c r="BZQ27" s="209"/>
      <c r="BZR27" s="209"/>
      <c r="BZS27" s="209"/>
      <c r="BZT27" s="209"/>
      <c r="BZU27" s="209"/>
      <c r="BZV27" s="209"/>
      <c r="BZW27" s="209"/>
      <c r="BZX27" s="209"/>
      <c r="BZY27" s="209"/>
      <c r="BZZ27" s="209"/>
      <c r="CAA27" s="209"/>
      <c r="CAB27" s="209"/>
      <c r="CAC27" s="209"/>
      <c r="CAD27" s="209"/>
      <c r="CAE27" s="209"/>
      <c r="CAF27" s="209"/>
      <c r="CAG27" s="209"/>
      <c r="CAH27" s="209"/>
      <c r="CAI27" s="209"/>
      <c r="CAJ27" s="209"/>
      <c r="CAK27" s="209"/>
      <c r="CAL27" s="209"/>
      <c r="CAM27" s="209"/>
      <c r="CAN27" s="209"/>
      <c r="CAO27" s="209"/>
      <c r="CAP27" s="209"/>
      <c r="CAQ27" s="209"/>
      <c r="CAR27" s="209"/>
      <c r="CAS27" s="209"/>
      <c r="CAT27" s="209"/>
      <c r="CAU27" s="209"/>
      <c r="CAV27" s="209"/>
      <c r="CAW27" s="209"/>
      <c r="CAX27" s="209"/>
      <c r="CAY27" s="209"/>
      <c r="CAZ27" s="209"/>
      <c r="CBA27" s="209"/>
      <c r="CBB27" s="209"/>
      <c r="CBC27" s="209"/>
      <c r="CBD27" s="209"/>
      <c r="CBE27" s="209"/>
      <c r="CBF27" s="209"/>
      <c r="CBG27" s="209"/>
      <c r="CBH27" s="209"/>
      <c r="CBI27" s="209"/>
      <c r="CBJ27" s="209"/>
      <c r="CBK27" s="209"/>
      <c r="CBL27" s="209"/>
      <c r="CBM27" s="209"/>
      <c r="CBN27" s="209"/>
      <c r="CBO27" s="209"/>
      <c r="CBP27" s="209"/>
      <c r="CBQ27" s="209"/>
      <c r="CBR27" s="209"/>
      <c r="CBS27" s="209"/>
      <c r="CBT27" s="209"/>
      <c r="CBU27" s="209"/>
      <c r="CBV27" s="209"/>
      <c r="CBW27" s="209"/>
      <c r="CBX27" s="209"/>
      <c r="CBY27" s="209"/>
      <c r="CBZ27" s="209"/>
      <c r="CCA27" s="209"/>
      <c r="CCB27" s="209"/>
      <c r="CCC27" s="209"/>
      <c r="CCD27" s="209"/>
      <c r="CCE27" s="209"/>
      <c r="CCF27" s="209"/>
      <c r="CCG27" s="209"/>
      <c r="CCH27" s="209"/>
      <c r="CCI27" s="209"/>
      <c r="CCJ27" s="209"/>
      <c r="CCK27" s="209"/>
      <c r="CCL27" s="209"/>
      <c r="CCM27" s="209"/>
      <c r="CCN27" s="209"/>
      <c r="CCO27" s="209"/>
      <c r="CCP27" s="209"/>
      <c r="CCQ27" s="209"/>
      <c r="CCR27" s="209"/>
      <c r="CCS27" s="209"/>
      <c r="CCT27" s="209"/>
      <c r="CCU27" s="209"/>
      <c r="CCV27" s="209"/>
      <c r="CCW27" s="209"/>
      <c r="CCX27" s="209"/>
      <c r="CCY27" s="209"/>
      <c r="CCZ27" s="209"/>
      <c r="CDA27" s="209"/>
      <c r="CDB27" s="209"/>
      <c r="CDC27" s="209"/>
      <c r="CDD27" s="209"/>
      <c r="CDE27" s="209"/>
      <c r="CDF27" s="209"/>
      <c r="CDG27" s="209"/>
      <c r="CDH27" s="209"/>
      <c r="CDI27" s="209"/>
      <c r="CDJ27" s="209"/>
      <c r="CDK27" s="209"/>
      <c r="CDL27" s="209"/>
      <c r="CDM27" s="209"/>
      <c r="CDN27" s="209"/>
      <c r="CDO27" s="209"/>
      <c r="CDP27" s="209"/>
      <c r="CDQ27" s="209"/>
      <c r="CDR27" s="209"/>
      <c r="CDS27" s="209"/>
      <c r="CDT27" s="209"/>
      <c r="CDU27" s="209"/>
      <c r="CDV27" s="209"/>
      <c r="CDW27" s="209"/>
      <c r="CDX27" s="209"/>
      <c r="CDY27" s="209"/>
      <c r="CDZ27" s="209"/>
      <c r="CEA27" s="209"/>
      <c r="CEB27" s="209"/>
      <c r="CEC27" s="209"/>
      <c r="CED27" s="209"/>
      <c r="CEE27" s="209"/>
      <c r="CEF27" s="209"/>
      <c r="CEG27" s="209"/>
      <c r="CEH27" s="209"/>
      <c r="CEI27" s="209"/>
      <c r="CEJ27" s="209"/>
      <c r="CEK27" s="209"/>
      <c r="CEL27" s="209"/>
      <c r="CEM27" s="209"/>
      <c r="CEN27" s="209"/>
      <c r="CEO27" s="209"/>
      <c r="CEP27" s="209"/>
      <c r="CEQ27" s="209"/>
      <c r="CER27" s="209"/>
      <c r="CES27" s="209"/>
      <c r="CET27" s="209"/>
      <c r="CEU27" s="209"/>
      <c r="CEV27" s="209"/>
      <c r="CEW27" s="209"/>
      <c r="CEX27" s="209"/>
      <c r="CEY27" s="209"/>
      <c r="CEZ27" s="209"/>
      <c r="CFA27" s="209"/>
      <c r="CFB27" s="209"/>
      <c r="CFC27" s="209"/>
      <c r="CFD27" s="209"/>
      <c r="CFE27" s="209"/>
      <c r="CFF27" s="209"/>
      <c r="CFG27" s="209"/>
      <c r="CFH27" s="209"/>
      <c r="CFI27" s="209"/>
      <c r="CFJ27" s="209"/>
      <c r="CFK27" s="209"/>
      <c r="CFL27" s="209"/>
      <c r="CFM27" s="209"/>
      <c r="CFN27" s="209"/>
      <c r="CFO27" s="209"/>
      <c r="CFP27" s="209"/>
      <c r="CFQ27" s="209"/>
      <c r="CFR27" s="209"/>
      <c r="CFS27" s="209"/>
      <c r="CFT27" s="209"/>
      <c r="CFU27" s="209"/>
      <c r="CFV27" s="209"/>
      <c r="CFW27" s="209"/>
      <c r="CFX27" s="209"/>
      <c r="CFY27" s="209"/>
      <c r="CFZ27" s="209"/>
      <c r="CGA27" s="209"/>
      <c r="CGB27" s="209"/>
      <c r="CGC27" s="209"/>
      <c r="CGD27" s="209"/>
      <c r="CGE27" s="209"/>
      <c r="CGF27" s="209"/>
      <c r="CGG27" s="209"/>
      <c r="CGH27" s="209"/>
      <c r="CGI27" s="209"/>
      <c r="CGJ27" s="209"/>
      <c r="CGK27" s="209"/>
      <c r="CGL27" s="209"/>
      <c r="CGM27" s="209"/>
      <c r="CGN27" s="209"/>
      <c r="CGO27" s="209"/>
      <c r="CGP27" s="209"/>
      <c r="CGQ27" s="209"/>
      <c r="CGR27" s="209"/>
      <c r="CGS27" s="209"/>
      <c r="CGT27" s="209"/>
      <c r="CGU27" s="209"/>
      <c r="CGV27" s="209"/>
      <c r="CGW27" s="209"/>
      <c r="CGX27" s="209"/>
      <c r="CGY27" s="209"/>
      <c r="CGZ27" s="209"/>
      <c r="CHA27" s="209"/>
      <c r="CHB27" s="209"/>
      <c r="CHC27" s="209"/>
      <c r="CHD27" s="209"/>
      <c r="CHE27" s="209"/>
      <c r="CHF27" s="209"/>
      <c r="CHG27" s="209"/>
      <c r="CHH27" s="209"/>
      <c r="CHI27" s="209"/>
      <c r="CHJ27" s="209"/>
      <c r="CHK27" s="209"/>
      <c r="CHL27" s="209"/>
      <c r="CHM27" s="209"/>
      <c r="CHN27" s="209"/>
      <c r="CHO27" s="209"/>
      <c r="CHP27" s="209"/>
      <c r="CHQ27" s="209"/>
      <c r="CHR27" s="209"/>
      <c r="CHS27" s="209"/>
      <c r="CHT27" s="209"/>
      <c r="CHU27" s="209"/>
      <c r="CHV27" s="209"/>
      <c r="CHW27" s="209"/>
      <c r="CHX27" s="209"/>
      <c r="CHY27" s="209"/>
      <c r="CHZ27" s="209"/>
      <c r="CIA27" s="209"/>
      <c r="CIB27" s="209"/>
      <c r="CIC27" s="209"/>
      <c r="CID27" s="209"/>
      <c r="CIE27" s="209"/>
      <c r="CIF27" s="209"/>
      <c r="CIG27" s="209"/>
      <c r="CIH27" s="209"/>
      <c r="CII27" s="209"/>
      <c r="CIJ27" s="209"/>
      <c r="CIK27" s="209"/>
      <c r="CIL27" s="209"/>
      <c r="CIM27" s="209"/>
      <c r="CIN27" s="209"/>
      <c r="CIO27" s="209"/>
      <c r="CIP27" s="209"/>
      <c r="CIQ27" s="209"/>
      <c r="CIR27" s="209"/>
      <c r="CIS27" s="209"/>
      <c r="CIT27" s="209"/>
      <c r="CIU27" s="209"/>
      <c r="CIV27" s="209"/>
      <c r="CIW27" s="209"/>
      <c r="CIX27" s="209"/>
      <c r="CIY27" s="209"/>
      <c r="CIZ27" s="209"/>
      <c r="CJA27" s="209"/>
      <c r="CJB27" s="209"/>
      <c r="CJC27" s="209"/>
      <c r="CJD27" s="209"/>
      <c r="CJE27" s="209"/>
      <c r="CJF27" s="209"/>
      <c r="CJG27" s="209"/>
      <c r="CJH27" s="209"/>
      <c r="CJI27" s="209"/>
      <c r="CJJ27" s="209"/>
      <c r="CJK27" s="209"/>
      <c r="CJL27" s="209"/>
      <c r="CJM27" s="209"/>
      <c r="CJN27" s="209"/>
      <c r="CJO27" s="209"/>
      <c r="CJP27" s="209"/>
      <c r="CJQ27" s="209"/>
      <c r="CJR27" s="209"/>
      <c r="CJS27" s="209"/>
      <c r="CJT27" s="209"/>
      <c r="CJU27" s="209"/>
      <c r="CJV27" s="209"/>
      <c r="CJW27" s="209"/>
      <c r="CJX27" s="209"/>
      <c r="CJY27" s="209"/>
      <c r="CJZ27" s="209"/>
      <c r="CKA27" s="209"/>
      <c r="CKB27" s="209"/>
      <c r="CKC27" s="209"/>
      <c r="CKD27" s="209"/>
      <c r="CKE27" s="209"/>
      <c r="CKF27" s="209"/>
      <c r="CKG27" s="209"/>
      <c r="CKH27" s="209"/>
      <c r="CKI27" s="209"/>
      <c r="CKJ27" s="209"/>
      <c r="CKK27" s="209"/>
      <c r="CKL27" s="209"/>
      <c r="CKM27" s="209"/>
      <c r="CKN27" s="209"/>
      <c r="CKO27" s="209"/>
      <c r="CKP27" s="209"/>
      <c r="CKQ27" s="209"/>
      <c r="CKR27" s="209"/>
      <c r="CKS27" s="209"/>
      <c r="CKT27" s="209"/>
      <c r="CKU27" s="209"/>
      <c r="CKV27" s="209"/>
      <c r="CKW27" s="209"/>
      <c r="CKX27" s="209"/>
      <c r="CKY27" s="209"/>
      <c r="CKZ27" s="209"/>
      <c r="CLA27" s="209"/>
      <c r="CLB27" s="209"/>
      <c r="CLC27" s="209"/>
      <c r="CLD27" s="209"/>
      <c r="CLE27" s="209"/>
      <c r="CLF27" s="209"/>
      <c r="CLG27" s="209"/>
      <c r="CLH27" s="209"/>
      <c r="CLI27" s="209"/>
      <c r="CLJ27" s="209"/>
      <c r="CLK27" s="209"/>
      <c r="CLL27" s="209"/>
      <c r="CLM27" s="209"/>
      <c r="CLN27" s="209"/>
      <c r="CLO27" s="209"/>
      <c r="CLP27" s="209"/>
      <c r="CLQ27" s="209"/>
      <c r="CLR27" s="209"/>
      <c r="CLS27" s="209"/>
      <c r="CLT27" s="209"/>
      <c r="CLU27" s="209"/>
      <c r="CLV27" s="209"/>
      <c r="CLW27" s="209"/>
      <c r="CLX27" s="209"/>
      <c r="CLY27" s="209"/>
      <c r="CLZ27" s="209"/>
      <c r="CMA27" s="209"/>
      <c r="CMB27" s="209"/>
      <c r="CMC27" s="209"/>
      <c r="CMD27" s="209"/>
      <c r="CME27" s="209"/>
      <c r="CMF27" s="209"/>
      <c r="CMG27" s="209"/>
      <c r="CMH27" s="209"/>
      <c r="CMI27" s="209"/>
      <c r="CMJ27" s="209"/>
      <c r="CMK27" s="209"/>
      <c r="CML27" s="209"/>
      <c r="CMM27" s="209"/>
      <c r="CMN27" s="209"/>
      <c r="CMO27" s="209"/>
      <c r="CMP27" s="209"/>
      <c r="CMQ27" s="209"/>
      <c r="CMR27" s="209"/>
      <c r="CMS27" s="209"/>
      <c r="CMT27" s="209"/>
      <c r="CMU27" s="209"/>
      <c r="CMV27" s="209"/>
      <c r="CMW27" s="209"/>
      <c r="CMX27" s="209"/>
      <c r="CMY27" s="209"/>
      <c r="CMZ27" s="209"/>
      <c r="CNA27" s="209"/>
      <c r="CNB27" s="209"/>
      <c r="CNC27" s="209"/>
      <c r="CND27" s="209"/>
      <c r="CNE27" s="209"/>
      <c r="CNF27" s="209"/>
      <c r="CNG27" s="209"/>
      <c r="CNH27" s="209"/>
      <c r="CNI27" s="209"/>
      <c r="CNJ27" s="209"/>
      <c r="CNK27" s="209"/>
      <c r="CNL27" s="209"/>
      <c r="CNM27" s="209"/>
      <c r="CNN27" s="209"/>
      <c r="CNO27" s="209"/>
      <c r="CNP27" s="209"/>
      <c r="CNQ27" s="209"/>
      <c r="CNR27" s="209"/>
      <c r="CNS27" s="209"/>
      <c r="CNT27" s="209"/>
      <c r="CNU27" s="209"/>
      <c r="CNV27" s="209"/>
      <c r="CNW27" s="209"/>
      <c r="CNX27" s="209"/>
      <c r="CNY27" s="209"/>
      <c r="CNZ27" s="209"/>
      <c r="COA27" s="209"/>
      <c r="COB27" s="209"/>
      <c r="COC27" s="209"/>
      <c r="COD27" s="209"/>
      <c r="COE27" s="209"/>
      <c r="COF27" s="209"/>
      <c r="COG27" s="209"/>
      <c r="COH27" s="209"/>
      <c r="COI27" s="209"/>
      <c r="COJ27" s="209"/>
      <c r="COK27" s="209"/>
      <c r="COL27" s="209"/>
      <c r="COM27" s="209"/>
      <c r="CON27" s="209"/>
      <c r="COO27" s="209"/>
      <c r="COP27" s="209"/>
      <c r="COQ27" s="209"/>
      <c r="COR27" s="209"/>
      <c r="COS27" s="209"/>
      <c r="COT27" s="209"/>
      <c r="COU27" s="209"/>
      <c r="COV27" s="209"/>
      <c r="COW27" s="209"/>
      <c r="COX27" s="209"/>
      <c r="COY27" s="209"/>
      <c r="COZ27" s="209"/>
      <c r="CPA27" s="209"/>
      <c r="CPB27" s="209"/>
      <c r="CPC27" s="209"/>
      <c r="CPD27" s="209"/>
      <c r="CPE27" s="209"/>
      <c r="CPF27" s="209"/>
      <c r="CPG27" s="209"/>
      <c r="CPH27" s="209"/>
      <c r="CPI27" s="209"/>
      <c r="CPJ27" s="209"/>
      <c r="CPK27" s="209"/>
      <c r="CPL27" s="209"/>
      <c r="CPM27" s="209"/>
      <c r="CPN27" s="209"/>
      <c r="CPO27" s="209"/>
      <c r="CPP27" s="209"/>
      <c r="CPQ27" s="209"/>
      <c r="CPR27" s="209"/>
      <c r="CPS27" s="209"/>
      <c r="CPT27" s="209"/>
      <c r="CPU27" s="209"/>
      <c r="CPV27" s="209"/>
      <c r="CPW27" s="209"/>
      <c r="CPX27" s="209"/>
      <c r="CPY27" s="209"/>
      <c r="CPZ27" s="209"/>
      <c r="CQA27" s="209"/>
      <c r="CQB27" s="209"/>
      <c r="CQC27" s="209"/>
      <c r="CQD27" s="209"/>
      <c r="CQE27" s="209"/>
      <c r="CQF27" s="209"/>
      <c r="CQG27" s="209"/>
      <c r="CQH27" s="209"/>
      <c r="CQI27" s="209"/>
      <c r="CQJ27" s="209"/>
      <c r="CQK27" s="209"/>
      <c r="CQL27" s="209"/>
      <c r="CQM27" s="209"/>
      <c r="CQN27" s="209"/>
      <c r="CQO27" s="209"/>
      <c r="CQP27" s="209"/>
      <c r="CQQ27" s="209"/>
      <c r="CQR27" s="209"/>
      <c r="CQS27" s="209"/>
      <c r="CQT27" s="209"/>
      <c r="CQU27" s="209"/>
      <c r="CQV27" s="209"/>
      <c r="CQW27" s="209"/>
      <c r="CQX27" s="209"/>
      <c r="CQY27" s="209"/>
      <c r="CQZ27" s="209"/>
      <c r="CRA27" s="209"/>
      <c r="CRB27" s="209"/>
      <c r="CRC27" s="209"/>
      <c r="CRD27" s="209"/>
      <c r="CRE27" s="209"/>
      <c r="CRF27" s="209"/>
      <c r="CRG27" s="209"/>
      <c r="CRH27" s="209"/>
      <c r="CRI27" s="209"/>
      <c r="CRJ27" s="209"/>
      <c r="CRK27" s="209"/>
      <c r="CRL27" s="209"/>
      <c r="CRM27" s="209"/>
      <c r="CRN27" s="209"/>
      <c r="CRO27" s="209"/>
      <c r="CRP27" s="209"/>
      <c r="CRQ27" s="209"/>
      <c r="CRR27" s="209"/>
      <c r="CRS27" s="209"/>
      <c r="CRT27" s="209"/>
      <c r="CRU27" s="209"/>
      <c r="CRV27" s="209"/>
      <c r="CRW27" s="209"/>
      <c r="CRX27" s="209"/>
      <c r="CRY27" s="209"/>
      <c r="CRZ27" s="209"/>
      <c r="CSA27" s="209"/>
      <c r="CSB27" s="209"/>
      <c r="CSC27" s="209"/>
      <c r="CSD27" s="209"/>
      <c r="CSE27" s="209"/>
      <c r="CSF27" s="209"/>
      <c r="CSG27" s="209"/>
      <c r="CSH27" s="209"/>
      <c r="CSI27" s="209"/>
      <c r="CSJ27" s="209"/>
      <c r="CSK27" s="209"/>
      <c r="CSL27" s="209"/>
      <c r="CSM27" s="209"/>
      <c r="CSN27" s="209"/>
      <c r="CSO27" s="209"/>
      <c r="CSP27" s="209"/>
      <c r="CSQ27" s="209"/>
      <c r="CSR27" s="209"/>
      <c r="CSS27" s="209"/>
      <c r="CST27" s="209"/>
      <c r="CSU27" s="209"/>
      <c r="CSV27" s="209"/>
      <c r="CSW27" s="209"/>
      <c r="CSX27" s="209"/>
      <c r="CSY27" s="209"/>
      <c r="CSZ27" s="209"/>
      <c r="CTA27" s="209"/>
      <c r="CTB27" s="209"/>
      <c r="CTC27" s="209"/>
      <c r="CTD27" s="209"/>
      <c r="CTE27" s="209"/>
      <c r="CTF27" s="209"/>
      <c r="CTG27" s="209"/>
      <c r="CTH27" s="209"/>
      <c r="CTI27" s="209"/>
      <c r="CTJ27" s="209"/>
      <c r="CTK27" s="209"/>
      <c r="CTL27" s="209"/>
      <c r="CTM27" s="209"/>
      <c r="CTN27" s="209"/>
      <c r="CTO27" s="209"/>
      <c r="CTP27" s="209"/>
      <c r="CTQ27" s="209"/>
      <c r="CTR27" s="209"/>
      <c r="CTS27" s="209"/>
      <c r="CTT27" s="209"/>
      <c r="CTU27" s="209"/>
      <c r="CTV27" s="209"/>
      <c r="CTW27" s="209"/>
      <c r="CTX27" s="209"/>
      <c r="CTY27" s="209"/>
      <c r="CTZ27" s="209"/>
      <c r="CUA27" s="209"/>
      <c r="CUB27" s="209"/>
      <c r="CUC27" s="209"/>
      <c r="CUD27" s="209"/>
      <c r="CUE27" s="209"/>
      <c r="CUF27" s="209"/>
      <c r="CUG27" s="209"/>
      <c r="CUH27" s="209"/>
      <c r="CUI27" s="209"/>
      <c r="CUJ27" s="209"/>
      <c r="CUK27" s="209"/>
      <c r="CUL27" s="209"/>
      <c r="CUM27" s="209"/>
      <c r="CUN27" s="209"/>
      <c r="CUO27" s="209"/>
      <c r="CUP27" s="209"/>
      <c r="CUQ27" s="209"/>
      <c r="CUR27" s="209"/>
      <c r="CUS27" s="209"/>
      <c r="CUT27" s="209"/>
      <c r="CUU27" s="209"/>
      <c r="CUV27" s="209"/>
      <c r="CUW27" s="209"/>
      <c r="CUX27" s="209"/>
      <c r="CUY27" s="209"/>
      <c r="CUZ27" s="209"/>
      <c r="CVA27" s="209"/>
      <c r="CVB27" s="209"/>
      <c r="CVC27" s="209"/>
      <c r="CVD27" s="209"/>
      <c r="CVE27" s="209"/>
      <c r="CVF27" s="209"/>
      <c r="CVG27" s="209"/>
      <c r="CVH27" s="209"/>
      <c r="CVI27" s="209"/>
      <c r="CVJ27" s="209"/>
      <c r="CVK27" s="209"/>
      <c r="CVL27" s="209"/>
      <c r="CVM27" s="209"/>
      <c r="CVN27" s="209"/>
      <c r="CVO27" s="209"/>
      <c r="CVP27" s="209"/>
      <c r="CVQ27" s="209"/>
      <c r="CVR27" s="209"/>
      <c r="CVS27" s="209"/>
      <c r="CVT27" s="209"/>
      <c r="CVU27" s="209"/>
      <c r="CVV27" s="209"/>
      <c r="CVW27" s="209"/>
      <c r="CVX27" s="209"/>
      <c r="CVY27" s="209"/>
      <c r="CVZ27" s="209"/>
      <c r="CWA27" s="209"/>
      <c r="CWB27" s="209"/>
      <c r="CWC27" s="209"/>
      <c r="CWD27" s="209"/>
      <c r="CWE27" s="209"/>
      <c r="CWF27" s="209"/>
      <c r="CWG27" s="209"/>
      <c r="CWH27" s="209"/>
      <c r="CWI27" s="209"/>
      <c r="CWJ27" s="209"/>
      <c r="CWK27" s="209"/>
      <c r="CWL27" s="209"/>
      <c r="CWM27" s="209"/>
      <c r="CWN27" s="209"/>
      <c r="CWO27" s="209"/>
      <c r="CWP27" s="209"/>
      <c r="CWQ27" s="209"/>
      <c r="CWR27" s="209"/>
      <c r="CWS27" s="209"/>
      <c r="CWT27" s="209"/>
      <c r="CWU27" s="209"/>
      <c r="CWV27" s="209"/>
      <c r="CWW27" s="209"/>
      <c r="CWX27" s="209"/>
      <c r="CWY27" s="209"/>
      <c r="CWZ27" s="209"/>
      <c r="CXA27" s="209"/>
      <c r="CXB27" s="209"/>
      <c r="CXC27" s="209"/>
      <c r="CXD27" s="209"/>
      <c r="CXE27" s="209"/>
      <c r="CXF27" s="209"/>
      <c r="CXG27" s="209"/>
      <c r="CXH27" s="209"/>
      <c r="CXI27" s="209"/>
      <c r="CXJ27" s="209"/>
      <c r="CXK27" s="209"/>
      <c r="CXL27" s="209"/>
      <c r="CXM27" s="209"/>
      <c r="CXN27" s="209"/>
      <c r="CXO27" s="209"/>
      <c r="CXP27" s="209"/>
      <c r="CXQ27" s="209"/>
      <c r="CXR27" s="209"/>
      <c r="CXS27" s="209"/>
      <c r="CXT27" s="209"/>
      <c r="CXU27" s="209"/>
      <c r="CXV27" s="209"/>
      <c r="CXW27" s="209"/>
      <c r="CXX27" s="209"/>
      <c r="CXY27" s="209"/>
      <c r="CXZ27" s="209"/>
      <c r="CYA27" s="209"/>
      <c r="CYB27" s="209"/>
      <c r="CYC27" s="209"/>
      <c r="CYD27" s="209"/>
      <c r="CYE27" s="209"/>
      <c r="CYF27" s="209"/>
      <c r="CYG27" s="209"/>
      <c r="CYH27" s="209"/>
      <c r="CYI27" s="209"/>
      <c r="CYJ27" s="209"/>
      <c r="CYK27" s="209"/>
      <c r="CYL27" s="209"/>
      <c r="CYM27" s="209"/>
      <c r="CYN27" s="209"/>
      <c r="CYO27" s="209"/>
      <c r="CYP27" s="209"/>
      <c r="CYQ27" s="209"/>
      <c r="CYR27" s="209"/>
      <c r="CYS27" s="209"/>
      <c r="CYT27" s="209"/>
      <c r="CYU27" s="209"/>
      <c r="CYV27" s="209"/>
      <c r="CYW27" s="209"/>
      <c r="CYX27" s="209"/>
      <c r="CYY27" s="209"/>
      <c r="CYZ27" s="209"/>
      <c r="CZA27" s="209"/>
      <c r="CZB27" s="209"/>
      <c r="CZC27" s="209"/>
      <c r="CZD27" s="209"/>
      <c r="CZE27" s="209"/>
      <c r="CZF27" s="209"/>
      <c r="CZG27" s="209"/>
      <c r="CZH27" s="209"/>
      <c r="CZI27" s="209"/>
      <c r="CZJ27" s="209"/>
      <c r="CZK27" s="209"/>
      <c r="CZL27" s="209"/>
      <c r="CZM27" s="209"/>
      <c r="CZN27" s="209"/>
      <c r="CZO27" s="209"/>
      <c r="CZP27" s="209"/>
      <c r="CZQ27" s="209"/>
      <c r="CZR27" s="209"/>
      <c r="CZS27" s="209"/>
      <c r="CZT27" s="209"/>
      <c r="CZU27" s="209"/>
      <c r="CZV27" s="209"/>
      <c r="CZW27" s="209"/>
      <c r="CZX27" s="209"/>
      <c r="CZY27" s="209"/>
      <c r="CZZ27" s="209"/>
      <c r="DAA27" s="209"/>
      <c r="DAB27" s="209"/>
      <c r="DAC27" s="209"/>
      <c r="DAD27" s="209"/>
      <c r="DAE27" s="209"/>
      <c r="DAF27" s="209"/>
      <c r="DAG27" s="209"/>
      <c r="DAH27" s="209"/>
      <c r="DAI27" s="209"/>
      <c r="DAJ27" s="209"/>
      <c r="DAK27" s="209"/>
      <c r="DAL27" s="209"/>
      <c r="DAM27" s="209"/>
      <c r="DAN27" s="209"/>
      <c r="DAO27" s="209"/>
      <c r="DAP27" s="209"/>
      <c r="DAQ27" s="209"/>
      <c r="DAR27" s="209"/>
      <c r="DAS27" s="209"/>
      <c r="DAT27" s="209"/>
      <c r="DAU27" s="209"/>
      <c r="DAV27" s="209"/>
      <c r="DAW27" s="209"/>
      <c r="DAX27" s="209"/>
      <c r="DAY27" s="209"/>
      <c r="DAZ27" s="209"/>
      <c r="DBA27" s="209"/>
      <c r="DBB27" s="209"/>
      <c r="DBC27" s="209"/>
      <c r="DBD27" s="209"/>
      <c r="DBE27" s="209"/>
      <c r="DBF27" s="209"/>
      <c r="DBG27" s="209"/>
      <c r="DBH27" s="209"/>
      <c r="DBI27" s="209"/>
      <c r="DBJ27" s="209"/>
      <c r="DBK27" s="209"/>
      <c r="DBL27" s="209"/>
      <c r="DBM27" s="209"/>
      <c r="DBN27" s="209"/>
      <c r="DBO27" s="209"/>
      <c r="DBP27" s="209"/>
      <c r="DBQ27" s="209"/>
      <c r="DBR27" s="209"/>
      <c r="DBS27" s="209"/>
      <c r="DBT27" s="209"/>
      <c r="DBU27" s="209"/>
      <c r="DBV27" s="209"/>
      <c r="DBW27" s="209"/>
      <c r="DBX27" s="209"/>
      <c r="DBY27" s="209"/>
      <c r="DBZ27" s="209"/>
      <c r="DCA27" s="209"/>
      <c r="DCB27" s="209"/>
      <c r="DCC27" s="209"/>
      <c r="DCD27" s="209"/>
      <c r="DCE27" s="209"/>
      <c r="DCF27" s="209"/>
      <c r="DCG27" s="209"/>
      <c r="DCH27" s="209"/>
      <c r="DCI27" s="209"/>
      <c r="DCJ27" s="209"/>
      <c r="DCK27" s="209"/>
      <c r="DCL27" s="209"/>
      <c r="DCM27" s="209"/>
      <c r="DCN27" s="209"/>
      <c r="DCO27" s="209"/>
      <c r="DCP27" s="209"/>
      <c r="DCQ27" s="209"/>
      <c r="DCR27" s="209"/>
      <c r="DCS27" s="209"/>
      <c r="DCT27" s="209"/>
      <c r="DCU27" s="209"/>
      <c r="DCV27" s="209"/>
      <c r="DCW27" s="209"/>
      <c r="DCX27" s="209"/>
      <c r="DCY27" s="209"/>
      <c r="DCZ27" s="209"/>
      <c r="DDA27" s="209"/>
      <c r="DDB27" s="209"/>
      <c r="DDC27" s="209"/>
      <c r="DDD27" s="209"/>
      <c r="DDE27" s="209"/>
      <c r="DDF27" s="209"/>
      <c r="DDG27" s="209"/>
      <c r="DDH27" s="209"/>
      <c r="DDI27" s="209"/>
      <c r="DDJ27" s="209"/>
      <c r="DDK27" s="209"/>
      <c r="DDL27" s="209"/>
      <c r="DDM27" s="209"/>
      <c r="DDN27" s="209"/>
      <c r="DDO27" s="209"/>
      <c r="DDP27" s="209"/>
      <c r="DDQ27" s="209"/>
      <c r="DDR27" s="209"/>
      <c r="DDS27" s="209"/>
      <c r="DDT27" s="209"/>
      <c r="DDU27" s="209"/>
      <c r="DDV27" s="209"/>
      <c r="DDW27" s="209"/>
      <c r="DDX27" s="209"/>
      <c r="DDY27" s="209"/>
      <c r="DDZ27" s="209"/>
      <c r="DEA27" s="209"/>
      <c r="DEB27" s="209"/>
      <c r="DEC27" s="209"/>
      <c r="DED27" s="209"/>
      <c r="DEE27" s="209"/>
      <c r="DEF27" s="209"/>
      <c r="DEG27" s="209"/>
      <c r="DEH27" s="209"/>
      <c r="DEI27" s="209"/>
      <c r="DEJ27" s="209"/>
      <c r="DEK27" s="209"/>
      <c r="DEL27" s="209"/>
      <c r="DEM27" s="209"/>
      <c r="DEN27" s="209"/>
      <c r="DEO27" s="209"/>
      <c r="DEP27" s="209"/>
      <c r="DEQ27" s="209"/>
      <c r="DER27" s="209"/>
      <c r="DES27" s="209"/>
      <c r="DET27" s="209"/>
      <c r="DEU27" s="209"/>
      <c r="DEV27" s="209"/>
      <c r="DEW27" s="209"/>
      <c r="DEX27" s="209"/>
      <c r="DEY27" s="209"/>
      <c r="DEZ27" s="209"/>
      <c r="DFA27" s="209"/>
      <c r="DFB27" s="209"/>
      <c r="DFC27" s="209"/>
      <c r="DFD27" s="209"/>
      <c r="DFE27" s="209"/>
      <c r="DFF27" s="209"/>
      <c r="DFG27" s="209"/>
      <c r="DFH27" s="209"/>
      <c r="DFI27" s="209"/>
      <c r="DFJ27" s="209"/>
      <c r="DFK27" s="209"/>
      <c r="DFL27" s="209"/>
      <c r="DFM27" s="209"/>
      <c r="DFN27" s="209"/>
      <c r="DFO27" s="209"/>
      <c r="DFP27" s="209"/>
      <c r="DFQ27" s="209"/>
      <c r="DFR27" s="209"/>
      <c r="DFS27" s="209"/>
      <c r="DFT27" s="209"/>
      <c r="DFU27" s="209"/>
      <c r="DFV27" s="209"/>
      <c r="DFW27" s="209"/>
      <c r="DFX27" s="209"/>
      <c r="DFY27" s="209"/>
      <c r="DFZ27" s="209"/>
      <c r="DGA27" s="209"/>
      <c r="DGB27" s="209"/>
      <c r="DGC27" s="209"/>
      <c r="DGD27" s="209"/>
      <c r="DGE27" s="209"/>
      <c r="DGF27" s="209"/>
      <c r="DGG27" s="209"/>
      <c r="DGH27" s="209"/>
      <c r="DGI27" s="209"/>
      <c r="DGJ27" s="209"/>
      <c r="DGK27" s="209"/>
      <c r="DGL27" s="209"/>
      <c r="DGM27" s="209"/>
      <c r="DGN27" s="209"/>
      <c r="DGO27" s="209"/>
      <c r="DGP27" s="209"/>
      <c r="DGQ27" s="209"/>
      <c r="DGR27" s="209"/>
      <c r="DGS27" s="209"/>
      <c r="DGT27" s="209"/>
      <c r="DGU27" s="209"/>
      <c r="DGV27" s="209"/>
      <c r="DGW27" s="209"/>
      <c r="DGX27" s="209"/>
      <c r="DGY27" s="209"/>
      <c r="DGZ27" s="209"/>
      <c r="DHA27" s="209"/>
      <c r="DHB27" s="209"/>
      <c r="DHC27" s="209"/>
      <c r="DHD27" s="209"/>
      <c r="DHE27" s="209"/>
      <c r="DHF27" s="209"/>
      <c r="DHG27" s="209"/>
      <c r="DHH27" s="209"/>
      <c r="DHI27" s="209"/>
      <c r="DHJ27" s="209"/>
      <c r="DHK27" s="209"/>
      <c r="DHL27" s="209"/>
      <c r="DHM27" s="209"/>
      <c r="DHN27" s="209"/>
      <c r="DHO27" s="209"/>
      <c r="DHP27" s="209"/>
      <c r="DHQ27" s="209"/>
      <c r="DHR27" s="209"/>
      <c r="DHS27" s="209"/>
      <c r="DHT27" s="209"/>
      <c r="DHU27" s="209"/>
      <c r="DHV27" s="209"/>
      <c r="DHW27" s="209"/>
      <c r="DHX27" s="209"/>
      <c r="DHY27" s="209"/>
      <c r="DHZ27" s="209"/>
      <c r="DIA27" s="209"/>
      <c r="DIB27" s="209"/>
      <c r="DIC27" s="209"/>
      <c r="DID27" s="209"/>
      <c r="DIE27" s="209"/>
      <c r="DIF27" s="209"/>
      <c r="DIG27" s="209"/>
      <c r="DIH27" s="209"/>
      <c r="DII27" s="209"/>
      <c r="DIJ27" s="209"/>
      <c r="DIK27" s="209"/>
      <c r="DIL27" s="209"/>
      <c r="DIM27" s="209"/>
      <c r="DIN27" s="209"/>
      <c r="DIO27" s="209"/>
      <c r="DIP27" s="209"/>
      <c r="DIQ27" s="209"/>
      <c r="DIR27" s="209"/>
      <c r="DIS27" s="209"/>
      <c r="DIT27" s="209"/>
      <c r="DIU27" s="209"/>
      <c r="DIV27" s="209"/>
      <c r="DIW27" s="209"/>
      <c r="DIX27" s="209"/>
      <c r="DIY27" s="209"/>
      <c r="DIZ27" s="209"/>
      <c r="DJA27" s="209"/>
      <c r="DJB27" s="209"/>
      <c r="DJC27" s="209"/>
      <c r="DJD27" s="209"/>
      <c r="DJE27" s="209"/>
      <c r="DJF27" s="209"/>
      <c r="DJG27" s="209"/>
      <c r="DJH27" s="209"/>
      <c r="DJI27" s="209"/>
      <c r="DJJ27" s="209"/>
      <c r="DJK27" s="209"/>
      <c r="DJL27" s="209"/>
      <c r="DJM27" s="209"/>
      <c r="DJN27" s="209"/>
      <c r="DJO27" s="209"/>
      <c r="DJP27" s="209"/>
      <c r="DJQ27" s="209"/>
      <c r="DJR27" s="209"/>
      <c r="DJS27" s="209"/>
      <c r="DJT27" s="209"/>
      <c r="DJU27" s="209"/>
      <c r="DJV27" s="209"/>
      <c r="DJW27" s="209"/>
      <c r="DJX27" s="209"/>
      <c r="DJY27" s="209"/>
      <c r="DJZ27" s="209"/>
      <c r="DKA27" s="209"/>
      <c r="DKB27" s="209"/>
      <c r="DKC27" s="209"/>
      <c r="DKD27" s="209"/>
      <c r="DKE27" s="209"/>
      <c r="DKF27" s="209"/>
      <c r="DKG27" s="209"/>
      <c r="DKH27" s="209"/>
      <c r="DKI27" s="209"/>
      <c r="DKJ27" s="209"/>
      <c r="DKK27" s="209"/>
      <c r="DKL27" s="209"/>
      <c r="DKM27" s="209"/>
      <c r="DKN27" s="209"/>
      <c r="DKO27" s="209"/>
      <c r="DKP27" s="209"/>
      <c r="DKQ27" s="209"/>
      <c r="DKR27" s="209"/>
      <c r="DKS27" s="209"/>
      <c r="DKT27" s="209"/>
      <c r="DKU27" s="209"/>
      <c r="DKV27" s="209"/>
      <c r="DKW27" s="209"/>
      <c r="DKX27" s="209"/>
      <c r="DKY27" s="209"/>
      <c r="DKZ27" s="209"/>
      <c r="DLA27" s="209"/>
      <c r="DLB27" s="209"/>
      <c r="DLC27" s="209"/>
      <c r="DLD27" s="209"/>
      <c r="DLE27" s="209"/>
      <c r="DLF27" s="209"/>
      <c r="DLG27" s="209"/>
      <c r="DLH27" s="209"/>
      <c r="DLI27" s="209"/>
      <c r="DLJ27" s="209"/>
      <c r="DLK27" s="209"/>
      <c r="DLL27" s="209"/>
      <c r="DLM27" s="209"/>
      <c r="DLN27" s="209"/>
      <c r="DLO27" s="209"/>
      <c r="DLP27" s="209"/>
      <c r="DLQ27" s="209"/>
      <c r="DLR27" s="209"/>
      <c r="DLS27" s="209"/>
      <c r="DLT27" s="209"/>
      <c r="DLU27" s="209"/>
      <c r="DLV27" s="209"/>
      <c r="DLW27" s="209"/>
      <c r="DLX27" s="209"/>
      <c r="DLY27" s="209"/>
      <c r="DLZ27" s="209"/>
      <c r="DMA27" s="209"/>
      <c r="DMB27" s="209"/>
      <c r="DMC27" s="209"/>
      <c r="DMD27" s="209"/>
      <c r="DME27" s="209"/>
      <c r="DMF27" s="209"/>
      <c r="DMG27" s="209"/>
      <c r="DMH27" s="209"/>
      <c r="DMI27" s="209"/>
      <c r="DMJ27" s="209"/>
      <c r="DMK27" s="209"/>
      <c r="DML27" s="209"/>
      <c r="DMM27" s="209"/>
      <c r="DMN27" s="209"/>
      <c r="DMO27" s="209"/>
      <c r="DMP27" s="209"/>
      <c r="DMQ27" s="209"/>
      <c r="DMR27" s="209"/>
      <c r="DMS27" s="209"/>
      <c r="DMT27" s="209"/>
      <c r="DMU27" s="209"/>
      <c r="DMV27" s="209"/>
      <c r="DMW27" s="209"/>
      <c r="DMX27" s="209"/>
      <c r="DMY27" s="209"/>
      <c r="DMZ27" s="209"/>
      <c r="DNA27" s="209"/>
      <c r="DNB27" s="209"/>
      <c r="DNC27" s="209"/>
      <c r="DND27" s="209"/>
      <c r="DNE27" s="209"/>
      <c r="DNF27" s="209"/>
      <c r="DNG27" s="209"/>
      <c r="DNH27" s="209"/>
      <c r="DNI27" s="209"/>
      <c r="DNJ27" s="209"/>
      <c r="DNK27" s="209"/>
      <c r="DNL27" s="209"/>
      <c r="DNM27" s="209"/>
      <c r="DNN27" s="209"/>
      <c r="DNO27" s="209"/>
      <c r="DNP27" s="209"/>
      <c r="DNQ27" s="209"/>
      <c r="DNR27" s="209"/>
      <c r="DNS27" s="209"/>
      <c r="DNT27" s="209"/>
      <c r="DNU27" s="209"/>
      <c r="DNV27" s="209"/>
      <c r="DNW27" s="209"/>
      <c r="DNX27" s="209"/>
      <c r="DNY27" s="209"/>
      <c r="DNZ27" s="209"/>
      <c r="DOA27" s="209"/>
      <c r="DOB27" s="209"/>
      <c r="DOC27" s="209"/>
      <c r="DOD27" s="209"/>
      <c r="DOE27" s="209"/>
      <c r="DOF27" s="209"/>
      <c r="DOG27" s="209"/>
      <c r="DOH27" s="209"/>
      <c r="DOI27" s="209"/>
      <c r="DOJ27" s="209"/>
      <c r="DOK27" s="209"/>
      <c r="DOL27" s="209"/>
      <c r="DOM27" s="209"/>
      <c r="DON27" s="209"/>
      <c r="DOO27" s="209"/>
      <c r="DOP27" s="209"/>
      <c r="DOQ27" s="209"/>
      <c r="DOR27" s="209"/>
      <c r="DOS27" s="209"/>
      <c r="DOT27" s="209"/>
      <c r="DOU27" s="209"/>
      <c r="DOV27" s="209"/>
      <c r="DOW27" s="209"/>
      <c r="DOX27" s="209"/>
      <c r="DOY27" s="209"/>
      <c r="DOZ27" s="209"/>
      <c r="DPA27" s="209"/>
      <c r="DPB27" s="209"/>
      <c r="DPC27" s="209"/>
      <c r="DPD27" s="209"/>
      <c r="DPE27" s="209"/>
      <c r="DPF27" s="209"/>
      <c r="DPG27" s="209"/>
      <c r="DPH27" s="209"/>
      <c r="DPI27" s="209"/>
      <c r="DPJ27" s="209"/>
      <c r="DPK27" s="209"/>
      <c r="DPL27" s="209"/>
      <c r="DPM27" s="209"/>
      <c r="DPN27" s="209"/>
      <c r="DPO27" s="209"/>
      <c r="DPP27" s="209"/>
      <c r="DPQ27" s="209"/>
      <c r="DPR27" s="209"/>
      <c r="DPS27" s="209"/>
      <c r="DPT27" s="209"/>
      <c r="DPU27" s="209"/>
      <c r="DPV27" s="209"/>
      <c r="DPW27" s="209"/>
      <c r="DPX27" s="209"/>
      <c r="DPY27" s="209"/>
      <c r="DPZ27" s="209"/>
      <c r="DQA27" s="209"/>
      <c r="DQB27" s="209"/>
      <c r="DQC27" s="209"/>
      <c r="DQD27" s="209"/>
      <c r="DQE27" s="209"/>
      <c r="DQF27" s="209"/>
      <c r="DQG27" s="209"/>
      <c r="DQH27" s="209"/>
      <c r="DQI27" s="209"/>
      <c r="DQJ27" s="209"/>
      <c r="DQK27" s="209"/>
      <c r="DQL27" s="209"/>
      <c r="DQM27" s="209"/>
      <c r="DQN27" s="209"/>
      <c r="DQO27" s="209"/>
      <c r="DQP27" s="209"/>
      <c r="DQQ27" s="209"/>
      <c r="DQR27" s="209"/>
      <c r="DQS27" s="209"/>
      <c r="DQT27" s="209"/>
      <c r="DQU27" s="209"/>
      <c r="DQV27" s="209"/>
      <c r="DQW27" s="209"/>
      <c r="DQX27" s="209"/>
      <c r="DQY27" s="209"/>
      <c r="DQZ27" s="209"/>
      <c r="DRA27" s="209"/>
      <c r="DRB27" s="209"/>
      <c r="DRC27" s="209"/>
      <c r="DRD27" s="209"/>
      <c r="DRE27" s="209"/>
      <c r="DRF27" s="209"/>
      <c r="DRG27" s="209"/>
      <c r="DRH27" s="209"/>
      <c r="DRI27" s="209"/>
      <c r="DRJ27" s="209"/>
      <c r="DRK27" s="209"/>
      <c r="DRL27" s="209"/>
      <c r="DRM27" s="209"/>
      <c r="DRN27" s="209"/>
      <c r="DRO27" s="209"/>
      <c r="DRP27" s="209"/>
      <c r="DRQ27" s="209"/>
      <c r="DRR27" s="209"/>
      <c r="DRS27" s="209"/>
      <c r="DRT27" s="209"/>
      <c r="DRU27" s="209"/>
      <c r="DRV27" s="209"/>
      <c r="DRW27" s="209"/>
      <c r="DRX27" s="209"/>
      <c r="DRY27" s="209"/>
      <c r="DRZ27" s="209"/>
      <c r="DSA27" s="209"/>
      <c r="DSB27" s="209"/>
      <c r="DSC27" s="209"/>
      <c r="DSD27" s="209"/>
      <c r="DSE27" s="209"/>
      <c r="DSF27" s="209"/>
      <c r="DSG27" s="209"/>
      <c r="DSH27" s="209"/>
      <c r="DSI27" s="209"/>
      <c r="DSJ27" s="209"/>
      <c r="DSK27" s="209"/>
      <c r="DSL27" s="209"/>
      <c r="DSM27" s="209"/>
      <c r="DSN27" s="209"/>
      <c r="DSO27" s="209"/>
      <c r="DSP27" s="209"/>
      <c r="DSQ27" s="209"/>
      <c r="DSR27" s="209"/>
      <c r="DSS27" s="209"/>
      <c r="DST27" s="209"/>
      <c r="DSU27" s="209"/>
      <c r="DSV27" s="209"/>
      <c r="DSW27" s="209"/>
      <c r="DSX27" s="209"/>
      <c r="DSY27" s="209"/>
      <c r="DSZ27" s="209"/>
      <c r="DTA27" s="209"/>
      <c r="DTB27" s="209"/>
      <c r="DTC27" s="209"/>
      <c r="DTD27" s="209"/>
      <c r="DTE27" s="209"/>
      <c r="DTF27" s="209"/>
      <c r="DTG27" s="209"/>
      <c r="DTH27" s="209"/>
      <c r="DTI27" s="209"/>
      <c r="DTJ27" s="209"/>
      <c r="DTK27" s="209"/>
      <c r="DTL27" s="209"/>
      <c r="DTM27" s="209"/>
      <c r="DTN27" s="209"/>
      <c r="DTO27" s="209"/>
      <c r="DTP27" s="209"/>
      <c r="DTQ27" s="209"/>
      <c r="DTR27" s="209"/>
      <c r="DTS27" s="209"/>
      <c r="DTT27" s="209"/>
      <c r="DTU27" s="209"/>
      <c r="DTV27" s="209"/>
      <c r="DTW27" s="209"/>
      <c r="DTX27" s="209"/>
      <c r="DTY27" s="209"/>
      <c r="DTZ27" s="209"/>
      <c r="DUA27" s="209"/>
      <c r="DUB27" s="209"/>
      <c r="DUC27" s="209"/>
      <c r="DUD27" s="209"/>
      <c r="DUE27" s="209"/>
      <c r="DUF27" s="209"/>
      <c r="DUG27" s="209"/>
      <c r="DUH27" s="209"/>
      <c r="DUI27" s="209"/>
      <c r="DUJ27" s="209"/>
      <c r="DUK27" s="209"/>
      <c r="DUL27" s="209"/>
      <c r="DUM27" s="209"/>
      <c r="DUN27" s="209"/>
      <c r="DUO27" s="209"/>
      <c r="DUP27" s="209"/>
      <c r="DUQ27" s="209"/>
      <c r="DUR27" s="209"/>
      <c r="DUS27" s="209"/>
      <c r="DUT27" s="209"/>
      <c r="DUU27" s="209"/>
      <c r="DUV27" s="209"/>
      <c r="DUW27" s="209"/>
      <c r="DUX27" s="209"/>
      <c r="DUY27" s="209"/>
      <c r="DUZ27" s="209"/>
      <c r="DVA27" s="209"/>
      <c r="DVB27" s="209"/>
      <c r="DVC27" s="209"/>
      <c r="DVD27" s="209"/>
      <c r="DVE27" s="209"/>
      <c r="DVF27" s="209"/>
      <c r="DVG27" s="209"/>
      <c r="DVH27" s="209"/>
      <c r="DVI27" s="209"/>
      <c r="DVJ27" s="209"/>
      <c r="DVK27" s="209"/>
      <c r="DVL27" s="209"/>
      <c r="DVM27" s="209"/>
      <c r="DVN27" s="209"/>
      <c r="DVO27" s="209"/>
      <c r="DVP27" s="209"/>
      <c r="DVQ27" s="209"/>
      <c r="DVR27" s="209"/>
      <c r="DVS27" s="209"/>
      <c r="DVT27" s="209"/>
      <c r="DVU27" s="209"/>
      <c r="DVV27" s="209"/>
      <c r="DVW27" s="209"/>
      <c r="DVX27" s="209"/>
      <c r="DVY27" s="209"/>
      <c r="DVZ27" s="209"/>
      <c r="DWA27" s="209"/>
      <c r="DWB27" s="209"/>
      <c r="DWC27" s="209"/>
      <c r="DWD27" s="209"/>
      <c r="DWE27" s="209"/>
      <c r="DWF27" s="209"/>
      <c r="DWG27" s="209"/>
      <c r="DWH27" s="209"/>
      <c r="DWI27" s="209"/>
      <c r="DWJ27" s="209"/>
      <c r="DWK27" s="209"/>
      <c r="DWL27" s="209"/>
      <c r="DWM27" s="209"/>
      <c r="DWN27" s="209"/>
      <c r="DWO27" s="209"/>
      <c r="DWP27" s="209"/>
      <c r="DWQ27" s="209"/>
      <c r="DWR27" s="209"/>
      <c r="DWS27" s="209"/>
      <c r="DWT27" s="209"/>
      <c r="DWU27" s="209"/>
      <c r="DWV27" s="209"/>
      <c r="DWW27" s="209"/>
      <c r="DWX27" s="209"/>
      <c r="DWY27" s="209"/>
      <c r="DWZ27" s="209"/>
      <c r="DXA27" s="209"/>
      <c r="DXB27" s="209"/>
      <c r="DXC27" s="209"/>
      <c r="DXD27" s="209"/>
      <c r="DXE27" s="209"/>
      <c r="DXF27" s="209"/>
      <c r="DXG27" s="209"/>
      <c r="DXH27" s="209"/>
      <c r="DXI27" s="209"/>
      <c r="DXJ27" s="209"/>
      <c r="DXK27" s="209"/>
      <c r="DXL27" s="209"/>
      <c r="DXM27" s="209"/>
      <c r="DXN27" s="209"/>
      <c r="DXO27" s="209"/>
      <c r="DXP27" s="209"/>
      <c r="DXQ27" s="209"/>
      <c r="DXR27" s="209"/>
      <c r="DXS27" s="209"/>
      <c r="DXT27" s="209"/>
      <c r="DXU27" s="209"/>
      <c r="DXV27" s="209"/>
      <c r="DXW27" s="209"/>
      <c r="DXX27" s="209"/>
      <c r="DXY27" s="209"/>
      <c r="DXZ27" s="209"/>
      <c r="DYA27" s="209"/>
      <c r="DYB27" s="209"/>
      <c r="DYC27" s="209"/>
      <c r="DYD27" s="209"/>
      <c r="DYE27" s="209"/>
      <c r="DYF27" s="209"/>
      <c r="DYG27" s="209"/>
      <c r="DYH27" s="209"/>
      <c r="DYI27" s="209"/>
      <c r="DYJ27" s="209"/>
      <c r="DYK27" s="209"/>
      <c r="DYL27" s="209"/>
      <c r="DYM27" s="209"/>
      <c r="DYN27" s="209"/>
      <c r="DYO27" s="209"/>
      <c r="DYP27" s="209"/>
      <c r="DYQ27" s="209"/>
      <c r="DYR27" s="209"/>
      <c r="DYS27" s="209"/>
      <c r="DYT27" s="209"/>
      <c r="DYU27" s="209"/>
      <c r="DYV27" s="209"/>
      <c r="DYW27" s="209"/>
      <c r="DYX27" s="209"/>
      <c r="DYY27" s="209"/>
      <c r="DYZ27" s="209"/>
      <c r="DZA27" s="209"/>
      <c r="DZB27" s="209"/>
      <c r="DZC27" s="209"/>
      <c r="DZD27" s="209"/>
      <c r="DZE27" s="209"/>
      <c r="DZF27" s="209"/>
      <c r="DZG27" s="209"/>
      <c r="DZH27" s="209"/>
      <c r="DZI27" s="209"/>
      <c r="DZJ27" s="209"/>
      <c r="DZK27" s="209"/>
      <c r="DZL27" s="209"/>
      <c r="DZM27" s="209"/>
      <c r="DZN27" s="209"/>
      <c r="DZO27" s="209"/>
      <c r="DZP27" s="209"/>
      <c r="DZQ27" s="209"/>
      <c r="DZR27" s="209"/>
      <c r="DZS27" s="209"/>
      <c r="DZT27" s="209"/>
      <c r="DZU27" s="209"/>
      <c r="DZV27" s="209"/>
      <c r="DZW27" s="209"/>
      <c r="DZX27" s="209"/>
      <c r="DZY27" s="209"/>
      <c r="DZZ27" s="209"/>
      <c r="EAA27" s="209"/>
      <c r="EAB27" s="209"/>
      <c r="EAC27" s="209"/>
      <c r="EAD27" s="209"/>
      <c r="EAE27" s="209"/>
      <c r="EAF27" s="209"/>
      <c r="EAG27" s="209"/>
      <c r="EAH27" s="209"/>
      <c r="EAI27" s="209"/>
      <c r="EAJ27" s="209"/>
      <c r="EAK27" s="209"/>
      <c r="EAL27" s="209"/>
      <c r="EAM27" s="209"/>
      <c r="EAN27" s="209"/>
      <c r="EAO27" s="209"/>
      <c r="EAP27" s="209"/>
      <c r="EAQ27" s="209"/>
      <c r="EAR27" s="209"/>
      <c r="EAS27" s="209"/>
      <c r="EAT27" s="209"/>
      <c r="EAU27" s="209"/>
      <c r="EAV27" s="209"/>
      <c r="EAW27" s="209"/>
      <c r="EAX27" s="209"/>
      <c r="EAY27" s="209"/>
      <c r="EAZ27" s="209"/>
      <c r="EBA27" s="209"/>
      <c r="EBB27" s="209"/>
      <c r="EBC27" s="209"/>
      <c r="EBD27" s="209"/>
      <c r="EBE27" s="209"/>
      <c r="EBF27" s="209"/>
      <c r="EBG27" s="209"/>
      <c r="EBH27" s="209"/>
      <c r="EBI27" s="209"/>
      <c r="EBJ27" s="209"/>
      <c r="EBK27" s="209"/>
      <c r="EBL27" s="209"/>
      <c r="EBM27" s="209"/>
      <c r="EBN27" s="209"/>
      <c r="EBO27" s="209"/>
      <c r="EBP27" s="209"/>
      <c r="EBQ27" s="209"/>
      <c r="EBR27" s="209"/>
      <c r="EBS27" s="209"/>
      <c r="EBT27" s="209"/>
      <c r="EBU27" s="209"/>
      <c r="EBV27" s="209"/>
      <c r="EBW27" s="209"/>
      <c r="EBX27" s="209"/>
      <c r="EBY27" s="209"/>
      <c r="EBZ27" s="209"/>
      <c r="ECA27" s="209"/>
      <c r="ECB27" s="209"/>
      <c r="ECC27" s="209"/>
      <c r="ECD27" s="209"/>
      <c r="ECE27" s="209"/>
      <c r="ECF27" s="209"/>
      <c r="ECG27" s="209"/>
      <c r="ECH27" s="209"/>
      <c r="ECI27" s="209"/>
      <c r="ECJ27" s="209"/>
      <c r="ECK27" s="209"/>
      <c r="ECL27" s="209"/>
      <c r="ECM27" s="209"/>
      <c r="ECN27" s="209"/>
      <c r="ECO27" s="209"/>
      <c r="ECP27" s="209"/>
      <c r="ECQ27" s="209"/>
      <c r="ECR27" s="209"/>
      <c r="ECS27" s="209"/>
      <c r="ECT27" s="209"/>
      <c r="ECU27" s="209"/>
      <c r="ECV27" s="209"/>
      <c r="ECW27" s="209"/>
      <c r="ECX27" s="209"/>
      <c r="ECY27" s="209"/>
      <c r="ECZ27" s="209"/>
      <c r="EDA27" s="209"/>
      <c r="EDB27" s="209"/>
      <c r="EDC27" s="209"/>
      <c r="EDD27" s="209"/>
      <c r="EDE27" s="209"/>
      <c r="EDF27" s="209"/>
      <c r="EDG27" s="209"/>
      <c r="EDH27" s="209"/>
      <c r="EDI27" s="209"/>
      <c r="EDJ27" s="209"/>
      <c r="EDK27" s="209"/>
      <c r="EDL27" s="209"/>
      <c r="EDM27" s="209"/>
      <c r="EDN27" s="209"/>
      <c r="EDO27" s="209"/>
      <c r="EDP27" s="209"/>
      <c r="EDQ27" s="209"/>
      <c r="EDR27" s="209"/>
      <c r="EDS27" s="209"/>
      <c r="EDT27" s="209"/>
      <c r="EDU27" s="209"/>
      <c r="EDV27" s="209"/>
      <c r="EDW27" s="209"/>
      <c r="EDX27" s="209"/>
      <c r="EDY27" s="209"/>
      <c r="EDZ27" s="209"/>
      <c r="EEA27" s="209"/>
      <c r="EEB27" s="209"/>
      <c r="EEC27" s="209"/>
      <c r="EED27" s="209"/>
      <c r="EEE27" s="209"/>
      <c r="EEF27" s="209"/>
      <c r="EEG27" s="209"/>
      <c r="EEH27" s="209"/>
      <c r="EEI27" s="209"/>
      <c r="EEJ27" s="209"/>
      <c r="EEK27" s="209"/>
      <c r="EEL27" s="209"/>
      <c r="EEM27" s="209"/>
      <c r="EEN27" s="209"/>
      <c r="EEO27" s="209"/>
      <c r="EEP27" s="209"/>
      <c r="EEQ27" s="209"/>
      <c r="EER27" s="209"/>
      <c r="EES27" s="209"/>
      <c r="EET27" s="209"/>
      <c r="EEU27" s="209"/>
      <c r="EEV27" s="209"/>
      <c r="EEW27" s="209"/>
      <c r="EEX27" s="209"/>
      <c r="EEY27" s="209"/>
      <c r="EEZ27" s="209"/>
      <c r="EFA27" s="209"/>
      <c r="EFB27" s="209"/>
      <c r="EFC27" s="209"/>
      <c r="EFD27" s="209"/>
      <c r="EFE27" s="209"/>
      <c r="EFF27" s="209"/>
      <c r="EFG27" s="209"/>
      <c r="EFH27" s="209"/>
      <c r="EFI27" s="209"/>
      <c r="EFJ27" s="209"/>
      <c r="EFK27" s="209"/>
      <c r="EFL27" s="209"/>
      <c r="EFM27" s="209"/>
      <c r="EFN27" s="209"/>
      <c r="EFO27" s="209"/>
      <c r="EFP27" s="209"/>
      <c r="EFQ27" s="209"/>
      <c r="EFR27" s="209"/>
      <c r="EFS27" s="209"/>
      <c r="EFT27" s="209"/>
      <c r="EFU27" s="209"/>
      <c r="EFV27" s="209"/>
      <c r="EFW27" s="209"/>
      <c r="EFX27" s="209"/>
      <c r="EFY27" s="209"/>
      <c r="EFZ27" s="209"/>
      <c r="EGA27" s="209"/>
      <c r="EGB27" s="209"/>
      <c r="EGC27" s="209"/>
      <c r="EGD27" s="209"/>
      <c r="EGE27" s="209"/>
      <c r="EGF27" s="209"/>
      <c r="EGG27" s="209"/>
      <c r="EGH27" s="209"/>
      <c r="EGI27" s="209"/>
      <c r="EGJ27" s="209"/>
      <c r="EGK27" s="209"/>
      <c r="EGL27" s="209"/>
      <c r="EGM27" s="209"/>
      <c r="EGN27" s="209"/>
      <c r="EGO27" s="209"/>
      <c r="EGP27" s="209"/>
      <c r="EGQ27" s="209"/>
      <c r="EGR27" s="209"/>
      <c r="EGS27" s="209"/>
      <c r="EGT27" s="209"/>
      <c r="EGU27" s="209"/>
      <c r="EGV27" s="209"/>
      <c r="EGW27" s="209"/>
      <c r="EGX27" s="209"/>
      <c r="EGY27" s="209"/>
      <c r="EGZ27" s="209"/>
      <c r="EHA27" s="209"/>
      <c r="EHB27" s="209"/>
      <c r="EHC27" s="209"/>
      <c r="EHD27" s="209"/>
      <c r="EHE27" s="209"/>
      <c r="EHF27" s="209"/>
      <c r="EHG27" s="209"/>
      <c r="EHH27" s="209"/>
      <c r="EHI27" s="209"/>
      <c r="EHJ27" s="209"/>
      <c r="EHK27" s="209"/>
      <c r="EHL27" s="209"/>
      <c r="EHM27" s="209"/>
      <c r="EHN27" s="209"/>
      <c r="EHO27" s="209"/>
      <c r="EHP27" s="209"/>
      <c r="EHQ27" s="209"/>
      <c r="EHR27" s="209"/>
      <c r="EHS27" s="209"/>
      <c r="EHT27" s="209"/>
      <c r="EHU27" s="209"/>
      <c r="EHV27" s="209"/>
      <c r="EHW27" s="209"/>
      <c r="EHX27" s="209"/>
      <c r="EHY27" s="209"/>
      <c r="EHZ27" s="209"/>
      <c r="EIA27" s="209"/>
      <c r="EIB27" s="209"/>
      <c r="EIC27" s="209"/>
      <c r="EID27" s="209"/>
      <c r="EIE27" s="209"/>
      <c r="EIF27" s="209"/>
      <c r="EIG27" s="209"/>
      <c r="EIH27" s="209"/>
      <c r="EII27" s="209"/>
      <c r="EIJ27" s="209"/>
      <c r="EIK27" s="209"/>
      <c r="EIL27" s="209"/>
      <c r="EIM27" s="209"/>
      <c r="EIN27" s="209"/>
      <c r="EIO27" s="209"/>
      <c r="EIP27" s="209"/>
      <c r="EIQ27" s="209"/>
      <c r="EIR27" s="209"/>
      <c r="EIS27" s="209"/>
      <c r="EIT27" s="209"/>
      <c r="EIU27" s="209"/>
      <c r="EIV27" s="209"/>
      <c r="EIW27" s="209"/>
      <c r="EIX27" s="209"/>
      <c r="EIY27" s="209"/>
      <c r="EIZ27" s="209"/>
      <c r="EJA27" s="209"/>
      <c r="EJB27" s="209"/>
      <c r="EJC27" s="209"/>
      <c r="EJD27" s="209"/>
      <c r="EJE27" s="209"/>
      <c r="EJF27" s="209"/>
      <c r="EJG27" s="209"/>
      <c r="EJH27" s="209"/>
      <c r="EJI27" s="209"/>
      <c r="EJJ27" s="209"/>
      <c r="EJK27" s="209"/>
      <c r="EJL27" s="209"/>
      <c r="EJM27" s="209"/>
      <c r="EJN27" s="209"/>
      <c r="EJO27" s="209"/>
      <c r="EJP27" s="209"/>
      <c r="EJQ27" s="209"/>
      <c r="EJR27" s="209"/>
      <c r="EJS27" s="209"/>
      <c r="EJT27" s="209"/>
      <c r="EJU27" s="209"/>
      <c r="EJV27" s="209"/>
      <c r="EJW27" s="209"/>
      <c r="EJX27" s="209"/>
      <c r="EJY27" s="209"/>
      <c r="EJZ27" s="209"/>
      <c r="EKA27" s="209"/>
      <c r="EKB27" s="209"/>
      <c r="EKC27" s="209"/>
      <c r="EKD27" s="209"/>
      <c r="EKE27" s="209"/>
      <c r="EKF27" s="209"/>
      <c r="EKG27" s="209"/>
      <c r="EKH27" s="209"/>
      <c r="EKI27" s="209"/>
      <c r="EKJ27" s="209"/>
      <c r="EKK27" s="209"/>
      <c r="EKL27" s="209"/>
      <c r="EKM27" s="209"/>
      <c r="EKN27" s="209"/>
      <c r="EKO27" s="209"/>
      <c r="EKP27" s="209"/>
      <c r="EKQ27" s="209"/>
      <c r="EKR27" s="209"/>
      <c r="EKS27" s="209"/>
      <c r="EKT27" s="209"/>
      <c r="EKU27" s="209"/>
      <c r="EKV27" s="209"/>
      <c r="EKW27" s="209"/>
      <c r="EKX27" s="209"/>
      <c r="EKY27" s="209"/>
      <c r="EKZ27" s="209"/>
      <c r="ELA27" s="209"/>
      <c r="ELB27" s="209"/>
      <c r="ELC27" s="209"/>
      <c r="ELD27" s="209"/>
      <c r="ELE27" s="209"/>
      <c r="ELF27" s="209"/>
      <c r="ELG27" s="209"/>
      <c r="ELH27" s="209"/>
      <c r="ELI27" s="209"/>
      <c r="ELJ27" s="209"/>
      <c r="ELK27" s="209"/>
      <c r="ELL27" s="209"/>
      <c r="ELM27" s="209"/>
      <c r="ELN27" s="209"/>
      <c r="ELO27" s="209"/>
      <c r="ELP27" s="209"/>
      <c r="ELQ27" s="209"/>
      <c r="ELR27" s="209"/>
      <c r="ELS27" s="209"/>
      <c r="ELT27" s="209"/>
      <c r="ELU27" s="209"/>
      <c r="ELV27" s="209"/>
      <c r="ELW27" s="209"/>
      <c r="ELX27" s="209"/>
      <c r="ELY27" s="209"/>
      <c r="ELZ27" s="209"/>
      <c r="EMA27" s="209"/>
      <c r="EMB27" s="209"/>
      <c r="EMC27" s="209"/>
      <c r="EMD27" s="209"/>
      <c r="EME27" s="209"/>
      <c r="EMF27" s="209"/>
      <c r="EMG27" s="209"/>
      <c r="EMH27" s="209"/>
      <c r="EMI27" s="209"/>
      <c r="EMJ27" s="209"/>
      <c r="EMK27" s="209"/>
      <c r="EML27" s="209"/>
      <c r="EMM27" s="209"/>
      <c r="EMN27" s="209"/>
      <c r="EMO27" s="209"/>
      <c r="EMP27" s="209"/>
      <c r="EMQ27" s="209"/>
      <c r="EMR27" s="209"/>
      <c r="EMS27" s="209"/>
      <c r="EMT27" s="209"/>
      <c r="EMU27" s="209"/>
      <c r="EMV27" s="209"/>
      <c r="EMW27" s="209"/>
      <c r="EMX27" s="209"/>
      <c r="EMY27" s="209"/>
      <c r="EMZ27" s="209"/>
      <c r="ENA27" s="209"/>
      <c r="ENB27" s="209"/>
      <c r="ENC27" s="209"/>
      <c r="END27" s="209"/>
      <c r="ENE27" s="209"/>
      <c r="ENF27" s="209"/>
      <c r="ENG27" s="209"/>
      <c r="ENH27" s="209"/>
      <c r="ENI27" s="209"/>
      <c r="ENJ27" s="209"/>
      <c r="ENK27" s="209"/>
      <c r="ENL27" s="209"/>
      <c r="ENM27" s="209"/>
      <c r="ENN27" s="209"/>
      <c r="ENO27" s="209"/>
      <c r="ENP27" s="209"/>
      <c r="ENQ27" s="209"/>
      <c r="ENR27" s="209"/>
      <c r="ENS27" s="209"/>
      <c r="ENT27" s="209"/>
      <c r="ENU27" s="209"/>
      <c r="ENV27" s="209"/>
      <c r="ENW27" s="209"/>
      <c r="ENX27" s="209"/>
      <c r="ENY27" s="209"/>
      <c r="ENZ27" s="209"/>
      <c r="EOA27" s="209"/>
      <c r="EOB27" s="209"/>
      <c r="EOC27" s="209"/>
      <c r="EOD27" s="209"/>
      <c r="EOE27" s="209"/>
      <c r="EOF27" s="209"/>
      <c r="EOG27" s="209"/>
      <c r="EOH27" s="209"/>
      <c r="EOI27" s="209"/>
      <c r="EOJ27" s="209"/>
      <c r="EOK27" s="209"/>
      <c r="EOL27" s="209"/>
      <c r="EOM27" s="209"/>
      <c r="EON27" s="209"/>
      <c r="EOO27" s="209"/>
      <c r="EOP27" s="209"/>
      <c r="EOQ27" s="209"/>
      <c r="EOR27" s="209"/>
      <c r="EOS27" s="209"/>
      <c r="EOT27" s="209"/>
      <c r="EOU27" s="209"/>
      <c r="EOV27" s="209"/>
      <c r="EOW27" s="209"/>
      <c r="EOX27" s="209"/>
      <c r="EOY27" s="209"/>
      <c r="EOZ27" s="209"/>
      <c r="EPA27" s="209"/>
      <c r="EPB27" s="209"/>
      <c r="EPC27" s="209"/>
      <c r="EPD27" s="209"/>
      <c r="EPE27" s="209"/>
      <c r="EPF27" s="209"/>
      <c r="EPG27" s="209"/>
      <c r="EPH27" s="209"/>
      <c r="EPI27" s="209"/>
      <c r="EPJ27" s="209"/>
      <c r="EPK27" s="209"/>
      <c r="EPL27" s="209"/>
      <c r="EPM27" s="209"/>
      <c r="EPN27" s="209"/>
      <c r="EPO27" s="209"/>
      <c r="EPP27" s="209"/>
      <c r="EPQ27" s="209"/>
      <c r="EPR27" s="209"/>
      <c r="EPS27" s="209"/>
      <c r="EPT27" s="209"/>
      <c r="EPU27" s="209"/>
      <c r="EPV27" s="209"/>
      <c r="EPW27" s="209"/>
      <c r="EPX27" s="209"/>
      <c r="EPY27" s="209"/>
      <c r="EPZ27" s="209"/>
      <c r="EQA27" s="209"/>
      <c r="EQB27" s="209"/>
      <c r="EQC27" s="209"/>
      <c r="EQD27" s="209"/>
      <c r="EQE27" s="209"/>
      <c r="EQF27" s="209"/>
      <c r="EQG27" s="209"/>
      <c r="EQH27" s="209"/>
      <c r="EQI27" s="209"/>
      <c r="EQJ27" s="209"/>
      <c r="EQK27" s="209"/>
      <c r="EQL27" s="209"/>
      <c r="EQM27" s="209"/>
      <c r="EQN27" s="209"/>
      <c r="EQO27" s="209"/>
      <c r="EQP27" s="209"/>
      <c r="EQQ27" s="209"/>
      <c r="EQR27" s="209"/>
      <c r="EQS27" s="209"/>
      <c r="EQT27" s="209"/>
      <c r="EQU27" s="209"/>
      <c r="EQV27" s="209"/>
      <c r="EQW27" s="209"/>
      <c r="EQX27" s="209"/>
      <c r="EQY27" s="209"/>
      <c r="EQZ27" s="209"/>
      <c r="ERA27" s="209"/>
      <c r="ERB27" s="209"/>
      <c r="ERC27" s="209"/>
      <c r="ERD27" s="209"/>
      <c r="ERE27" s="209"/>
      <c r="ERF27" s="209"/>
      <c r="ERG27" s="209"/>
      <c r="ERH27" s="209"/>
      <c r="ERI27" s="209"/>
      <c r="ERJ27" s="209"/>
      <c r="ERK27" s="209"/>
      <c r="ERL27" s="209"/>
      <c r="ERM27" s="209"/>
      <c r="ERN27" s="209"/>
      <c r="ERO27" s="209"/>
      <c r="ERP27" s="209"/>
      <c r="ERQ27" s="209"/>
      <c r="ERR27" s="209"/>
      <c r="ERS27" s="209"/>
      <c r="ERT27" s="209"/>
      <c r="ERU27" s="209"/>
      <c r="ERV27" s="209"/>
      <c r="ERW27" s="209"/>
      <c r="ERX27" s="209"/>
      <c r="ERY27" s="209"/>
      <c r="ERZ27" s="209"/>
      <c r="ESA27" s="209"/>
      <c r="ESB27" s="209"/>
      <c r="ESC27" s="209"/>
      <c r="ESD27" s="209"/>
      <c r="ESE27" s="209"/>
      <c r="ESF27" s="209"/>
      <c r="ESG27" s="209"/>
      <c r="ESH27" s="209"/>
      <c r="ESI27" s="209"/>
      <c r="ESJ27" s="209"/>
      <c r="ESK27" s="209"/>
      <c r="ESL27" s="209"/>
      <c r="ESM27" s="209"/>
      <c r="ESN27" s="209"/>
      <c r="ESO27" s="209"/>
      <c r="ESP27" s="209"/>
      <c r="ESQ27" s="209"/>
      <c r="ESR27" s="209"/>
      <c r="ESS27" s="209"/>
      <c r="EST27" s="209"/>
      <c r="ESU27" s="209"/>
      <c r="ESV27" s="209"/>
      <c r="ESW27" s="209"/>
      <c r="ESX27" s="209"/>
      <c r="ESY27" s="209"/>
      <c r="ESZ27" s="209"/>
      <c r="ETA27" s="209"/>
      <c r="ETB27" s="209"/>
      <c r="ETC27" s="209"/>
      <c r="ETD27" s="209"/>
      <c r="ETE27" s="209"/>
      <c r="ETF27" s="209"/>
      <c r="ETG27" s="209"/>
      <c r="ETH27" s="209"/>
      <c r="ETI27" s="209"/>
      <c r="ETJ27" s="209"/>
      <c r="ETK27" s="209"/>
      <c r="ETL27" s="209"/>
      <c r="ETM27" s="209"/>
      <c r="ETN27" s="209"/>
      <c r="ETO27" s="209"/>
      <c r="ETP27" s="209"/>
      <c r="ETQ27" s="209"/>
      <c r="ETR27" s="209"/>
      <c r="ETS27" s="209"/>
      <c r="ETT27" s="209"/>
      <c r="ETU27" s="209"/>
      <c r="ETV27" s="209"/>
      <c r="ETW27" s="209"/>
      <c r="ETX27" s="209"/>
      <c r="ETY27" s="209"/>
      <c r="ETZ27" s="209"/>
      <c r="EUA27" s="209"/>
      <c r="EUB27" s="209"/>
      <c r="EUC27" s="209"/>
      <c r="EUD27" s="209"/>
      <c r="EUE27" s="209"/>
      <c r="EUF27" s="209"/>
      <c r="EUG27" s="209"/>
      <c r="EUH27" s="209"/>
      <c r="EUI27" s="209"/>
      <c r="EUJ27" s="209"/>
      <c r="EUK27" s="209"/>
      <c r="EUL27" s="209"/>
      <c r="EUM27" s="209"/>
      <c r="EUN27" s="209"/>
      <c r="EUO27" s="209"/>
      <c r="EUP27" s="209"/>
      <c r="EUQ27" s="209"/>
      <c r="EUR27" s="209"/>
      <c r="EUS27" s="209"/>
      <c r="EUT27" s="209"/>
      <c r="EUU27" s="209"/>
      <c r="EUV27" s="209"/>
      <c r="EUW27" s="209"/>
      <c r="EUX27" s="209"/>
      <c r="EUY27" s="209"/>
      <c r="EUZ27" s="209"/>
      <c r="EVA27" s="209"/>
      <c r="EVB27" s="209"/>
      <c r="EVC27" s="209"/>
      <c r="EVD27" s="209"/>
      <c r="EVE27" s="209"/>
      <c r="EVF27" s="209"/>
      <c r="EVG27" s="209"/>
      <c r="EVH27" s="209"/>
      <c r="EVI27" s="209"/>
      <c r="EVJ27" s="209"/>
      <c r="EVK27" s="209"/>
      <c r="EVL27" s="209"/>
      <c r="EVM27" s="209"/>
      <c r="EVN27" s="209"/>
      <c r="EVO27" s="209"/>
      <c r="EVP27" s="209"/>
      <c r="EVQ27" s="209"/>
      <c r="EVR27" s="209"/>
      <c r="EVS27" s="209"/>
      <c r="EVT27" s="209"/>
      <c r="EVU27" s="209"/>
      <c r="EVV27" s="209"/>
      <c r="EVW27" s="209"/>
      <c r="EVX27" s="209"/>
      <c r="EVY27" s="209"/>
      <c r="EVZ27" s="209"/>
      <c r="EWA27" s="209"/>
      <c r="EWB27" s="209"/>
      <c r="EWC27" s="209"/>
      <c r="EWD27" s="209"/>
      <c r="EWE27" s="209"/>
      <c r="EWF27" s="209"/>
      <c r="EWG27" s="209"/>
      <c r="EWH27" s="209"/>
      <c r="EWI27" s="209"/>
      <c r="EWJ27" s="209"/>
      <c r="EWK27" s="209"/>
      <c r="EWL27" s="209"/>
      <c r="EWM27" s="209"/>
      <c r="EWN27" s="209"/>
      <c r="EWO27" s="209"/>
      <c r="EWP27" s="209"/>
      <c r="EWQ27" s="209"/>
      <c r="EWR27" s="209"/>
      <c r="EWS27" s="209"/>
      <c r="EWT27" s="209"/>
      <c r="EWU27" s="209"/>
      <c r="EWV27" s="209"/>
      <c r="EWW27" s="209"/>
      <c r="EWX27" s="209"/>
      <c r="EWY27" s="209"/>
      <c r="EWZ27" s="209"/>
      <c r="EXA27" s="209"/>
      <c r="EXB27" s="209"/>
      <c r="EXC27" s="209"/>
      <c r="EXD27" s="209"/>
      <c r="EXE27" s="209"/>
      <c r="EXF27" s="209"/>
      <c r="EXG27" s="209"/>
      <c r="EXH27" s="209"/>
      <c r="EXI27" s="209"/>
      <c r="EXJ27" s="209"/>
      <c r="EXK27" s="209"/>
      <c r="EXL27" s="209"/>
      <c r="EXM27" s="209"/>
      <c r="EXN27" s="209"/>
      <c r="EXO27" s="209"/>
      <c r="EXP27" s="209"/>
      <c r="EXQ27" s="209"/>
      <c r="EXR27" s="209"/>
      <c r="EXS27" s="209"/>
      <c r="EXT27" s="209"/>
      <c r="EXU27" s="209"/>
      <c r="EXV27" s="209"/>
      <c r="EXW27" s="209"/>
      <c r="EXX27" s="209"/>
      <c r="EXY27" s="209"/>
      <c r="EXZ27" s="209"/>
      <c r="EYA27" s="209"/>
      <c r="EYB27" s="209"/>
      <c r="EYC27" s="209"/>
      <c r="EYD27" s="209"/>
      <c r="EYE27" s="209"/>
      <c r="EYF27" s="209"/>
      <c r="EYG27" s="209"/>
      <c r="EYH27" s="209"/>
      <c r="EYI27" s="209"/>
      <c r="EYJ27" s="209"/>
      <c r="EYK27" s="209"/>
      <c r="EYL27" s="209"/>
      <c r="EYM27" s="209"/>
      <c r="EYN27" s="209"/>
      <c r="EYO27" s="209"/>
      <c r="EYP27" s="209"/>
      <c r="EYQ27" s="209"/>
      <c r="EYR27" s="209"/>
      <c r="EYS27" s="209"/>
      <c r="EYT27" s="209"/>
      <c r="EYU27" s="209"/>
      <c r="EYV27" s="209"/>
      <c r="EYW27" s="209"/>
      <c r="EYX27" s="209"/>
      <c r="EYY27" s="209"/>
      <c r="EYZ27" s="209"/>
      <c r="EZA27" s="209"/>
      <c r="EZB27" s="209"/>
      <c r="EZC27" s="209"/>
      <c r="EZD27" s="209"/>
      <c r="EZE27" s="209"/>
      <c r="EZF27" s="209"/>
      <c r="EZG27" s="209"/>
      <c r="EZH27" s="209"/>
      <c r="EZI27" s="209"/>
      <c r="EZJ27" s="209"/>
      <c r="EZK27" s="209"/>
      <c r="EZL27" s="209"/>
      <c r="EZM27" s="209"/>
      <c r="EZN27" s="209"/>
      <c r="EZO27" s="209"/>
      <c r="EZP27" s="209"/>
      <c r="EZQ27" s="209"/>
      <c r="EZR27" s="209"/>
      <c r="EZS27" s="209"/>
      <c r="EZT27" s="209"/>
      <c r="EZU27" s="209"/>
      <c r="EZV27" s="209"/>
      <c r="EZW27" s="209"/>
      <c r="EZX27" s="209"/>
      <c r="EZY27" s="209"/>
      <c r="EZZ27" s="209"/>
      <c r="FAA27" s="209"/>
      <c r="FAB27" s="209"/>
      <c r="FAC27" s="209"/>
      <c r="FAD27" s="209"/>
      <c r="FAE27" s="209"/>
      <c r="FAF27" s="209"/>
      <c r="FAG27" s="209"/>
      <c r="FAH27" s="209"/>
      <c r="FAI27" s="209"/>
      <c r="FAJ27" s="209"/>
      <c r="FAK27" s="209"/>
      <c r="FAL27" s="209"/>
      <c r="FAM27" s="209"/>
      <c r="FAN27" s="209"/>
      <c r="FAO27" s="209"/>
      <c r="FAP27" s="209"/>
      <c r="FAQ27" s="209"/>
      <c r="FAR27" s="209"/>
      <c r="FAS27" s="209"/>
      <c r="FAT27" s="209"/>
      <c r="FAU27" s="209"/>
      <c r="FAV27" s="209"/>
      <c r="FAW27" s="209"/>
      <c r="FAX27" s="209"/>
      <c r="FAY27" s="209"/>
      <c r="FAZ27" s="209"/>
      <c r="FBA27" s="209"/>
      <c r="FBB27" s="209"/>
      <c r="FBC27" s="209"/>
      <c r="FBD27" s="209"/>
      <c r="FBE27" s="209"/>
      <c r="FBF27" s="209"/>
      <c r="FBG27" s="209"/>
      <c r="FBH27" s="209"/>
      <c r="FBI27" s="209"/>
      <c r="FBJ27" s="209"/>
      <c r="FBK27" s="209"/>
      <c r="FBL27" s="209"/>
      <c r="FBM27" s="209"/>
      <c r="FBN27" s="209"/>
      <c r="FBO27" s="209"/>
      <c r="FBP27" s="209"/>
      <c r="FBQ27" s="209"/>
      <c r="FBR27" s="209"/>
      <c r="FBS27" s="209"/>
      <c r="FBT27" s="209"/>
      <c r="FBU27" s="209"/>
      <c r="FBV27" s="209"/>
      <c r="FBW27" s="209"/>
      <c r="FBX27" s="209"/>
      <c r="FBY27" s="209"/>
      <c r="FBZ27" s="209"/>
      <c r="FCA27" s="209"/>
      <c r="FCB27" s="209"/>
      <c r="FCC27" s="209"/>
      <c r="FCD27" s="209"/>
      <c r="FCE27" s="209"/>
      <c r="FCF27" s="209"/>
      <c r="FCG27" s="209"/>
      <c r="FCH27" s="209"/>
      <c r="FCI27" s="209"/>
      <c r="FCJ27" s="209"/>
      <c r="FCK27" s="209"/>
      <c r="FCL27" s="209"/>
      <c r="FCM27" s="209"/>
      <c r="FCN27" s="209"/>
      <c r="FCO27" s="209"/>
      <c r="FCP27" s="209"/>
      <c r="FCQ27" s="209"/>
      <c r="FCR27" s="209"/>
      <c r="FCS27" s="209"/>
      <c r="FCT27" s="209"/>
      <c r="FCU27" s="209"/>
      <c r="FCV27" s="209"/>
      <c r="FCW27" s="209"/>
      <c r="FCX27" s="209"/>
      <c r="FCY27" s="209"/>
      <c r="FCZ27" s="209"/>
      <c r="FDA27" s="209"/>
      <c r="FDB27" s="209"/>
      <c r="FDC27" s="209"/>
      <c r="FDD27" s="209"/>
      <c r="FDE27" s="209"/>
      <c r="FDF27" s="209"/>
      <c r="FDG27" s="209"/>
      <c r="FDH27" s="209"/>
      <c r="FDI27" s="209"/>
      <c r="FDJ27" s="209"/>
      <c r="FDK27" s="209"/>
      <c r="FDL27" s="209"/>
      <c r="FDM27" s="209"/>
      <c r="FDN27" s="209"/>
      <c r="FDO27" s="209"/>
      <c r="FDP27" s="209"/>
      <c r="FDQ27" s="209"/>
      <c r="FDR27" s="209"/>
      <c r="FDS27" s="209"/>
      <c r="FDT27" s="209"/>
      <c r="FDU27" s="209"/>
      <c r="FDV27" s="209"/>
      <c r="FDW27" s="209"/>
      <c r="FDX27" s="209"/>
      <c r="FDY27" s="209"/>
      <c r="FDZ27" s="209"/>
      <c r="FEA27" s="209"/>
      <c r="FEB27" s="209"/>
      <c r="FEC27" s="209"/>
      <c r="FED27" s="209"/>
      <c r="FEE27" s="209"/>
      <c r="FEF27" s="209"/>
      <c r="FEG27" s="209"/>
      <c r="FEH27" s="209"/>
      <c r="FEI27" s="209"/>
      <c r="FEJ27" s="209"/>
      <c r="FEK27" s="209"/>
      <c r="FEL27" s="209"/>
      <c r="FEM27" s="209"/>
      <c r="FEN27" s="209"/>
      <c r="FEO27" s="209"/>
      <c r="FEP27" s="209"/>
      <c r="FEQ27" s="209"/>
      <c r="FER27" s="209"/>
      <c r="FES27" s="209"/>
      <c r="FET27" s="209"/>
      <c r="FEU27" s="209"/>
      <c r="FEV27" s="209"/>
      <c r="FEW27" s="209"/>
      <c r="FEX27" s="209"/>
      <c r="FEY27" s="209"/>
      <c r="FEZ27" s="209"/>
      <c r="FFA27" s="209"/>
      <c r="FFB27" s="209"/>
      <c r="FFC27" s="209"/>
      <c r="FFD27" s="209"/>
      <c r="FFE27" s="209"/>
      <c r="FFF27" s="209"/>
      <c r="FFG27" s="209"/>
      <c r="FFH27" s="209"/>
      <c r="FFI27" s="209"/>
      <c r="FFJ27" s="209"/>
      <c r="FFK27" s="209"/>
      <c r="FFL27" s="209"/>
      <c r="FFM27" s="209"/>
      <c r="FFN27" s="209"/>
      <c r="FFO27" s="209"/>
      <c r="FFP27" s="209"/>
      <c r="FFQ27" s="209"/>
      <c r="FFR27" s="209"/>
      <c r="FFS27" s="209"/>
      <c r="FFT27" s="209"/>
      <c r="FFU27" s="209"/>
      <c r="FFV27" s="209"/>
      <c r="FFW27" s="209"/>
      <c r="FFX27" s="209"/>
      <c r="FFY27" s="209"/>
      <c r="FFZ27" s="209"/>
      <c r="FGA27" s="209"/>
      <c r="FGB27" s="209"/>
      <c r="FGC27" s="209"/>
      <c r="FGD27" s="209"/>
      <c r="FGE27" s="209"/>
      <c r="FGF27" s="209"/>
      <c r="FGG27" s="209"/>
      <c r="FGH27" s="209"/>
      <c r="FGI27" s="209"/>
      <c r="FGJ27" s="209"/>
      <c r="FGK27" s="209"/>
      <c r="FGL27" s="209"/>
      <c r="FGM27" s="209"/>
      <c r="FGN27" s="209"/>
      <c r="FGO27" s="209"/>
      <c r="FGP27" s="209"/>
      <c r="FGQ27" s="209"/>
      <c r="FGR27" s="209"/>
      <c r="FGS27" s="209"/>
      <c r="FGT27" s="209"/>
      <c r="FGU27" s="209"/>
      <c r="FGV27" s="209"/>
      <c r="FGW27" s="209"/>
      <c r="FGX27" s="209"/>
      <c r="FGY27" s="209"/>
      <c r="FGZ27" s="209"/>
      <c r="FHA27" s="209"/>
      <c r="FHB27" s="209"/>
      <c r="FHC27" s="209"/>
      <c r="FHD27" s="209"/>
      <c r="FHE27" s="209"/>
      <c r="FHF27" s="209"/>
      <c r="FHG27" s="209"/>
      <c r="FHH27" s="209"/>
      <c r="FHI27" s="209"/>
      <c r="FHJ27" s="209"/>
      <c r="FHK27" s="209"/>
      <c r="FHL27" s="209"/>
      <c r="FHM27" s="209"/>
      <c r="FHN27" s="209"/>
      <c r="FHO27" s="209"/>
      <c r="FHP27" s="209"/>
      <c r="FHQ27" s="209"/>
      <c r="FHR27" s="209"/>
      <c r="FHS27" s="209"/>
      <c r="FHT27" s="209"/>
      <c r="FHU27" s="209"/>
      <c r="FHV27" s="209"/>
      <c r="FHW27" s="209"/>
      <c r="FHX27" s="209"/>
      <c r="FHY27" s="209"/>
      <c r="FHZ27" s="209"/>
      <c r="FIA27" s="209"/>
      <c r="FIB27" s="209"/>
      <c r="FIC27" s="209"/>
      <c r="FID27" s="209"/>
      <c r="FIE27" s="209"/>
      <c r="FIF27" s="209"/>
      <c r="FIG27" s="209"/>
      <c r="FIH27" s="209"/>
      <c r="FII27" s="209"/>
      <c r="FIJ27" s="209"/>
      <c r="FIK27" s="209"/>
      <c r="FIL27" s="209"/>
      <c r="FIM27" s="209"/>
      <c r="FIN27" s="209"/>
      <c r="FIO27" s="209"/>
      <c r="FIP27" s="209"/>
      <c r="FIQ27" s="209"/>
      <c r="FIR27" s="209"/>
      <c r="FIS27" s="209"/>
      <c r="FIT27" s="209"/>
      <c r="FIU27" s="209"/>
      <c r="FIV27" s="209"/>
      <c r="FIW27" s="209"/>
      <c r="FIX27" s="209"/>
      <c r="FIY27" s="209"/>
      <c r="FIZ27" s="209"/>
      <c r="FJA27" s="209"/>
      <c r="FJB27" s="209"/>
      <c r="FJC27" s="209"/>
      <c r="FJD27" s="209"/>
      <c r="FJE27" s="209"/>
      <c r="FJF27" s="209"/>
      <c r="FJG27" s="209"/>
      <c r="FJH27" s="209"/>
      <c r="FJI27" s="209"/>
      <c r="FJJ27" s="209"/>
      <c r="FJK27" s="209"/>
      <c r="FJL27" s="209"/>
      <c r="FJM27" s="209"/>
      <c r="FJN27" s="209"/>
      <c r="FJO27" s="209"/>
      <c r="FJP27" s="209"/>
      <c r="FJQ27" s="209"/>
      <c r="FJR27" s="209"/>
      <c r="FJS27" s="209"/>
      <c r="FJT27" s="209"/>
      <c r="FJU27" s="209"/>
      <c r="FJV27" s="209"/>
      <c r="FJW27" s="209"/>
      <c r="FJX27" s="209"/>
      <c r="FJY27" s="209"/>
      <c r="FJZ27" s="209"/>
      <c r="FKA27" s="209"/>
      <c r="FKB27" s="209"/>
      <c r="FKC27" s="209"/>
      <c r="FKD27" s="209"/>
      <c r="FKE27" s="209"/>
      <c r="FKF27" s="209"/>
      <c r="FKG27" s="209"/>
      <c r="FKH27" s="209"/>
      <c r="FKI27" s="209"/>
      <c r="FKJ27" s="209"/>
      <c r="FKK27" s="209"/>
      <c r="FKL27" s="209"/>
      <c r="FKM27" s="209"/>
      <c r="FKN27" s="209"/>
      <c r="FKO27" s="209"/>
      <c r="FKP27" s="209"/>
      <c r="FKQ27" s="209"/>
      <c r="FKR27" s="209"/>
      <c r="FKS27" s="209"/>
      <c r="FKT27" s="209"/>
      <c r="FKU27" s="209"/>
      <c r="FKV27" s="209"/>
      <c r="FKW27" s="209"/>
      <c r="FKX27" s="209"/>
      <c r="FKY27" s="209"/>
      <c r="FKZ27" s="209"/>
      <c r="FLA27" s="209"/>
      <c r="FLB27" s="209"/>
      <c r="FLC27" s="209"/>
      <c r="FLD27" s="209"/>
      <c r="FLE27" s="209"/>
      <c r="FLF27" s="209"/>
      <c r="FLG27" s="209"/>
      <c r="FLH27" s="209"/>
      <c r="FLI27" s="209"/>
      <c r="FLJ27" s="209"/>
      <c r="FLK27" s="209"/>
      <c r="FLL27" s="209"/>
      <c r="FLM27" s="209"/>
      <c r="FLN27" s="209"/>
      <c r="FLO27" s="209"/>
      <c r="FLP27" s="209"/>
      <c r="FLQ27" s="209"/>
      <c r="FLR27" s="209"/>
      <c r="FLS27" s="209"/>
      <c r="FLT27" s="209"/>
      <c r="FLU27" s="209"/>
      <c r="FLV27" s="209"/>
      <c r="FLW27" s="209"/>
      <c r="FLX27" s="209"/>
      <c r="FLY27" s="209"/>
      <c r="FLZ27" s="209"/>
      <c r="FMA27" s="209"/>
      <c r="FMB27" s="209"/>
      <c r="FMC27" s="209"/>
      <c r="FMD27" s="209"/>
      <c r="FME27" s="209"/>
      <c r="FMF27" s="209"/>
      <c r="FMG27" s="209"/>
      <c r="FMH27" s="209"/>
      <c r="FMI27" s="209"/>
      <c r="FMJ27" s="209"/>
      <c r="FMK27" s="209"/>
      <c r="FML27" s="209"/>
      <c r="FMM27" s="209"/>
      <c r="FMN27" s="209"/>
      <c r="FMO27" s="209"/>
      <c r="FMP27" s="209"/>
      <c r="FMQ27" s="209"/>
      <c r="FMR27" s="209"/>
      <c r="FMS27" s="209"/>
      <c r="FMT27" s="209"/>
      <c r="FMU27" s="209"/>
      <c r="FMV27" s="209"/>
      <c r="FMW27" s="209"/>
      <c r="FMX27" s="209"/>
      <c r="FMY27" s="209"/>
      <c r="FMZ27" s="209"/>
      <c r="FNA27" s="209"/>
      <c r="FNB27" s="209"/>
      <c r="FNC27" s="209"/>
      <c r="FND27" s="209"/>
      <c r="FNE27" s="209"/>
      <c r="FNF27" s="209"/>
      <c r="FNG27" s="209"/>
      <c r="FNH27" s="209"/>
      <c r="FNI27" s="209"/>
      <c r="FNJ27" s="209"/>
      <c r="FNK27" s="209"/>
      <c r="FNL27" s="209"/>
      <c r="FNM27" s="209"/>
      <c r="FNN27" s="209"/>
      <c r="FNO27" s="209"/>
      <c r="FNP27" s="209"/>
      <c r="FNQ27" s="209"/>
      <c r="FNR27" s="209"/>
      <c r="FNS27" s="209"/>
      <c r="FNT27" s="209"/>
      <c r="FNU27" s="209"/>
      <c r="FNV27" s="209"/>
      <c r="FNW27" s="209"/>
      <c r="FNX27" s="209"/>
      <c r="FNY27" s="209"/>
      <c r="FNZ27" s="209"/>
      <c r="FOA27" s="209"/>
      <c r="FOB27" s="209"/>
      <c r="FOC27" s="209"/>
      <c r="FOD27" s="209"/>
      <c r="FOE27" s="209"/>
      <c r="FOF27" s="209"/>
      <c r="FOG27" s="209"/>
      <c r="FOH27" s="209"/>
      <c r="FOI27" s="209"/>
      <c r="FOJ27" s="209"/>
      <c r="FOK27" s="209"/>
      <c r="FOL27" s="209"/>
      <c r="FOM27" s="209"/>
      <c r="FON27" s="209"/>
      <c r="FOO27" s="209"/>
      <c r="FOP27" s="209"/>
      <c r="FOQ27" s="209"/>
      <c r="FOR27" s="209"/>
      <c r="FOS27" s="209"/>
      <c r="FOT27" s="209"/>
      <c r="FOU27" s="209"/>
      <c r="FOV27" s="209"/>
      <c r="FOW27" s="209"/>
      <c r="FOX27" s="209"/>
      <c r="FOY27" s="209"/>
      <c r="FOZ27" s="209"/>
      <c r="FPA27" s="209"/>
      <c r="FPB27" s="209"/>
      <c r="FPC27" s="209"/>
      <c r="FPD27" s="209"/>
      <c r="FPE27" s="209"/>
      <c r="FPF27" s="209"/>
      <c r="FPG27" s="209"/>
      <c r="FPH27" s="209"/>
      <c r="FPI27" s="209"/>
      <c r="FPJ27" s="209"/>
      <c r="FPK27" s="209"/>
      <c r="FPL27" s="209"/>
      <c r="FPM27" s="209"/>
      <c r="FPN27" s="209"/>
      <c r="FPO27" s="209"/>
      <c r="FPP27" s="209"/>
      <c r="FPQ27" s="209"/>
      <c r="FPR27" s="209"/>
      <c r="FPS27" s="209"/>
      <c r="FPT27" s="209"/>
      <c r="FPU27" s="209"/>
      <c r="FPV27" s="209"/>
      <c r="FPW27" s="209"/>
      <c r="FPX27" s="209"/>
      <c r="FPY27" s="209"/>
      <c r="FPZ27" s="209"/>
      <c r="FQA27" s="209"/>
      <c r="FQB27" s="209"/>
      <c r="FQC27" s="209"/>
      <c r="FQD27" s="209"/>
      <c r="FQE27" s="209"/>
      <c r="FQF27" s="209"/>
      <c r="FQG27" s="209"/>
      <c r="FQH27" s="209"/>
      <c r="FQI27" s="209"/>
      <c r="FQJ27" s="209"/>
      <c r="FQK27" s="209"/>
      <c r="FQL27" s="209"/>
      <c r="FQM27" s="209"/>
      <c r="FQN27" s="209"/>
      <c r="FQO27" s="209"/>
      <c r="FQP27" s="209"/>
      <c r="FQQ27" s="209"/>
      <c r="FQR27" s="209"/>
      <c r="FQS27" s="209"/>
      <c r="FQT27" s="209"/>
      <c r="FQU27" s="209"/>
      <c r="FQV27" s="209"/>
      <c r="FQW27" s="209"/>
      <c r="FQX27" s="209"/>
      <c r="FQY27" s="209"/>
      <c r="FQZ27" s="209"/>
      <c r="FRA27" s="209"/>
      <c r="FRB27" s="209"/>
      <c r="FRC27" s="209"/>
      <c r="FRD27" s="209"/>
      <c r="FRE27" s="209"/>
      <c r="FRF27" s="209"/>
      <c r="FRG27" s="209"/>
      <c r="FRH27" s="209"/>
      <c r="FRI27" s="209"/>
      <c r="FRJ27" s="209"/>
      <c r="FRK27" s="209"/>
      <c r="FRL27" s="209"/>
      <c r="FRM27" s="209"/>
      <c r="FRN27" s="209"/>
      <c r="FRO27" s="209"/>
      <c r="FRP27" s="209"/>
      <c r="FRQ27" s="209"/>
      <c r="FRR27" s="209"/>
      <c r="FRS27" s="209"/>
      <c r="FRT27" s="209"/>
      <c r="FRU27" s="209"/>
      <c r="FRV27" s="209"/>
      <c r="FRW27" s="209"/>
      <c r="FRX27" s="209"/>
      <c r="FRY27" s="209"/>
      <c r="FRZ27" s="209"/>
      <c r="FSA27" s="209"/>
      <c r="FSB27" s="209"/>
      <c r="FSC27" s="209"/>
      <c r="FSD27" s="209"/>
      <c r="FSE27" s="209"/>
      <c r="FSF27" s="209"/>
      <c r="FSG27" s="209"/>
      <c r="FSH27" s="209"/>
      <c r="FSI27" s="209"/>
      <c r="FSJ27" s="209"/>
      <c r="FSK27" s="209"/>
      <c r="FSL27" s="209"/>
      <c r="FSM27" s="209"/>
      <c r="FSN27" s="209"/>
      <c r="FSO27" s="209"/>
      <c r="FSP27" s="209"/>
      <c r="FSQ27" s="209"/>
      <c r="FSR27" s="209"/>
      <c r="FSS27" s="209"/>
      <c r="FST27" s="209"/>
      <c r="FSU27" s="209"/>
      <c r="FSV27" s="209"/>
      <c r="FSW27" s="209"/>
      <c r="FSX27" s="209"/>
      <c r="FSY27" s="209"/>
      <c r="FSZ27" s="209"/>
      <c r="FTA27" s="209"/>
      <c r="FTB27" s="209"/>
      <c r="FTC27" s="209"/>
      <c r="FTD27" s="209"/>
      <c r="FTE27" s="209"/>
      <c r="FTF27" s="209"/>
      <c r="FTG27" s="209"/>
      <c r="FTH27" s="209"/>
      <c r="FTI27" s="209"/>
      <c r="FTJ27" s="209"/>
      <c r="FTK27" s="209"/>
      <c r="FTL27" s="209"/>
      <c r="FTM27" s="209"/>
      <c r="FTN27" s="209"/>
      <c r="FTO27" s="209"/>
      <c r="FTP27" s="209"/>
      <c r="FTQ27" s="209"/>
      <c r="FTR27" s="209"/>
      <c r="FTS27" s="209"/>
      <c r="FTT27" s="209"/>
      <c r="FTU27" s="209"/>
      <c r="FTV27" s="209"/>
      <c r="FTW27" s="209"/>
      <c r="FTX27" s="209"/>
      <c r="FTY27" s="209"/>
      <c r="FTZ27" s="209"/>
      <c r="FUA27" s="209"/>
      <c r="FUB27" s="209"/>
      <c r="FUC27" s="209"/>
      <c r="FUD27" s="209"/>
      <c r="FUE27" s="209"/>
      <c r="FUF27" s="209"/>
      <c r="FUG27" s="209"/>
      <c r="FUH27" s="209"/>
      <c r="FUI27" s="209"/>
      <c r="FUJ27" s="209"/>
      <c r="FUK27" s="209"/>
      <c r="FUL27" s="209"/>
      <c r="FUM27" s="209"/>
      <c r="FUN27" s="209"/>
      <c r="FUO27" s="209"/>
      <c r="FUP27" s="209"/>
      <c r="FUQ27" s="209"/>
      <c r="FUR27" s="209"/>
      <c r="FUS27" s="209"/>
      <c r="FUT27" s="209"/>
      <c r="FUU27" s="209"/>
      <c r="FUV27" s="209"/>
      <c r="FUW27" s="209"/>
      <c r="FUX27" s="209"/>
      <c r="FUY27" s="209"/>
      <c r="FUZ27" s="209"/>
      <c r="FVA27" s="209"/>
      <c r="FVB27" s="209"/>
      <c r="FVC27" s="209"/>
      <c r="FVD27" s="209"/>
      <c r="FVE27" s="209"/>
      <c r="FVF27" s="209"/>
      <c r="FVG27" s="209"/>
      <c r="FVH27" s="209"/>
      <c r="FVI27" s="209"/>
      <c r="FVJ27" s="209"/>
      <c r="FVK27" s="209"/>
      <c r="FVL27" s="209"/>
      <c r="FVM27" s="209"/>
      <c r="FVN27" s="209"/>
      <c r="FVO27" s="209"/>
      <c r="FVP27" s="209"/>
      <c r="FVQ27" s="209"/>
      <c r="FVR27" s="209"/>
      <c r="FVS27" s="209"/>
      <c r="FVT27" s="209"/>
      <c r="FVU27" s="209"/>
      <c r="FVV27" s="209"/>
      <c r="FVW27" s="209"/>
      <c r="FVX27" s="209"/>
      <c r="FVY27" s="209"/>
      <c r="FVZ27" s="209"/>
      <c r="FWA27" s="209"/>
      <c r="FWB27" s="209"/>
      <c r="FWC27" s="209"/>
      <c r="FWD27" s="209"/>
      <c r="FWE27" s="209"/>
      <c r="FWF27" s="209"/>
      <c r="FWG27" s="209"/>
      <c r="FWH27" s="209"/>
      <c r="FWI27" s="209"/>
      <c r="FWJ27" s="209"/>
      <c r="FWK27" s="209"/>
      <c r="FWL27" s="209"/>
      <c r="FWM27" s="209"/>
      <c r="FWN27" s="209"/>
      <c r="FWO27" s="209"/>
      <c r="FWP27" s="209"/>
      <c r="FWQ27" s="209"/>
      <c r="FWR27" s="209"/>
      <c r="FWS27" s="209"/>
      <c r="FWT27" s="209"/>
      <c r="FWU27" s="209"/>
      <c r="FWV27" s="209"/>
      <c r="FWW27" s="209"/>
      <c r="FWX27" s="209"/>
      <c r="FWY27" s="209"/>
      <c r="FWZ27" s="209"/>
      <c r="FXA27" s="209"/>
      <c r="FXB27" s="209"/>
      <c r="FXC27" s="209"/>
      <c r="FXD27" s="209"/>
      <c r="FXE27" s="209"/>
      <c r="FXF27" s="209"/>
      <c r="FXG27" s="209"/>
      <c r="FXH27" s="209"/>
      <c r="FXI27" s="209"/>
      <c r="FXJ27" s="209"/>
      <c r="FXK27" s="209"/>
      <c r="FXL27" s="209"/>
      <c r="FXM27" s="209"/>
      <c r="FXN27" s="209"/>
      <c r="FXO27" s="209"/>
      <c r="FXP27" s="209"/>
      <c r="FXQ27" s="209"/>
      <c r="FXR27" s="209"/>
      <c r="FXS27" s="209"/>
      <c r="FXT27" s="209"/>
      <c r="FXU27" s="209"/>
      <c r="FXV27" s="209"/>
      <c r="FXW27" s="209"/>
      <c r="FXX27" s="209"/>
      <c r="FXY27" s="209"/>
      <c r="FXZ27" s="209"/>
      <c r="FYA27" s="209"/>
      <c r="FYB27" s="209"/>
      <c r="FYC27" s="209"/>
      <c r="FYD27" s="209"/>
      <c r="FYE27" s="209"/>
      <c r="FYF27" s="209"/>
      <c r="FYG27" s="209"/>
      <c r="FYH27" s="209"/>
      <c r="FYI27" s="209"/>
      <c r="FYJ27" s="209"/>
      <c r="FYK27" s="209"/>
      <c r="FYL27" s="209"/>
      <c r="FYM27" s="209"/>
      <c r="FYN27" s="209"/>
      <c r="FYO27" s="209"/>
      <c r="FYP27" s="209"/>
      <c r="FYQ27" s="209"/>
      <c r="FYR27" s="209"/>
      <c r="FYS27" s="209"/>
      <c r="FYT27" s="209"/>
      <c r="FYU27" s="209"/>
      <c r="FYV27" s="209"/>
      <c r="FYW27" s="209"/>
      <c r="FYX27" s="209"/>
      <c r="FYY27" s="209"/>
      <c r="FYZ27" s="209"/>
      <c r="FZA27" s="209"/>
      <c r="FZB27" s="209"/>
      <c r="FZC27" s="209"/>
      <c r="FZD27" s="209"/>
      <c r="FZE27" s="209"/>
      <c r="FZF27" s="209"/>
      <c r="FZG27" s="209"/>
      <c r="FZH27" s="209"/>
      <c r="FZI27" s="209"/>
      <c r="FZJ27" s="209"/>
      <c r="FZK27" s="209"/>
      <c r="FZL27" s="209"/>
      <c r="FZM27" s="209"/>
      <c r="FZN27" s="209"/>
      <c r="FZO27" s="209"/>
      <c r="FZP27" s="209"/>
      <c r="FZQ27" s="209"/>
      <c r="FZR27" s="209"/>
      <c r="FZS27" s="209"/>
      <c r="FZT27" s="209"/>
      <c r="FZU27" s="209"/>
      <c r="FZV27" s="209"/>
      <c r="FZW27" s="209"/>
      <c r="FZX27" s="209"/>
      <c r="FZY27" s="209"/>
      <c r="FZZ27" s="209"/>
      <c r="GAA27" s="209"/>
      <c r="GAB27" s="209"/>
      <c r="GAC27" s="209"/>
      <c r="GAD27" s="209"/>
      <c r="GAE27" s="209"/>
      <c r="GAF27" s="209"/>
      <c r="GAG27" s="209"/>
      <c r="GAH27" s="209"/>
      <c r="GAI27" s="209"/>
      <c r="GAJ27" s="209"/>
      <c r="GAK27" s="209"/>
      <c r="GAL27" s="209"/>
      <c r="GAM27" s="209"/>
      <c r="GAN27" s="209"/>
      <c r="GAO27" s="209"/>
      <c r="GAP27" s="209"/>
      <c r="GAQ27" s="209"/>
      <c r="GAR27" s="209"/>
      <c r="GAS27" s="209"/>
      <c r="GAT27" s="209"/>
      <c r="GAU27" s="209"/>
      <c r="GAV27" s="209"/>
      <c r="GAW27" s="209"/>
      <c r="GAX27" s="209"/>
      <c r="GAY27" s="209"/>
      <c r="GAZ27" s="209"/>
      <c r="GBA27" s="209"/>
      <c r="GBB27" s="209"/>
      <c r="GBC27" s="209"/>
      <c r="GBD27" s="209"/>
      <c r="GBE27" s="209"/>
      <c r="GBF27" s="209"/>
      <c r="GBG27" s="209"/>
      <c r="GBH27" s="209"/>
      <c r="GBI27" s="209"/>
      <c r="GBJ27" s="209"/>
      <c r="GBK27" s="209"/>
      <c r="GBL27" s="209"/>
      <c r="GBM27" s="209"/>
      <c r="GBN27" s="209"/>
      <c r="GBO27" s="209"/>
      <c r="GBP27" s="209"/>
      <c r="GBQ27" s="209"/>
      <c r="GBR27" s="209"/>
      <c r="GBS27" s="209"/>
      <c r="GBT27" s="209"/>
      <c r="GBU27" s="209"/>
      <c r="GBV27" s="209"/>
      <c r="GBW27" s="209"/>
      <c r="GBX27" s="209"/>
      <c r="GBY27" s="209"/>
      <c r="GBZ27" s="209"/>
      <c r="GCA27" s="209"/>
      <c r="GCB27" s="209"/>
      <c r="GCC27" s="209"/>
      <c r="GCD27" s="209"/>
      <c r="GCE27" s="209"/>
      <c r="GCF27" s="209"/>
      <c r="GCG27" s="209"/>
      <c r="GCH27" s="209"/>
      <c r="GCI27" s="209"/>
      <c r="GCJ27" s="209"/>
      <c r="GCK27" s="209"/>
      <c r="GCL27" s="209"/>
      <c r="GCM27" s="209"/>
      <c r="GCN27" s="209"/>
      <c r="GCO27" s="209"/>
      <c r="GCP27" s="209"/>
      <c r="GCQ27" s="209"/>
      <c r="GCR27" s="209"/>
      <c r="GCS27" s="209"/>
      <c r="GCT27" s="209"/>
      <c r="GCU27" s="209"/>
      <c r="GCV27" s="209"/>
      <c r="GCW27" s="209"/>
      <c r="GCX27" s="209"/>
      <c r="GCY27" s="209"/>
      <c r="GCZ27" s="209"/>
      <c r="GDA27" s="209"/>
      <c r="GDB27" s="209"/>
      <c r="GDC27" s="209"/>
      <c r="GDD27" s="209"/>
      <c r="GDE27" s="209"/>
      <c r="GDF27" s="209"/>
      <c r="GDG27" s="209"/>
      <c r="GDH27" s="209"/>
      <c r="GDI27" s="209"/>
      <c r="GDJ27" s="209"/>
      <c r="GDK27" s="209"/>
      <c r="GDL27" s="209"/>
      <c r="GDM27" s="209"/>
      <c r="GDN27" s="209"/>
      <c r="GDO27" s="209"/>
      <c r="GDP27" s="209"/>
      <c r="GDQ27" s="209"/>
      <c r="GDR27" s="209"/>
      <c r="GDS27" s="209"/>
      <c r="GDT27" s="209"/>
      <c r="GDU27" s="209"/>
      <c r="GDV27" s="209"/>
      <c r="GDW27" s="209"/>
      <c r="GDX27" s="209"/>
      <c r="GDY27" s="209"/>
      <c r="GDZ27" s="209"/>
      <c r="GEA27" s="209"/>
      <c r="GEB27" s="209"/>
      <c r="GEC27" s="209"/>
      <c r="GED27" s="209"/>
      <c r="GEE27" s="209"/>
      <c r="GEF27" s="209"/>
      <c r="GEG27" s="209"/>
      <c r="GEH27" s="209"/>
      <c r="GEI27" s="209"/>
      <c r="GEJ27" s="209"/>
      <c r="GEK27" s="209"/>
      <c r="GEL27" s="209"/>
      <c r="GEM27" s="209"/>
      <c r="GEN27" s="209"/>
      <c r="GEO27" s="209"/>
      <c r="GEP27" s="209"/>
      <c r="GEQ27" s="209"/>
      <c r="GER27" s="209"/>
      <c r="GES27" s="209"/>
      <c r="GET27" s="209"/>
      <c r="GEU27" s="209"/>
      <c r="GEV27" s="209"/>
      <c r="GEW27" s="209"/>
      <c r="GEX27" s="209"/>
      <c r="GEY27" s="209"/>
      <c r="GEZ27" s="209"/>
      <c r="GFA27" s="209"/>
      <c r="GFB27" s="209"/>
      <c r="GFC27" s="209"/>
      <c r="GFD27" s="209"/>
      <c r="GFE27" s="209"/>
      <c r="GFF27" s="209"/>
      <c r="GFG27" s="209"/>
      <c r="GFH27" s="209"/>
      <c r="GFI27" s="209"/>
      <c r="GFJ27" s="209"/>
      <c r="GFK27" s="209"/>
      <c r="GFL27" s="209"/>
      <c r="GFM27" s="209"/>
      <c r="GFN27" s="209"/>
      <c r="GFO27" s="209"/>
      <c r="GFP27" s="209"/>
      <c r="GFQ27" s="209"/>
      <c r="GFR27" s="209"/>
      <c r="GFS27" s="209"/>
      <c r="GFT27" s="209"/>
      <c r="GFU27" s="209"/>
      <c r="GFV27" s="209"/>
      <c r="GFW27" s="209"/>
      <c r="GFX27" s="209"/>
      <c r="GFY27" s="209"/>
      <c r="GFZ27" s="209"/>
      <c r="GGA27" s="209"/>
      <c r="GGB27" s="209"/>
      <c r="GGC27" s="209"/>
      <c r="GGD27" s="209"/>
      <c r="GGE27" s="209"/>
      <c r="GGF27" s="209"/>
      <c r="GGG27" s="209"/>
      <c r="GGH27" s="209"/>
      <c r="GGI27" s="209"/>
      <c r="GGJ27" s="209"/>
      <c r="GGK27" s="209"/>
      <c r="GGL27" s="209"/>
      <c r="GGM27" s="209"/>
      <c r="GGN27" s="209"/>
      <c r="GGO27" s="209"/>
      <c r="GGP27" s="209"/>
      <c r="GGQ27" s="209"/>
      <c r="GGR27" s="209"/>
      <c r="GGS27" s="209"/>
      <c r="GGT27" s="209"/>
      <c r="GGU27" s="209"/>
      <c r="GGV27" s="209"/>
      <c r="GGW27" s="209"/>
      <c r="GGX27" s="209"/>
      <c r="GGY27" s="209"/>
      <c r="GGZ27" s="209"/>
      <c r="GHA27" s="209"/>
      <c r="GHB27" s="209"/>
      <c r="GHC27" s="209"/>
      <c r="GHD27" s="209"/>
      <c r="GHE27" s="209"/>
      <c r="GHF27" s="209"/>
      <c r="GHG27" s="209"/>
      <c r="GHH27" s="209"/>
      <c r="GHI27" s="209"/>
      <c r="GHJ27" s="209"/>
      <c r="GHK27" s="209"/>
      <c r="GHL27" s="209"/>
      <c r="GHM27" s="209"/>
      <c r="GHN27" s="209"/>
      <c r="GHO27" s="209"/>
      <c r="GHP27" s="209"/>
      <c r="GHQ27" s="209"/>
      <c r="GHR27" s="209"/>
      <c r="GHS27" s="209"/>
      <c r="GHT27" s="209"/>
      <c r="GHU27" s="209"/>
      <c r="GHV27" s="209"/>
      <c r="GHW27" s="209"/>
      <c r="GHX27" s="209"/>
      <c r="GHY27" s="209"/>
      <c r="GHZ27" s="209"/>
      <c r="GIA27" s="209"/>
      <c r="GIB27" s="209"/>
      <c r="GIC27" s="209"/>
      <c r="GID27" s="209"/>
      <c r="GIE27" s="209"/>
      <c r="GIF27" s="209"/>
      <c r="GIG27" s="209"/>
      <c r="GIH27" s="209"/>
      <c r="GII27" s="209"/>
      <c r="GIJ27" s="209"/>
      <c r="GIK27" s="209"/>
      <c r="GIL27" s="209"/>
      <c r="GIM27" s="209"/>
      <c r="GIN27" s="209"/>
      <c r="GIO27" s="209"/>
      <c r="GIP27" s="209"/>
      <c r="GIQ27" s="209"/>
      <c r="GIR27" s="209"/>
      <c r="GIS27" s="209"/>
      <c r="GIT27" s="209"/>
      <c r="GIU27" s="209"/>
      <c r="GIV27" s="209"/>
      <c r="GIW27" s="209"/>
      <c r="GIX27" s="209"/>
      <c r="GIY27" s="209"/>
      <c r="GIZ27" s="209"/>
      <c r="GJA27" s="209"/>
      <c r="GJB27" s="209"/>
      <c r="GJC27" s="209"/>
      <c r="GJD27" s="209"/>
      <c r="GJE27" s="209"/>
      <c r="GJF27" s="209"/>
      <c r="GJG27" s="209"/>
      <c r="GJH27" s="209"/>
      <c r="GJI27" s="209"/>
      <c r="GJJ27" s="209"/>
      <c r="GJK27" s="209"/>
      <c r="GJL27" s="209"/>
      <c r="GJM27" s="209"/>
      <c r="GJN27" s="209"/>
      <c r="GJO27" s="209"/>
      <c r="GJP27" s="209"/>
      <c r="GJQ27" s="209"/>
      <c r="GJR27" s="209"/>
      <c r="GJS27" s="209"/>
      <c r="GJT27" s="209"/>
      <c r="GJU27" s="209"/>
      <c r="GJV27" s="209"/>
      <c r="GJW27" s="209"/>
      <c r="GJX27" s="209"/>
      <c r="GJY27" s="209"/>
      <c r="GJZ27" s="209"/>
      <c r="GKA27" s="209"/>
      <c r="GKB27" s="209"/>
      <c r="GKC27" s="209"/>
      <c r="GKD27" s="209"/>
      <c r="GKE27" s="209"/>
      <c r="GKF27" s="209"/>
      <c r="GKG27" s="209"/>
      <c r="GKH27" s="209"/>
      <c r="GKI27" s="209"/>
      <c r="GKJ27" s="209"/>
      <c r="GKK27" s="209"/>
      <c r="GKL27" s="209"/>
      <c r="GKM27" s="209"/>
      <c r="GKN27" s="209"/>
      <c r="GKO27" s="209"/>
      <c r="GKP27" s="209"/>
      <c r="GKQ27" s="209"/>
      <c r="GKR27" s="209"/>
      <c r="GKS27" s="209"/>
      <c r="GKT27" s="209"/>
      <c r="GKU27" s="209"/>
      <c r="GKV27" s="209"/>
      <c r="GKW27" s="209"/>
      <c r="GKX27" s="209"/>
      <c r="GKY27" s="209"/>
      <c r="GKZ27" s="209"/>
      <c r="GLA27" s="209"/>
      <c r="GLB27" s="209"/>
      <c r="GLC27" s="209"/>
      <c r="GLD27" s="209"/>
      <c r="GLE27" s="209"/>
      <c r="GLF27" s="209"/>
      <c r="GLG27" s="209"/>
      <c r="GLH27" s="209"/>
      <c r="GLI27" s="209"/>
      <c r="GLJ27" s="209"/>
      <c r="GLK27" s="209"/>
      <c r="GLL27" s="209"/>
      <c r="GLM27" s="209"/>
      <c r="GLN27" s="209"/>
      <c r="GLO27" s="209"/>
      <c r="GLP27" s="209"/>
      <c r="GLQ27" s="209"/>
      <c r="GLR27" s="209"/>
      <c r="GLS27" s="209"/>
      <c r="GLT27" s="209"/>
      <c r="GLU27" s="209"/>
      <c r="GLV27" s="209"/>
      <c r="GLW27" s="209"/>
      <c r="GLX27" s="209"/>
      <c r="GLY27" s="209"/>
      <c r="GLZ27" s="209"/>
      <c r="GMA27" s="209"/>
      <c r="GMB27" s="209"/>
      <c r="GMC27" s="209"/>
      <c r="GMD27" s="209"/>
      <c r="GME27" s="209"/>
      <c r="GMF27" s="209"/>
      <c r="GMG27" s="209"/>
      <c r="GMH27" s="209"/>
      <c r="GMI27" s="209"/>
      <c r="GMJ27" s="209"/>
      <c r="GMK27" s="209"/>
      <c r="GML27" s="209"/>
      <c r="GMM27" s="209"/>
      <c r="GMN27" s="209"/>
      <c r="GMO27" s="209"/>
      <c r="GMP27" s="209"/>
      <c r="GMQ27" s="209"/>
      <c r="GMR27" s="209"/>
      <c r="GMS27" s="209"/>
      <c r="GMT27" s="209"/>
      <c r="GMU27" s="209"/>
      <c r="GMV27" s="209"/>
      <c r="GMW27" s="209"/>
      <c r="GMX27" s="209"/>
      <c r="GMY27" s="209"/>
      <c r="GMZ27" s="209"/>
      <c r="GNA27" s="209"/>
      <c r="GNB27" s="209"/>
      <c r="GNC27" s="209"/>
      <c r="GND27" s="209"/>
      <c r="GNE27" s="209"/>
      <c r="GNF27" s="209"/>
      <c r="GNG27" s="209"/>
      <c r="GNH27" s="209"/>
      <c r="GNI27" s="209"/>
      <c r="GNJ27" s="209"/>
      <c r="GNK27" s="209"/>
      <c r="GNL27" s="209"/>
      <c r="GNM27" s="209"/>
      <c r="GNN27" s="209"/>
      <c r="GNO27" s="209"/>
      <c r="GNP27" s="209"/>
      <c r="GNQ27" s="209"/>
      <c r="GNR27" s="209"/>
      <c r="GNS27" s="209"/>
      <c r="GNT27" s="209"/>
      <c r="GNU27" s="209"/>
      <c r="GNV27" s="209"/>
      <c r="GNW27" s="209"/>
      <c r="GNX27" s="209"/>
      <c r="GNY27" s="209"/>
      <c r="GNZ27" s="209"/>
      <c r="GOA27" s="209"/>
      <c r="GOB27" s="209"/>
      <c r="GOC27" s="209"/>
      <c r="GOD27" s="209"/>
      <c r="GOE27" s="209"/>
      <c r="GOF27" s="209"/>
      <c r="GOG27" s="209"/>
      <c r="GOH27" s="209"/>
      <c r="GOI27" s="209"/>
      <c r="GOJ27" s="209"/>
      <c r="GOK27" s="209"/>
      <c r="GOL27" s="209"/>
      <c r="GOM27" s="209"/>
      <c r="GON27" s="209"/>
      <c r="GOO27" s="209"/>
      <c r="GOP27" s="209"/>
      <c r="GOQ27" s="209"/>
      <c r="GOR27" s="209"/>
      <c r="GOS27" s="209"/>
      <c r="GOT27" s="209"/>
      <c r="GOU27" s="209"/>
      <c r="GOV27" s="209"/>
      <c r="GOW27" s="209"/>
      <c r="GOX27" s="209"/>
      <c r="GOY27" s="209"/>
      <c r="GOZ27" s="209"/>
      <c r="GPA27" s="209"/>
      <c r="GPB27" s="209"/>
      <c r="GPC27" s="209"/>
      <c r="GPD27" s="209"/>
      <c r="GPE27" s="209"/>
      <c r="GPF27" s="209"/>
      <c r="GPG27" s="209"/>
      <c r="GPH27" s="209"/>
      <c r="GPI27" s="209"/>
      <c r="GPJ27" s="209"/>
      <c r="GPK27" s="209"/>
      <c r="GPL27" s="209"/>
      <c r="GPM27" s="209"/>
      <c r="GPN27" s="209"/>
      <c r="GPO27" s="209"/>
      <c r="GPP27" s="209"/>
      <c r="GPQ27" s="209"/>
      <c r="GPR27" s="209"/>
      <c r="GPS27" s="209"/>
      <c r="GPT27" s="209"/>
      <c r="GPU27" s="209"/>
      <c r="GPV27" s="209"/>
      <c r="GPW27" s="209"/>
      <c r="GPX27" s="209"/>
      <c r="GPY27" s="209"/>
      <c r="GPZ27" s="209"/>
      <c r="GQA27" s="209"/>
      <c r="GQB27" s="209"/>
      <c r="GQC27" s="209"/>
      <c r="GQD27" s="209"/>
      <c r="GQE27" s="209"/>
      <c r="GQF27" s="209"/>
      <c r="GQG27" s="209"/>
      <c r="GQH27" s="209"/>
      <c r="GQI27" s="209"/>
      <c r="GQJ27" s="209"/>
      <c r="GQK27" s="209"/>
      <c r="GQL27" s="209"/>
      <c r="GQM27" s="209"/>
      <c r="GQN27" s="209"/>
      <c r="GQO27" s="209"/>
      <c r="GQP27" s="209"/>
      <c r="GQQ27" s="209"/>
      <c r="GQR27" s="209"/>
      <c r="GQS27" s="209"/>
      <c r="GQT27" s="209"/>
      <c r="GQU27" s="209"/>
      <c r="GQV27" s="209"/>
      <c r="GQW27" s="209"/>
      <c r="GQX27" s="209"/>
      <c r="GQY27" s="209"/>
      <c r="GQZ27" s="209"/>
      <c r="GRA27" s="209"/>
      <c r="GRB27" s="209"/>
      <c r="GRC27" s="209"/>
      <c r="GRD27" s="209"/>
      <c r="GRE27" s="209"/>
      <c r="GRF27" s="209"/>
      <c r="GRG27" s="209"/>
      <c r="GRH27" s="209"/>
      <c r="GRI27" s="209"/>
      <c r="GRJ27" s="209"/>
      <c r="GRK27" s="209"/>
      <c r="GRL27" s="209"/>
      <c r="GRM27" s="209"/>
      <c r="GRN27" s="209"/>
      <c r="GRO27" s="209"/>
      <c r="GRP27" s="209"/>
      <c r="GRQ27" s="209"/>
      <c r="GRR27" s="209"/>
      <c r="GRS27" s="209"/>
      <c r="GRT27" s="209"/>
      <c r="GRU27" s="209"/>
      <c r="GRV27" s="209"/>
      <c r="GRW27" s="209"/>
      <c r="GRX27" s="209"/>
      <c r="GRY27" s="209"/>
      <c r="GRZ27" s="209"/>
      <c r="GSA27" s="209"/>
      <c r="GSB27" s="209"/>
      <c r="GSC27" s="209"/>
      <c r="GSD27" s="209"/>
      <c r="GSE27" s="209"/>
      <c r="GSF27" s="209"/>
      <c r="GSG27" s="209"/>
      <c r="GSH27" s="209"/>
      <c r="GSI27" s="209"/>
      <c r="GSJ27" s="209"/>
      <c r="GSK27" s="209"/>
      <c r="GSL27" s="209"/>
      <c r="GSM27" s="209"/>
      <c r="GSN27" s="209"/>
      <c r="GSO27" s="209"/>
      <c r="GSP27" s="209"/>
      <c r="GSQ27" s="209"/>
      <c r="GSR27" s="209"/>
      <c r="GSS27" s="209"/>
      <c r="GST27" s="209"/>
      <c r="GSU27" s="209"/>
      <c r="GSV27" s="209"/>
      <c r="GSW27" s="209"/>
      <c r="GSX27" s="209"/>
      <c r="GSY27" s="209"/>
      <c r="GSZ27" s="209"/>
      <c r="GTA27" s="209"/>
      <c r="GTB27" s="209"/>
      <c r="GTC27" s="209"/>
      <c r="GTD27" s="209"/>
      <c r="GTE27" s="209"/>
      <c r="GTF27" s="209"/>
      <c r="GTG27" s="209"/>
      <c r="GTH27" s="209"/>
      <c r="GTI27" s="209"/>
      <c r="GTJ27" s="209"/>
      <c r="GTK27" s="209"/>
      <c r="GTL27" s="209"/>
      <c r="GTM27" s="209"/>
      <c r="GTN27" s="209"/>
      <c r="GTO27" s="209"/>
      <c r="GTP27" s="209"/>
      <c r="GTQ27" s="209"/>
      <c r="GTR27" s="209"/>
      <c r="GTS27" s="209"/>
      <c r="GTT27" s="209"/>
      <c r="GTU27" s="209"/>
      <c r="GTV27" s="209"/>
      <c r="GTW27" s="209"/>
      <c r="GTX27" s="209"/>
      <c r="GTY27" s="209"/>
      <c r="GTZ27" s="209"/>
      <c r="GUA27" s="209"/>
      <c r="GUB27" s="209"/>
      <c r="GUC27" s="209"/>
      <c r="GUD27" s="209"/>
      <c r="GUE27" s="209"/>
      <c r="GUF27" s="209"/>
      <c r="GUG27" s="209"/>
      <c r="GUH27" s="209"/>
      <c r="GUI27" s="209"/>
      <c r="GUJ27" s="209"/>
      <c r="GUK27" s="209"/>
      <c r="GUL27" s="209"/>
      <c r="GUM27" s="209"/>
      <c r="GUN27" s="209"/>
      <c r="GUO27" s="209"/>
      <c r="GUP27" s="209"/>
      <c r="GUQ27" s="209"/>
      <c r="GUR27" s="209"/>
      <c r="GUS27" s="209"/>
      <c r="GUT27" s="209"/>
      <c r="GUU27" s="209"/>
      <c r="GUV27" s="209"/>
      <c r="GUW27" s="209"/>
      <c r="GUX27" s="209"/>
      <c r="GUY27" s="209"/>
      <c r="GUZ27" s="209"/>
      <c r="GVA27" s="209"/>
      <c r="GVB27" s="209"/>
      <c r="GVC27" s="209"/>
      <c r="GVD27" s="209"/>
      <c r="GVE27" s="209"/>
      <c r="GVF27" s="209"/>
      <c r="GVG27" s="209"/>
      <c r="GVH27" s="209"/>
      <c r="GVI27" s="209"/>
      <c r="GVJ27" s="209"/>
      <c r="GVK27" s="209"/>
      <c r="GVL27" s="209"/>
      <c r="GVM27" s="209"/>
      <c r="GVN27" s="209"/>
      <c r="GVO27" s="209"/>
      <c r="GVP27" s="209"/>
      <c r="GVQ27" s="209"/>
      <c r="GVR27" s="209"/>
      <c r="GVS27" s="209"/>
      <c r="GVT27" s="209"/>
      <c r="GVU27" s="209"/>
      <c r="GVV27" s="209"/>
      <c r="GVW27" s="209"/>
      <c r="GVX27" s="209"/>
      <c r="GVY27" s="209"/>
      <c r="GVZ27" s="209"/>
      <c r="GWA27" s="209"/>
      <c r="GWB27" s="209"/>
      <c r="GWC27" s="209"/>
      <c r="GWD27" s="209"/>
      <c r="GWE27" s="209"/>
      <c r="GWF27" s="209"/>
      <c r="GWG27" s="209"/>
      <c r="GWH27" s="209"/>
      <c r="GWI27" s="209"/>
      <c r="GWJ27" s="209"/>
      <c r="GWK27" s="209"/>
      <c r="GWL27" s="209"/>
      <c r="GWM27" s="209"/>
      <c r="GWN27" s="209"/>
      <c r="GWO27" s="209"/>
      <c r="GWP27" s="209"/>
      <c r="GWQ27" s="209"/>
      <c r="GWR27" s="209"/>
      <c r="GWS27" s="209"/>
      <c r="GWT27" s="209"/>
      <c r="GWU27" s="209"/>
      <c r="GWV27" s="209"/>
      <c r="GWW27" s="209"/>
      <c r="GWX27" s="209"/>
      <c r="GWY27" s="209"/>
      <c r="GWZ27" s="209"/>
      <c r="GXA27" s="209"/>
      <c r="GXB27" s="209"/>
      <c r="GXC27" s="209"/>
      <c r="GXD27" s="209"/>
      <c r="GXE27" s="209"/>
      <c r="GXF27" s="209"/>
      <c r="GXG27" s="209"/>
      <c r="GXH27" s="209"/>
      <c r="GXI27" s="209"/>
      <c r="GXJ27" s="209"/>
      <c r="GXK27" s="209"/>
      <c r="GXL27" s="209"/>
      <c r="GXM27" s="209"/>
      <c r="GXN27" s="209"/>
      <c r="GXO27" s="209"/>
      <c r="GXP27" s="209"/>
      <c r="GXQ27" s="209"/>
      <c r="GXR27" s="209"/>
      <c r="GXS27" s="209"/>
      <c r="GXT27" s="209"/>
      <c r="GXU27" s="209"/>
      <c r="GXV27" s="209"/>
      <c r="GXW27" s="209"/>
      <c r="GXX27" s="209"/>
      <c r="GXY27" s="209"/>
      <c r="GXZ27" s="209"/>
      <c r="GYA27" s="209"/>
      <c r="GYB27" s="209"/>
      <c r="GYC27" s="209"/>
      <c r="GYD27" s="209"/>
      <c r="GYE27" s="209"/>
      <c r="GYF27" s="209"/>
      <c r="GYG27" s="209"/>
      <c r="GYH27" s="209"/>
      <c r="GYI27" s="209"/>
      <c r="GYJ27" s="209"/>
      <c r="GYK27" s="209"/>
      <c r="GYL27" s="209"/>
      <c r="GYM27" s="209"/>
      <c r="GYN27" s="209"/>
      <c r="GYO27" s="209"/>
      <c r="GYP27" s="209"/>
      <c r="GYQ27" s="209"/>
      <c r="GYR27" s="209"/>
      <c r="GYS27" s="209"/>
      <c r="GYT27" s="209"/>
      <c r="GYU27" s="209"/>
      <c r="GYV27" s="209"/>
      <c r="GYW27" s="209"/>
      <c r="GYX27" s="209"/>
      <c r="GYY27" s="209"/>
      <c r="GYZ27" s="209"/>
      <c r="GZA27" s="209"/>
      <c r="GZB27" s="209"/>
      <c r="GZC27" s="209"/>
      <c r="GZD27" s="209"/>
      <c r="GZE27" s="209"/>
      <c r="GZF27" s="209"/>
      <c r="GZG27" s="209"/>
      <c r="GZH27" s="209"/>
      <c r="GZI27" s="209"/>
      <c r="GZJ27" s="209"/>
      <c r="GZK27" s="209"/>
      <c r="GZL27" s="209"/>
      <c r="GZM27" s="209"/>
      <c r="GZN27" s="209"/>
      <c r="GZO27" s="209"/>
      <c r="GZP27" s="209"/>
      <c r="GZQ27" s="209"/>
      <c r="GZR27" s="209"/>
      <c r="GZS27" s="209"/>
      <c r="GZT27" s="209"/>
      <c r="GZU27" s="209"/>
      <c r="GZV27" s="209"/>
      <c r="GZW27" s="209"/>
      <c r="GZX27" s="209"/>
      <c r="GZY27" s="209"/>
      <c r="GZZ27" s="209"/>
      <c r="HAA27" s="209"/>
      <c r="HAB27" s="209"/>
      <c r="HAC27" s="209"/>
      <c r="HAD27" s="209"/>
      <c r="HAE27" s="209"/>
      <c r="HAF27" s="209"/>
      <c r="HAG27" s="209"/>
      <c r="HAH27" s="209"/>
      <c r="HAI27" s="209"/>
      <c r="HAJ27" s="209"/>
      <c r="HAK27" s="209"/>
      <c r="HAL27" s="209"/>
      <c r="HAM27" s="209"/>
      <c r="HAN27" s="209"/>
      <c r="HAO27" s="209"/>
      <c r="HAP27" s="209"/>
      <c r="HAQ27" s="209"/>
      <c r="HAR27" s="209"/>
      <c r="HAS27" s="209"/>
      <c r="HAT27" s="209"/>
      <c r="HAU27" s="209"/>
      <c r="HAV27" s="209"/>
      <c r="HAW27" s="209"/>
      <c r="HAX27" s="209"/>
      <c r="HAY27" s="209"/>
      <c r="HAZ27" s="209"/>
      <c r="HBA27" s="209"/>
      <c r="HBB27" s="209"/>
      <c r="HBC27" s="209"/>
      <c r="HBD27" s="209"/>
      <c r="HBE27" s="209"/>
      <c r="HBF27" s="209"/>
      <c r="HBG27" s="209"/>
      <c r="HBH27" s="209"/>
      <c r="HBI27" s="209"/>
      <c r="HBJ27" s="209"/>
      <c r="HBK27" s="209"/>
      <c r="HBL27" s="209"/>
      <c r="HBM27" s="209"/>
      <c r="HBN27" s="209"/>
      <c r="HBO27" s="209"/>
      <c r="HBP27" s="209"/>
      <c r="HBQ27" s="209"/>
      <c r="HBR27" s="209"/>
      <c r="HBS27" s="209"/>
      <c r="HBT27" s="209"/>
      <c r="HBU27" s="209"/>
      <c r="HBV27" s="209"/>
      <c r="HBW27" s="209"/>
      <c r="HBX27" s="209"/>
      <c r="HBY27" s="209"/>
      <c r="HBZ27" s="209"/>
      <c r="HCA27" s="209"/>
      <c r="HCB27" s="209"/>
      <c r="HCC27" s="209"/>
      <c r="HCD27" s="209"/>
      <c r="HCE27" s="209"/>
      <c r="HCF27" s="209"/>
      <c r="HCG27" s="209"/>
      <c r="HCH27" s="209"/>
      <c r="HCI27" s="209"/>
      <c r="HCJ27" s="209"/>
      <c r="HCK27" s="209"/>
      <c r="HCL27" s="209"/>
      <c r="HCM27" s="209"/>
      <c r="HCN27" s="209"/>
      <c r="HCO27" s="209"/>
      <c r="HCP27" s="209"/>
      <c r="HCQ27" s="209"/>
      <c r="HCR27" s="209"/>
      <c r="HCS27" s="209"/>
      <c r="HCT27" s="209"/>
      <c r="HCU27" s="209"/>
      <c r="HCV27" s="209"/>
      <c r="HCW27" s="209"/>
      <c r="HCX27" s="209"/>
      <c r="HCY27" s="209"/>
      <c r="HCZ27" s="209"/>
      <c r="HDA27" s="209"/>
      <c r="HDB27" s="209"/>
      <c r="HDC27" s="209"/>
      <c r="HDD27" s="209"/>
      <c r="HDE27" s="209"/>
      <c r="HDF27" s="209"/>
      <c r="HDG27" s="209"/>
      <c r="HDH27" s="209"/>
      <c r="HDI27" s="209"/>
      <c r="HDJ27" s="209"/>
      <c r="HDK27" s="209"/>
      <c r="HDL27" s="209"/>
      <c r="HDM27" s="209"/>
      <c r="HDN27" s="209"/>
      <c r="HDO27" s="209"/>
      <c r="HDP27" s="209"/>
      <c r="HDQ27" s="209"/>
      <c r="HDR27" s="209"/>
      <c r="HDS27" s="209"/>
      <c r="HDT27" s="209"/>
      <c r="HDU27" s="209"/>
      <c r="HDV27" s="209"/>
      <c r="HDW27" s="209"/>
      <c r="HDX27" s="209"/>
      <c r="HDY27" s="209"/>
      <c r="HDZ27" s="209"/>
      <c r="HEA27" s="209"/>
      <c r="HEB27" s="209"/>
      <c r="HEC27" s="209"/>
      <c r="HED27" s="209"/>
      <c r="HEE27" s="209"/>
      <c r="HEF27" s="209"/>
      <c r="HEG27" s="209"/>
      <c r="HEH27" s="209"/>
      <c r="HEI27" s="209"/>
      <c r="HEJ27" s="209"/>
      <c r="HEK27" s="209"/>
      <c r="HEL27" s="209"/>
      <c r="HEM27" s="209"/>
      <c r="HEN27" s="209"/>
      <c r="HEO27" s="209"/>
      <c r="HEP27" s="209"/>
      <c r="HEQ27" s="209"/>
      <c r="HER27" s="209"/>
      <c r="HES27" s="209"/>
      <c r="HET27" s="209"/>
      <c r="HEU27" s="209"/>
      <c r="HEV27" s="209"/>
      <c r="HEW27" s="209"/>
      <c r="HEX27" s="209"/>
      <c r="HEY27" s="209"/>
      <c r="HEZ27" s="209"/>
      <c r="HFA27" s="209"/>
      <c r="HFB27" s="209"/>
      <c r="HFC27" s="209"/>
      <c r="HFD27" s="209"/>
      <c r="HFE27" s="209"/>
      <c r="HFF27" s="209"/>
      <c r="HFG27" s="209"/>
      <c r="HFH27" s="209"/>
      <c r="HFI27" s="209"/>
      <c r="HFJ27" s="209"/>
      <c r="HFK27" s="209"/>
      <c r="HFL27" s="209"/>
      <c r="HFM27" s="209"/>
      <c r="HFN27" s="209"/>
      <c r="HFO27" s="209"/>
      <c r="HFP27" s="209"/>
      <c r="HFQ27" s="209"/>
      <c r="HFR27" s="209"/>
      <c r="HFS27" s="209"/>
      <c r="HFT27" s="209"/>
      <c r="HFU27" s="209"/>
      <c r="HFV27" s="209"/>
      <c r="HFW27" s="209"/>
      <c r="HFX27" s="209"/>
      <c r="HFY27" s="209"/>
      <c r="HFZ27" s="209"/>
      <c r="HGA27" s="209"/>
      <c r="HGB27" s="209"/>
      <c r="HGC27" s="209"/>
      <c r="HGD27" s="209"/>
      <c r="HGE27" s="209"/>
      <c r="HGF27" s="209"/>
      <c r="HGG27" s="209"/>
      <c r="HGH27" s="209"/>
      <c r="HGI27" s="209"/>
      <c r="HGJ27" s="209"/>
      <c r="HGK27" s="209"/>
      <c r="HGL27" s="209"/>
      <c r="HGM27" s="209"/>
      <c r="HGN27" s="209"/>
      <c r="HGO27" s="209"/>
      <c r="HGP27" s="209"/>
      <c r="HGQ27" s="209"/>
      <c r="HGR27" s="209"/>
      <c r="HGS27" s="209"/>
      <c r="HGT27" s="209"/>
      <c r="HGU27" s="209"/>
      <c r="HGV27" s="209"/>
      <c r="HGW27" s="209"/>
      <c r="HGX27" s="209"/>
      <c r="HGY27" s="209"/>
      <c r="HGZ27" s="209"/>
      <c r="HHA27" s="209"/>
      <c r="HHB27" s="209"/>
      <c r="HHC27" s="209"/>
      <c r="HHD27" s="209"/>
      <c r="HHE27" s="209"/>
      <c r="HHF27" s="209"/>
      <c r="HHG27" s="209"/>
      <c r="HHH27" s="209"/>
      <c r="HHI27" s="209"/>
      <c r="HHJ27" s="209"/>
      <c r="HHK27" s="209"/>
      <c r="HHL27" s="209"/>
      <c r="HHM27" s="209"/>
      <c r="HHN27" s="209"/>
      <c r="HHO27" s="209"/>
      <c r="HHP27" s="209"/>
      <c r="HHQ27" s="209"/>
      <c r="HHR27" s="209"/>
      <c r="HHS27" s="209"/>
      <c r="HHT27" s="209"/>
      <c r="HHU27" s="209"/>
      <c r="HHV27" s="209"/>
      <c r="HHW27" s="209"/>
      <c r="HHX27" s="209"/>
      <c r="HHY27" s="209"/>
      <c r="HHZ27" s="209"/>
      <c r="HIA27" s="209"/>
      <c r="HIB27" s="209"/>
      <c r="HIC27" s="209"/>
      <c r="HID27" s="209"/>
      <c r="HIE27" s="209"/>
      <c r="HIF27" s="209"/>
      <c r="HIG27" s="209"/>
      <c r="HIH27" s="209"/>
      <c r="HII27" s="209"/>
      <c r="HIJ27" s="209"/>
      <c r="HIK27" s="209"/>
      <c r="HIL27" s="209"/>
      <c r="HIM27" s="209"/>
      <c r="HIN27" s="209"/>
      <c r="HIO27" s="209"/>
      <c r="HIP27" s="209"/>
      <c r="HIQ27" s="209"/>
      <c r="HIR27" s="209"/>
      <c r="HIS27" s="209"/>
      <c r="HIT27" s="209"/>
      <c r="HIU27" s="209"/>
      <c r="HIV27" s="209"/>
      <c r="HIW27" s="209"/>
      <c r="HIX27" s="209"/>
      <c r="HIY27" s="209"/>
      <c r="HIZ27" s="209"/>
      <c r="HJA27" s="209"/>
      <c r="HJB27" s="209"/>
      <c r="HJC27" s="209"/>
      <c r="HJD27" s="209"/>
      <c r="HJE27" s="209"/>
      <c r="HJF27" s="209"/>
      <c r="HJG27" s="209"/>
      <c r="HJH27" s="209"/>
      <c r="HJI27" s="209"/>
      <c r="HJJ27" s="209"/>
      <c r="HJK27" s="209"/>
      <c r="HJL27" s="209"/>
      <c r="HJM27" s="209"/>
      <c r="HJN27" s="209"/>
      <c r="HJO27" s="209"/>
      <c r="HJP27" s="209"/>
      <c r="HJQ27" s="209"/>
      <c r="HJR27" s="209"/>
      <c r="HJS27" s="209"/>
      <c r="HJT27" s="209"/>
      <c r="HJU27" s="209"/>
      <c r="HJV27" s="209"/>
      <c r="HJW27" s="209"/>
      <c r="HJX27" s="209"/>
      <c r="HJY27" s="209"/>
      <c r="HJZ27" s="209"/>
      <c r="HKA27" s="209"/>
      <c r="HKB27" s="209"/>
      <c r="HKC27" s="209"/>
      <c r="HKD27" s="209"/>
      <c r="HKE27" s="209"/>
      <c r="HKF27" s="209"/>
      <c r="HKG27" s="209"/>
      <c r="HKH27" s="209"/>
      <c r="HKI27" s="209"/>
      <c r="HKJ27" s="209"/>
      <c r="HKK27" s="209"/>
      <c r="HKL27" s="209"/>
      <c r="HKM27" s="209"/>
      <c r="HKN27" s="209"/>
      <c r="HKO27" s="209"/>
      <c r="HKP27" s="209"/>
      <c r="HKQ27" s="209"/>
      <c r="HKR27" s="209"/>
      <c r="HKS27" s="209"/>
      <c r="HKT27" s="209"/>
      <c r="HKU27" s="209"/>
      <c r="HKV27" s="209"/>
      <c r="HKW27" s="209"/>
      <c r="HKX27" s="209"/>
      <c r="HKY27" s="209"/>
      <c r="HKZ27" s="209"/>
      <c r="HLA27" s="209"/>
      <c r="HLB27" s="209"/>
      <c r="HLC27" s="209"/>
      <c r="HLD27" s="209"/>
      <c r="HLE27" s="209"/>
      <c r="HLF27" s="209"/>
      <c r="HLG27" s="209"/>
      <c r="HLH27" s="209"/>
      <c r="HLI27" s="209"/>
      <c r="HLJ27" s="209"/>
      <c r="HLK27" s="209"/>
      <c r="HLL27" s="209"/>
      <c r="HLM27" s="209"/>
      <c r="HLN27" s="209"/>
      <c r="HLO27" s="209"/>
      <c r="HLP27" s="209"/>
      <c r="HLQ27" s="209"/>
      <c r="HLR27" s="209"/>
      <c r="HLS27" s="209"/>
      <c r="HLT27" s="209"/>
      <c r="HLU27" s="209"/>
      <c r="HLV27" s="209"/>
      <c r="HLW27" s="209"/>
      <c r="HLX27" s="209"/>
      <c r="HLY27" s="209"/>
      <c r="HLZ27" s="209"/>
      <c r="HMA27" s="209"/>
      <c r="HMB27" s="209"/>
      <c r="HMC27" s="209"/>
      <c r="HMD27" s="209"/>
      <c r="HME27" s="209"/>
      <c r="HMF27" s="209"/>
      <c r="HMG27" s="209"/>
      <c r="HMH27" s="209"/>
      <c r="HMI27" s="209"/>
      <c r="HMJ27" s="209"/>
      <c r="HMK27" s="209"/>
      <c r="HML27" s="209"/>
      <c r="HMM27" s="209"/>
      <c r="HMN27" s="209"/>
      <c r="HMO27" s="209"/>
      <c r="HMP27" s="209"/>
      <c r="HMQ27" s="209"/>
      <c r="HMR27" s="209"/>
      <c r="HMS27" s="209"/>
      <c r="HMT27" s="209"/>
      <c r="HMU27" s="209"/>
      <c r="HMV27" s="209"/>
      <c r="HMW27" s="209"/>
      <c r="HMX27" s="209"/>
      <c r="HMY27" s="209"/>
      <c r="HMZ27" s="209"/>
      <c r="HNA27" s="209"/>
      <c r="HNB27" s="209"/>
      <c r="HNC27" s="209"/>
      <c r="HND27" s="209"/>
      <c r="HNE27" s="209"/>
      <c r="HNF27" s="209"/>
      <c r="HNG27" s="209"/>
      <c r="HNH27" s="209"/>
      <c r="HNI27" s="209"/>
      <c r="HNJ27" s="209"/>
      <c r="HNK27" s="209"/>
      <c r="HNL27" s="209"/>
      <c r="HNM27" s="209"/>
      <c r="HNN27" s="209"/>
      <c r="HNO27" s="209"/>
      <c r="HNP27" s="209"/>
      <c r="HNQ27" s="209"/>
      <c r="HNR27" s="209"/>
      <c r="HNS27" s="209"/>
      <c r="HNT27" s="209"/>
      <c r="HNU27" s="209"/>
      <c r="HNV27" s="209"/>
      <c r="HNW27" s="209"/>
      <c r="HNX27" s="209"/>
      <c r="HNY27" s="209"/>
      <c r="HNZ27" s="209"/>
      <c r="HOA27" s="209"/>
      <c r="HOB27" s="209"/>
      <c r="HOC27" s="209"/>
      <c r="HOD27" s="209"/>
      <c r="HOE27" s="209"/>
      <c r="HOF27" s="209"/>
      <c r="HOG27" s="209"/>
      <c r="HOH27" s="209"/>
      <c r="HOI27" s="209"/>
      <c r="HOJ27" s="209"/>
      <c r="HOK27" s="209"/>
      <c r="HOL27" s="209"/>
      <c r="HOM27" s="209"/>
      <c r="HON27" s="209"/>
      <c r="HOO27" s="209"/>
      <c r="HOP27" s="209"/>
      <c r="HOQ27" s="209"/>
      <c r="HOR27" s="209"/>
      <c r="HOS27" s="209"/>
      <c r="HOT27" s="209"/>
      <c r="HOU27" s="209"/>
      <c r="HOV27" s="209"/>
      <c r="HOW27" s="209"/>
      <c r="HOX27" s="209"/>
      <c r="HOY27" s="209"/>
      <c r="HOZ27" s="209"/>
      <c r="HPA27" s="209"/>
      <c r="HPB27" s="209"/>
      <c r="HPC27" s="209"/>
      <c r="HPD27" s="209"/>
      <c r="HPE27" s="209"/>
      <c r="HPF27" s="209"/>
      <c r="HPG27" s="209"/>
      <c r="HPH27" s="209"/>
      <c r="HPI27" s="209"/>
      <c r="HPJ27" s="209"/>
      <c r="HPK27" s="209"/>
      <c r="HPL27" s="209"/>
      <c r="HPM27" s="209"/>
      <c r="HPN27" s="209"/>
      <c r="HPO27" s="209"/>
      <c r="HPP27" s="209"/>
      <c r="HPQ27" s="209"/>
      <c r="HPR27" s="209"/>
      <c r="HPS27" s="209"/>
      <c r="HPT27" s="209"/>
      <c r="HPU27" s="209"/>
      <c r="HPV27" s="209"/>
      <c r="HPW27" s="209"/>
      <c r="HPX27" s="209"/>
      <c r="HPY27" s="209"/>
      <c r="HPZ27" s="209"/>
      <c r="HQA27" s="209"/>
      <c r="HQB27" s="209"/>
      <c r="HQC27" s="209"/>
      <c r="HQD27" s="209"/>
      <c r="HQE27" s="209"/>
      <c r="HQF27" s="209"/>
      <c r="HQG27" s="209"/>
      <c r="HQH27" s="209"/>
      <c r="HQI27" s="209"/>
      <c r="HQJ27" s="209"/>
      <c r="HQK27" s="209"/>
      <c r="HQL27" s="209"/>
      <c r="HQM27" s="209"/>
      <c r="HQN27" s="209"/>
      <c r="HQO27" s="209"/>
      <c r="HQP27" s="209"/>
      <c r="HQQ27" s="209"/>
      <c r="HQR27" s="209"/>
      <c r="HQS27" s="209"/>
      <c r="HQT27" s="209"/>
      <c r="HQU27" s="209"/>
      <c r="HQV27" s="209"/>
      <c r="HQW27" s="209"/>
      <c r="HQX27" s="209"/>
      <c r="HQY27" s="209"/>
      <c r="HQZ27" s="209"/>
      <c r="HRA27" s="209"/>
      <c r="HRB27" s="209"/>
      <c r="HRC27" s="209"/>
      <c r="HRD27" s="209"/>
      <c r="HRE27" s="209"/>
      <c r="HRF27" s="209"/>
      <c r="HRG27" s="209"/>
      <c r="HRH27" s="209"/>
      <c r="HRI27" s="209"/>
      <c r="HRJ27" s="209"/>
      <c r="HRK27" s="209"/>
      <c r="HRL27" s="209"/>
      <c r="HRM27" s="209"/>
      <c r="HRN27" s="209"/>
      <c r="HRO27" s="209"/>
      <c r="HRP27" s="209"/>
      <c r="HRQ27" s="209"/>
      <c r="HRR27" s="209"/>
      <c r="HRS27" s="209"/>
      <c r="HRT27" s="209"/>
      <c r="HRU27" s="209"/>
      <c r="HRV27" s="209"/>
      <c r="HRW27" s="209"/>
      <c r="HRX27" s="209"/>
      <c r="HRY27" s="209"/>
      <c r="HRZ27" s="209"/>
      <c r="HSA27" s="209"/>
      <c r="HSB27" s="209"/>
      <c r="HSC27" s="209"/>
      <c r="HSD27" s="209"/>
      <c r="HSE27" s="209"/>
      <c r="HSF27" s="209"/>
      <c r="HSG27" s="209"/>
      <c r="HSH27" s="209"/>
      <c r="HSI27" s="209"/>
      <c r="HSJ27" s="209"/>
      <c r="HSK27" s="209"/>
      <c r="HSL27" s="209"/>
      <c r="HSM27" s="209"/>
      <c r="HSN27" s="209"/>
      <c r="HSO27" s="209"/>
      <c r="HSP27" s="209"/>
      <c r="HSQ27" s="209"/>
      <c r="HSR27" s="209"/>
      <c r="HSS27" s="209"/>
      <c r="HST27" s="209"/>
      <c r="HSU27" s="209"/>
      <c r="HSV27" s="209"/>
      <c r="HSW27" s="209"/>
      <c r="HSX27" s="209"/>
      <c r="HSY27" s="209"/>
      <c r="HSZ27" s="209"/>
      <c r="HTA27" s="209"/>
      <c r="HTB27" s="209"/>
      <c r="HTC27" s="209"/>
      <c r="HTD27" s="209"/>
      <c r="HTE27" s="209"/>
      <c r="HTF27" s="209"/>
      <c r="HTG27" s="209"/>
      <c r="HTH27" s="209"/>
      <c r="HTI27" s="209"/>
      <c r="HTJ27" s="209"/>
      <c r="HTK27" s="209"/>
      <c r="HTL27" s="209"/>
      <c r="HTM27" s="209"/>
      <c r="HTN27" s="209"/>
      <c r="HTO27" s="209"/>
      <c r="HTP27" s="209"/>
      <c r="HTQ27" s="209"/>
      <c r="HTR27" s="209"/>
      <c r="HTS27" s="209"/>
      <c r="HTT27" s="209"/>
      <c r="HTU27" s="209"/>
      <c r="HTV27" s="209"/>
      <c r="HTW27" s="209"/>
      <c r="HTX27" s="209"/>
      <c r="HTY27" s="209"/>
      <c r="HTZ27" s="209"/>
      <c r="HUA27" s="209"/>
      <c r="HUB27" s="209"/>
      <c r="HUC27" s="209"/>
      <c r="HUD27" s="209"/>
      <c r="HUE27" s="209"/>
      <c r="HUF27" s="209"/>
      <c r="HUG27" s="209"/>
      <c r="HUH27" s="209"/>
      <c r="HUI27" s="209"/>
      <c r="HUJ27" s="209"/>
      <c r="HUK27" s="209"/>
      <c r="HUL27" s="209"/>
      <c r="HUM27" s="209"/>
      <c r="HUN27" s="209"/>
      <c r="HUO27" s="209"/>
      <c r="HUP27" s="209"/>
      <c r="HUQ27" s="209"/>
      <c r="HUR27" s="209"/>
      <c r="HUS27" s="209"/>
      <c r="HUT27" s="209"/>
      <c r="HUU27" s="209"/>
      <c r="HUV27" s="209"/>
      <c r="HUW27" s="209"/>
      <c r="HUX27" s="209"/>
      <c r="HUY27" s="209"/>
      <c r="HUZ27" s="209"/>
      <c r="HVA27" s="209"/>
      <c r="HVB27" s="209"/>
      <c r="HVC27" s="209"/>
      <c r="HVD27" s="209"/>
      <c r="HVE27" s="209"/>
      <c r="HVF27" s="209"/>
      <c r="HVG27" s="209"/>
      <c r="HVH27" s="209"/>
      <c r="HVI27" s="209"/>
      <c r="HVJ27" s="209"/>
      <c r="HVK27" s="209"/>
      <c r="HVL27" s="209"/>
      <c r="HVM27" s="209"/>
      <c r="HVN27" s="209"/>
      <c r="HVO27" s="209"/>
      <c r="HVP27" s="209"/>
      <c r="HVQ27" s="209"/>
      <c r="HVR27" s="209"/>
      <c r="HVS27" s="209"/>
      <c r="HVT27" s="209"/>
      <c r="HVU27" s="209"/>
      <c r="HVV27" s="209"/>
      <c r="HVW27" s="209"/>
      <c r="HVX27" s="209"/>
      <c r="HVY27" s="209"/>
      <c r="HVZ27" s="209"/>
      <c r="HWA27" s="209"/>
      <c r="HWB27" s="209"/>
      <c r="HWC27" s="209"/>
      <c r="HWD27" s="209"/>
      <c r="HWE27" s="209"/>
      <c r="HWF27" s="209"/>
      <c r="HWG27" s="209"/>
      <c r="HWH27" s="209"/>
      <c r="HWI27" s="209"/>
      <c r="HWJ27" s="209"/>
      <c r="HWK27" s="209"/>
      <c r="HWL27" s="209"/>
      <c r="HWM27" s="209"/>
      <c r="HWN27" s="209"/>
      <c r="HWO27" s="209"/>
      <c r="HWP27" s="209"/>
      <c r="HWQ27" s="209"/>
      <c r="HWR27" s="209"/>
      <c r="HWS27" s="209"/>
      <c r="HWT27" s="209"/>
      <c r="HWU27" s="209"/>
      <c r="HWV27" s="209"/>
      <c r="HWW27" s="209"/>
      <c r="HWX27" s="209"/>
      <c r="HWY27" s="209"/>
      <c r="HWZ27" s="209"/>
      <c r="HXA27" s="209"/>
      <c r="HXB27" s="209"/>
      <c r="HXC27" s="209"/>
      <c r="HXD27" s="209"/>
      <c r="HXE27" s="209"/>
      <c r="HXF27" s="209"/>
      <c r="HXG27" s="209"/>
      <c r="HXH27" s="209"/>
      <c r="HXI27" s="209"/>
      <c r="HXJ27" s="209"/>
      <c r="HXK27" s="209"/>
      <c r="HXL27" s="209"/>
      <c r="HXM27" s="209"/>
      <c r="HXN27" s="209"/>
      <c r="HXO27" s="209"/>
      <c r="HXP27" s="209"/>
      <c r="HXQ27" s="209"/>
      <c r="HXR27" s="209"/>
      <c r="HXS27" s="209"/>
      <c r="HXT27" s="209"/>
      <c r="HXU27" s="209"/>
      <c r="HXV27" s="209"/>
      <c r="HXW27" s="209"/>
      <c r="HXX27" s="209"/>
      <c r="HXY27" s="209"/>
      <c r="HXZ27" s="209"/>
      <c r="HYA27" s="209"/>
      <c r="HYB27" s="209"/>
      <c r="HYC27" s="209"/>
      <c r="HYD27" s="209"/>
      <c r="HYE27" s="209"/>
      <c r="HYF27" s="209"/>
      <c r="HYG27" s="209"/>
      <c r="HYH27" s="209"/>
      <c r="HYI27" s="209"/>
      <c r="HYJ27" s="209"/>
      <c r="HYK27" s="209"/>
      <c r="HYL27" s="209"/>
      <c r="HYM27" s="209"/>
      <c r="HYN27" s="209"/>
      <c r="HYO27" s="209"/>
      <c r="HYP27" s="209"/>
      <c r="HYQ27" s="209"/>
      <c r="HYR27" s="209"/>
      <c r="HYS27" s="209"/>
      <c r="HYT27" s="209"/>
      <c r="HYU27" s="209"/>
      <c r="HYV27" s="209"/>
      <c r="HYW27" s="209"/>
      <c r="HYX27" s="209"/>
      <c r="HYY27" s="209"/>
      <c r="HYZ27" s="209"/>
      <c r="HZA27" s="209"/>
      <c r="HZB27" s="209"/>
      <c r="HZC27" s="209"/>
      <c r="HZD27" s="209"/>
      <c r="HZE27" s="209"/>
      <c r="HZF27" s="209"/>
      <c r="HZG27" s="209"/>
      <c r="HZH27" s="209"/>
      <c r="HZI27" s="209"/>
      <c r="HZJ27" s="209"/>
      <c r="HZK27" s="209"/>
      <c r="HZL27" s="209"/>
      <c r="HZM27" s="209"/>
      <c r="HZN27" s="209"/>
      <c r="HZO27" s="209"/>
      <c r="HZP27" s="209"/>
      <c r="HZQ27" s="209"/>
      <c r="HZR27" s="209"/>
      <c r="HZS27" s="209"/>
      <c r="HZT27" s="209"/>
      <c r="HZU27" s="209"/>
      <c r="HZV27" s="209"/>
      <c r="HZW27" s="209"/>
      <c r="HZX27" s="209"/>
      <c r="HZY27" s="209"/>
      <c r="HZZ27" s="209"/>
      <c r="IAA27" s="209"/>
      <c r="IAB27" s="209"/>
      <c r="IAC27" s="209"/>
      <c r="IAD27" s="209"/>
      <c r="IAE27" s="209"/>
      <c r="IAF27" s="209"/>
      <c r="IAG27" s="209"/>
      <c r="IAH27" s="209"/>
      <c r="IAI27" s="209"/>
      <c r="IAJ27" s="209"/>
      <c r="IAK27" s="209"/>
      <c r="IAL27" s="209"/>
      <c r="IAM27" s="209"/>
      <c r="IAN27" s="209"/>
      <c r="IAO27" s="209"/>
      <c r="IAP27" s="209"/>
      <c r="IAQ27" s="209"/>
      <c r="IAR27" s="209"/>
      <c r="IAS27" s="209"/>
      <c r="IAT27" s="209"/>
      <c r="IAU27" s="209"/>
      <c r="IAV27" s="209"/>
      <c r="IAW27" s="209"/>
      <c r="IAX27" s="209"/>
      <c r="IAY27" s="209"/>
      <c r="IAZ27" s="209"/>
      <c r="IBA27" s="209"/>
      <c r="IBB27" s="209"/>
      <c r="IBC27" s="209"/>
      <c r="IBD27" s="209"/>
      <c r="IBE27" s="209"/>
      <c r="IBF27" s="209"/>
      <c r="IBG27" s="209"/>
      <c r="IBH27" s="209"/>
      <c r="IBI27" s="209"/>
      <c r="IBJ27" s="209"/>
      <c r="IBK27" s="209"/>
      <c r="IBL27" s="209"/>
      <c r="IBM27" s="209"/>
      <c r="IBN27" s="209"/>
      <c r="IBO27" s="209"/>
      <c r="IBP27" s="209"/>
      <c r="IBQ27" s="209"/>
      <c r="IBR27" s="209"/>
      <c r="IBS27" s="209"/>
      <c r="IBT27" s="209"/>
      <c r="IBU27" s="209"/>
      <c r="IBV27" s="209"/>
      <c r="IBW27" s="209"/>
      <c r="IBX27" s="209"/>
      <c r="IBY27" s="209"/>
      <c r="IBZ27" s="209"/>
      <c r="ICA27" s="209"/>
      <c r="ICB27" s="209"/>
      <c r="ICC27" s="209"/>
      <c r="ICD27" s="209"/>
      <c r="ICE27" s="209"/>
      <c r="ICF27" s="209"/>
      <c r="ICG27" s="209"/>
      <c r="ICH27" s="209"/>
      <c r="ICI27" s="209"/>
      <c r="ICJ27" s="209"/>
      <c r="ICK27" s="209"/>
      <c r="ICL27" s="209"/>
      <c r="ICM27" s="209"/>
      <c r="ICN27" s="209"/>
      <c r="ICO27" s="209"/>
      <c r="ICP27" s="209"/>
      <c r="ICQ27" s="209"/>
      <c r="ICR27" s="209"/>
      <c r="ICS27" s="209"/>
      <c r="ICT27" s="209"/>
      <c r="ICU27" s="209"/>
      <c r="ICV27" s="209"/>
      <c r="ICW27" s="209"/>
      <c r="ICX27" s="209"/>
      <c r="ICY27" s="209"/>
      <c r="ICZ27" s="209"/>
      <c r="IDA27" s="209"/>
      <c r="IDB27" s="209"/>
      <c r="IDC27" s="209"/>
      <c r="IDD27" s="209"/>
      <c r="IDE27" s="209"/>
      <c r="IDF27" s="209"/>
      <c r="IDG27" s="209"/>
      <c r="IDH27" s="209"/>
      <c r="IDI27" s="209"/>
      <c r="IDJ27" s="209"/>
      <c r="IDK27" s="209"/>
      <c r="IDL27" s="209"/>
      <c r="IDM27" s="209"/>
      <c r="IDN27" s="209"/>
      <c r="IDO27" s="209"/>
      <c r="IDP27" s="209"/>
      <c r="IDQ27" s="209"/>
      <c r="IDR27" s="209"/>
      <c r="IDS27" s="209"/>
      <c r="IDT27" s="209"/>
      <c r="IDU27" s="209"/>
      <c r="IDV27" s="209"/>
      <c r="IDW27" s="209"/>
      <c r="IDX27" s="209"/>
      <c r="IDY27" s="209"/>
      <c r="IDZ27" s="209"/>
      <c r="IEA27" s="209"/>
      <c r="IEB27" s="209"/>
      <c r="IEC27" s="209"/>
      <c r="IED27" s="209"/>
      <c r="IEE27" s="209"/>
      <c r="IEF27" s="209"/>
      <c r="IEG27" s="209"/>
      <c r="IEH27" s="209"/>
      <c r="IEI27" s="209"/>
      <c r="IEJ27" s="209"/>
      <c r="IEK27" s="209"/>
      <c r="IEL27" s="209"/>
      <c r="IEM27" s="209"/>
      <c r="IEN27" s="209"/>
      <c r="IEO27" s="209"/>
      <c r="IEP27" s="209"/>
      <c r="IEQ27" s="209"/>
      <c r="IER27" s="209"/>
      <c r="IES27" s="209"/>
      <c r="IET27" s="209"/>
      <c r="IEU27" s="209"/>
      <c r="IEV27" s="209"/>
      <c r="IEW27" s="209"/>
      <c r="IEX27" s="209"/>
      <c r="IEY27" s="209"/>
      <c r="IEZ27" s="209"/>
      <c r="IFA27" s="209"/>
      <c r="IFB27" s="209"/>
      <c r="IFC27" s="209"/>
      <c r="IFD27" s="209"/>
      <c r="IFE27" s="209"/>
      <c r="IFF27" s="209"/>
      <c r="IFG27" s="209"/>
      <c r="IFH27" s="209"/>
      <c r="IFI27" s="209"/>
      <c r="IFJ27" s="209"/>
      <c r="IFK27" s="209"/>
      <c r="IFL27" s="209"/>
      <c r="IFM27" s="209"/>
      <c r="IFN27" s="209"/>
      <c r="IFO27" s="209"/>
      <c r="IFP27" s="209"/>
      <c r="IFQ27" s="209"/>
      <c r="IFR27" s="209"/>
      <c r="IFS27" s="209"/>
      <c r="IFT27" s="209"/>
      <c r="IFU27" s="209"/>
      <c r="IFV27" s="209"/>
      <c r="IFW27" s="209"/>
      <c r="IFX27" s="209"/>
      <c r="IFY27" s="209"/>
      <c r="IFZ27" s="209"/>
      <c r="IGA27" s="209"/>
      <c r="IGB27" s="209"/>
      <c r="IGC27" s="209"/>
      <c r="IGD27" s="209"/>
      <c r="IGE27" s="209"/>
      <c r="IGF27" s="209"/>
      <c r="IGG27" s="209"/>
      <c r="IGH27" s="209"/>
      <c r="IGI27" s="209"/>
      <c r="IGJ27" s="209"/>
      <c r="IGK27" s="209"/>
      <c r="IGL27" s="209"/>
      <c r="IGM27" s="209"/>
      <c r="IGN27" s="209"/>
      <c r="IGO27" s="209"/>
      <c r="IGP27" s="209"/>
      <c r="IGQ27" s="209"/>
      <c r="IGR27" s="209"/>
      <c r="IGS27" s="209"/>
      <c r="IGT27" s="209"/>
      <c r="IGU27" s="209"/>
      <c r="IGV27" s="209"/>
      <c r="IGW27" s="209"/>
      <c r="IGX27" s="209"/>
      <c r="IGY27" s="209"/>
      <c r="IGZ27" s="209"/>
      <c r="IHA27" s="209"/>
      <c r="IHB27" s="209"/>
      <c r="IHC27" s="209"/>
      <c r="IHD27" s="209"/>
      <c r="IHE27" s="209"/>
      <c r="IHF27" s="209"/>
      <c r="IHG27" s="209"/>
      <c r="IHH27" s="209"/>
      <c r="IHI27" s="209"/>
      <c r="IHJ27" s="209"/>
      <c r="IHK27" s="209"/>
      <c r="IHL27" s="209"/>
      <c r="IHM27" s="209"/>
      <c r="IHN27" s="209"/>
      <c r="IHO27" s="209"/>
      <c r="IHP27" s="209"/>
      <c r="IHQ27" s="209"/>
      <c r="IHR27" s="209"/>
      <c r="IHS27" s="209"/>
      <c r="IHT27" s="209"/>
      <c r="IHU27" s="209"/>
      <c r="IHV27" s="209"/>
      <c r="IHW27" s="209"/>
      <c r="IHX27" s="209"/>
      <c r="IHY27" s="209"/>
      <c r="IHZ27" s="209"/>
      <c r="IIA27" s="209"/>
      <c r="IIB27" s="209"/>
      <c r="IIC27" s="209"/>
      <c r="IID27" s="209"/>
      <c r="IIE27" s="209"/>
      <c r="IIF27" s="209"/>
      <c r="IIG27" s="209"/>
      <c r="IIH27" s="209"/>
      <c r="III27" s="209"/>
      <c r="IIJ27" s="209"/>
      <c r="IIK27" s="209"/>
      <c r="IIL27" s="209"/>
      <c r="IIM27" s="209"/>
      <c r="IIN27" s="209"/>
      <c r="IIO27" s="209"/>
      <c r="IIP27" s="209"/>
      <c r="IIQ27" s="209"/>
      <c r="IIR27" s="209"/>
      <c r="IIS27" s="209"/>
      <c r="IIT27" s="209"/>
      <c r="IIU27" s="209"/>
      <c r="IIV27" s="209"/>
      <c r="IIW27" s="209"/>
      <c r="IIX27" s="209"/>
      <c r="IIY27" s="209"/>
      <c r="IIZ27" s="209"/>
      <c r="IJA27" s="209"/>
      <c r="IJB27" s="209"/>
      <c r="IJC27" s="209"/>
      <c r="IJD27" s="209"/>
      <c r="IJE27" s="209"/>
      <c r="IJF27" s="209"/>
      <c r="IJG27" s="209"/>
      <c r="IJH27" s="209"/>
      <c r="IJI27" s="209"/>
      <c r="IJJ27" s="209"/>
      <c r="IJK27" s="209"/>
      <c r="IJL27" s="209"/>
      <c r="IJM27" s="209"/>
      <c r="IJN27" s="209"/>
      <c r="IJO27" s="209"/>
      <c r="IJP27" s="209"/>
      <c r="IJQ27" s="209"/>
      <c r="IJR27" s="209"/>
      <c r="IJS27" s="209"/>
      <c r="IJT27" s="209"/>
      <c r="IJU27" s="209"/>
      <c r="IJV27" s="209"/>
      <c r="IJW27" s="209"/>
      <c r="IJX27" s="209"/>
      <c r="IJY27" s="209"/>
      <c r="IJZ27" s="209"/>
      <c r="IKA27" s="209"/>
      <c r="IKB27" s="209"/>
      <c r="IKC27" s="209"/>
      <c r="IKD27" s="209"/>
      <c r="IKE27" s="209"/>
      <c r="IKF27" s="209"/>
      <c r="IKG27" s="209"/>
      <c r="IKH27" s="209"/>
      <c r="IKI27" s="209"/>
      <c r="IKJ27" s="209"/>
      <c r="IKK27" s="209"/>
      <c r="IKL27" s="209"/>
      <c r="IKM27" s="209"/>
      <c r="IKN27" s="209"/>
      <c r="IKO27" s="209"/>
      <c r="IKP27" s="209"/>
      <c r="IKQ27" s="209"/>
      <c r="IKR27" s="209"/>
      <c r="IKS27" s="209"/>
      <c r="IKT27" s="209"/>
      <c r="IKU27" s="209"/>
      <c r="IKV27" s="209"/>
      <c r="IKW27" s="209"/>
      <c r="IKX27" s="209"/>
      <c r="IKY27" s="209"/>
      <c r="IKZ27" s="209"/>
      <c r="ILA27" s="209"/>
      <c r="ILB27" s="209"/>
      <c r="ILC27" s="209"/>
      <c r="ILD27" s="209"/>
      <c r="ILE27" s="209"/>
      <c r="ILF27" s="209"/>
      <c r="ILG27" s="209"/>
      <c r="ILH27" s="209"/>
      <c r="ILI27" s="209"/>
      <c r="ILJ27" s="209"/>
      <c r="ILK27" s="209"/>
      <c r="ILL27" s="209"/>
      <c r="ILM27" s="209"/>
      <c r="ILN27" s="209"/>
      <c r="ILO27" s="209"/>
      <c r="ILP27" s="209"/>
      <c r="ILQ27" s="209"/>
      <c r="ILR27" s="209"/>
      <c r="ILS27" s="209"/>
      <c r="ILT27" s="209"/>
      <c r="ILU27" s="209"/>
      <c r="ILV27" s="209"/>
      <c r="ILW27" s="209"/>
      <c r="ILX27" s="209"/>
      <c r="ILY27" s="209"/>
      <c r="ILZ27" s="209"/>
      <c r="IMA27" s="209"/>
      <c r="IMB27" s="209"/>
      <c r="IMC27" s="209"/>
      <c r="IMD27" s="209"/>
      <c r="IME27" s="209"/>
      <c r="IMF27" s="209"/>
      <c r="IMG27" s="209"/>
      <c r="IMH27" s="209"/>
      <c r="IMI27" s="209"/>
      <c r="IMJ27" s="209"/>
      <c r="IMK27" s="209"/>
      <c r="IML27" s="209"/>
      <c r="IMM27" s="209"/>
      <c r="IMN27" s="209"/>
      <c r="IMO27" s="209"/>
      <c r="IMP27" s="209"/>
      <c r="IMQ27" s="209"/>
      <c r="IMR27" s="209"/>
      <c r="IMS27" s="209"/>
      <c r="IMT27" s="209"/>
      <c r="IMU27" s="209"/>
      <c r="IMV27" s="209"/>
      <c r="IMW27" s="209"/>
      <c r="IMX27" s="209"/>
      <c r="IMY27" s="209"/>
      <c r="IMZ27" s="209"/>
      <c r="INA27" s="209"/>
      <c r="INB27" s="209"/>
      <c r="INC27" s="209"/>
      <c r="IND27" s="209"/>
      <c r="INE27" s="209"/>
      <c r="INF27" s="209"/>
      <c r="ING27" s="209"/>
      <c r="INH27" s="209"/>
      <c r="INI27" s="209"/>
      <c r="INJ27" s="209"/>
      <c r="INK27" s="209"/>
      <c r="INL27" s="209"/>
      <c r="INM27" s="209"/>
      <c r="INN27" s="209"/>
      <c r="INO27" s="209"/>
      <c r="INP27" s="209"/>
      <c r="INQ27" s="209"/>
      <c r="INR27" s="209"/>
      <c r="INS27" s="209"/>
      <c r="INT27" s="209"/>
      <c r="INU27" s="209"/>
      <c r="INV27" s="209"/>
      <c r="INW27" s="209"/>
      <c r="INX27" s="209"/>
      <c r="INY27" s="209"/>
      <c r="INZ27" s="209"/>
      <c r="IOA27" s="209"/>
      <c r="IOB27" s="209"/>
      <c r="IOC27" s="209"/>
      <c r="IOD27" s="209"/>
      <c r="IOE27" s="209"/>
      <c r="IOF27" s="209"/>
      <c r="IOG27" s="209"/>
      <c r="IOH27" s="209"/>
      <c r="IOI27" s="209"/>
      <c r="IOJ27" s="209"/>
      <c r="IOK27" s="209"/>
      <c r="IOL27" s="209"/>
      <c r="IOM27" s="209"/>
      <c r="ION27" s="209"/>
      <c r="IOO27" s="209"/>
      <c r="IOP27" s="209"/>
      <c r="IOQ27" s="209"/>
      <c r="IOR27" s="209"/>
      <c r="IOS27" s="209"/>
      <c r="IOT27" s="209"/>
      <c r="IOU27" s="209"/>
      <c r="IOV27" s="209"/>
      <c r="IOW27" s="209"/>
      <c r="IOX27" s="209"/>
      <c r="IOY27" s="209"/>
      <c r="IOZ27" s="209"/>
      <c r="IPA27" s="209"/>
      <c r="IPB27" s="209"/>
      <c r="IPC27" s="209"/>
      <c r="IPD27" s="209"/>
      <c r="IPE27" s="209"/>
      <c r="IPF27" s="209"/>
      <c r="IPG27" s="209"/>
      <c r="IPH27" s="209"/>
      <c r="IPI27" s="209"/>
      <c r="IPJ27" s="209"/>
      <c r="IPK27" s="209"/>
      <c r="IPL27" s="209"/>
      <c r="IPM27" s="209"/>
      <c r="IPN27" s="209"/>
      <c r="IPO27" s="209"/>
      <c r="IPP27" s="209"/>
      <c r="IPQ27" s="209"/>
      <c r="IPR27" s="209"/>
      <c r="IPS27" s="209"/>
      <c r="IPT27" s="209"/>
      <c r="IPU27" s="209"/>
      <c r="IPV27" s="209"/>
      <c r="IPW27" s="209"/>
      <c r="IPX27" s="209"/>
      <c r="IPY27" s="209"/>
      <c r="IPZ27" s="209"/>
      <c r="IQA27" s="209"/>
      <c r="IQB27" s="209"/>
      <c r="IQC27" s="209"/>
      <c r="IQD27" s="209"/>
      <c r="IQE27" s="209"/>
      <c r="IQF27" s="209"/>
      <c r="IQG27" s="209"/>
      <c r="IQH27" s="209"/>
      <c r="IQI27" s="209"/>
      <c r="IQJ27" s="209"/>
      <c r="IQK27" s="209"/>
      <c r="IQL27" s="209"/>
      <c r="IQM27" s="209"/>
      <c r="IQN27" s="209"/>
      <c r="IQO27" s="209"/>
      <c r="IQP27" s="209"/>
      <c r="IQQ27" s="209"/>
      <c r="IQR27" s="209"/>
      <c r="IQS27" s="209"/>
      <c r="IQT27" s="209"/>
      <c r="IQU27" s="209"/>
      <c r="IQV27" s="209"/>
      <c r="IQW27" s="209"/>
      <c r="IQX27" s="209"/>
      <c r="IQY27" s="209"/>
      <c r="IQZ27" s="209"/>
      <c r="IRA27" s="209"/>
      <c r="IRB27" s="209"/>
      <c r="IRC27" s="209"/>
      <c r="IRD27" s="209"/>
      <c r="IRE27" s="209"/>
      <c r="IRF27" s="209"/>
      <c r="IRG27" s="209"/>
      <c r="IRH27" s="209"/>
      <c r="IRI27" s="209"/>
      <c r="IRJ27" s="209"/>
      <c r="IRK27" s="209"/>
      <c r="IRL27" s="209"/>
      <c r="IRM27" s="209"/>
      <c r="IRN27" s="209"/>
      <c r="IRO27" s="209"/>
      <c r="IRP27" s="209"/>
      <c r="IRQ27" s="209"/>
      <c r="IRR27" s="209"/>
      <c r="IRS27" s="209"/>
      <c r="IRT27" s="209"/>
      <c r="IRU27" s="209"/>
      <c r="IRV27" s="209"/>
      <c r="IRW27" s="209"/>
      <c r="IRX27" s="209"/>
      <c r="IRY27" s="209"/>
      <c r="IRZ27" s="209"/>
      <c r="ISA27" s="209"/>
      <c r="ISB27" s="209"/>
      <c r="ISC27" s="209"/>
      <c r="ISD27" s="209"/>
      <c r="ISE27" s="209"/>
      <c r="ISF27" s="209"/>
      <c r="ISG27" s="209"/>
      <c r="ISH27" s="209"/>
      <c r="ISI27" s="209"/>
      <c r="ISJ27" s="209"/>
      <c r="ISK27" s="209"/>
      <c r="ISL27" s="209"/>
      <c r="ISM27" s="209"/>
      <c r="ISN27" s="209"/>
      <c r="ISO27" s="209"/>
      <c r="ISP27" s="209"/>
      <c r="ISQ27" s="209"/>
      <c r="ISR27" s="209"/>
      <c r="ISS27" s="209"/>
      <c r="IST27" s="209"/>
      <c r="ISU27" s="209"/>
      <c r="ISV27" s="209"/>
      <c r="ISW27" s="209"/>
      <c r="ISX27" s="209"/>
      <c r="ISY27" s="209"/>
      <c r="ISZ27" s="209"/>
      <c r="ITA27" s="209"/>
      <c r="ITB27" s="209"/>
      <c r="ITC27" s="209"/>
      <c r="ITD27" s="209"/>
      <c r="ITE27" s="209"/>
      <c r="ITF27" s="209"/>
      <c r="ITG27" s="209"/>
      <c r="ITH27" s="209"/>
      <c r="ITI27" s="209"/>
      <c r="ITJ27" s="209"/>
      <c r="ITK27" s="209"/>
      <c r="ITL27" s="209"/>
      <c r="ITM27" s="209"/>
      <c r="ITN27" s="209"/>
      <c r="ITO27" s="209"/>
      <c r="ITP27" s="209"/>
      <c r="ITQ27" s="209"/>
      <c r="ITR27" s="209"/>
      <c r="ITS27" s="209"/>
      <c r="ITT27" s="209"/>
      <c r="ITU27" s="209"/>
      <c r="ITV27" s="209"/>
      <c r="ITW27" s="209"/>
      <c r="ITX27" s="209"/>
      <c r="ITY27" s="209"/>
      <c r="ITZ27" s="209"/>
      <c r="IUA27" s="209"/>
      <c r="IUB27" s="209"/>
      <c r="IUC27" s="209"/>
      <c r="IUD27" s="209"/>
      <c r="IUE27" s="209"/>
      <c r="IUF27" s="209"/>
      <c r="IUG27" s="209"/>
      <c r="IUH27" s="209"/>
      <c r="IUI27" s="209"/>
      <c r="IUJ27" s="209"/>
      <c r="IUK27" s="209"/>
      <c r="IUL27" s="209"/>
      <c r="IUM27" s="209"/>
      <c r="IUN27" s="209"/>
      <c r="IUO27" s="209"/>
      <c r="IUP27" s="209"/>
      <c r="IUQ27" s="209"/>
      <c r="IUR27" s="209"/>
      <c r="IUS27" s="209"/>
      <c r="IUT27" s="209"/>
      <c r="IUU27" s="209"/>
      <c r="IUV27" s="209"/>
      <c r="IUW27" s="209"/>
      <c r="IUX27" s="209"/>
      <c r="IUY27" s="209"/>
      <c r="IUZ27" s="209"/>
      <c r="IVA27" s="209"/>
      <c r="IVB27" s="209"/>
      <c r="IVC27" s="209"/>
      <c r="IVD27" s="209"/>
      <c r="IVE27" s="209"/>
      <c r="IVF27" s="209"/>
      <c r="IVG27" s="209"/>
      <c r="IVH27" s="209"/>
      <c r="IVI27" s="209"/>
      <c r="IVJ27" s="209"/>
      <c r="IVK27" s="209"/>
      <c r="IVL27" s="209"/>
      <c r="IVM27" s="209"/>
      <c r="IVN27" s="209"/>
      <c r="IVO27" s="209"/>
      <c r="IVP27" s="209"/>
      <c r="IVQ27" s="209"/>
      <c r="IVR27" s="209"/>
      <c r="IVS27" s="209"/>
      <c r="IVT27" s="209"/>
      <c r="IVU27" s="209"/>
      <c r="IVV27" s="209"/>
      <c r="IVW27" s="209"/>
      <c r="IVX27" s="209"/>
      <c r="IVY27" s="209"/>
      <c r="IVZ27" s="209"/>
      <c r="IWA27" s="209"/>
      <c r="IWB27" s="209"/>
      <c r="IWC27" s="209"/>
      <c r="IWD27" s="209"/>
      <c r="IWE27" s="209"/>
      <c r="IWF27" s="209"/>
      <c r="IWG27" s="209"/>
      <c r="IWH27" s="209"/>
      <c r="IWI27" s="209"/>
      <c r="IWJ27" s="209"/>
      <c r="IWK27" s="209"/>
      <c r="IWL27" s="209"/>
      <c r="IWM27" s="209"/>
      <c r="IWN27" s="209"/>
      <c r="IWO27" s="209"/>
      <c r="IWP27" s="209"/>
      <c r="IWQ27" s="209"/>
      <c r="IWR27" s="209"/>
      <c r="IWS27" s="209"/>
      <c r="IWT27" s="209"/>
      <c r="IWU27" s="209"/>
      <c r="IWV27" s="209"/>
      <c r="IWW27" s="209"/>
      <c r="IWX27" s="209"/>
      <c r="IWY27" s="209"/>
      <c r="IWZ27" s="209"/>
      <c r="IXA27" s="209"/>
      <c r="IXB27" s="209"/>
      <c r="IXC27" s="209"/>
      <c r="IXD27" s="209"/>
      <c r="IXE27" s="209"/>
      <c r="IXF27" s="209"/>
      <c r="IXG27" s="209"/>
      <c r="IXH27" s="209"/>
      <c r="IXI27" s="209"/>
      <c r="IXJ27" s="209"/>
      <c r="IXK27" s="209"/>
      <c r="IXL27" s="209"/>
      <c r="IXM27" s="209"/>
      <c r="IXN27" s="209"/>
      <c r="IXO27" s="209"/>
      <c r="IXP27" s="209"/>
      <c r="IXQ27" s="209"/>
      <c r="IXR27" s="209"/>
      <c r="IXS27" s="209"/>
      <c r="IXT27" s="209"/>
      <c r="IXU27" s="209"/>
      <c r="IXV27" s="209"/>
      <c r="IXW27" s="209"/>
      <c r="IXX27" s="209"/>
      <c r="IXY27" s="209"/>
      <c r="IXZ27" s="209"/>
      <c r="IYA27" s="209"/>
      <c r="IYB27" s="209"/>
      <c r="IYC27" s="209"/>
      <c r="IYD27" s="209"/>
      <c r="IYE27" s="209"/>
      <c r="IYF27" s="209"/>
      <c r="IYG27" s="209"/>
      <c r="IYH27" s="209"/>
      <c r="IYI27" s="209"/>
      <c r="IYJ27" s="209"/>
      <c r="IYK27" s="209"/>
      <c r="IYL27" s="209"/>
      <c r="IYM27" s="209"/>
      <c r="IYN27" s="209"/>
      <c r="IYO27" s="209"/>
      <c r="IYP27" s="209"/>
      <c r="IYQ27" s="209"/>
      <c r="IYR27" s="209"/>
      <c r="IYS27" s="209"/>
      <c r="IYT27" s="209"/>
      <c r="IYU27" s="209"/>
      <c r="IYV27" s="209"/>
      <c r="IYW27" s="209"/>
      <c r="IYX27" s="209"/>
      <c r="IYY27" s="209"/>
      <c r="IYZ27" s="209"/>
      <c r="IZA27" s="209"/>
      <c r="IZB27" s="209"/>
      <c r="IZC27" s="209"/>
      <c r="IZD27" s="209"/>
      <c r="IZE27" s="209"/>
      <c r="IZF27" s="209"/>
      <c r="IZG27" s="209"/>
      <c r="IZH27" s="209"/>
      <c r="IZI27" s="209"/>
      <c r="IZJ27" s="209"/>
      <c r="IZK27" s="209"/>
      <c r="IZL27" s="209"/>
      <c r="IZM27" s="209"/>
      <c r="IZN27" s="209"/>
      <c r="IZO27" s="209"/>
      <c r="IZP27" s="209"/>
      <c r="IZQ27" s="209"/>
      <c r="IZR27" s="209"/>
      <c r="IZS27" s="209"/>
      <c r="IZT27" s="209"/>
      <c r="IZU27" s="209"/>
      <c r="IZV27" s="209"/>
      <c r="IZW27" s="209"/>
      <c r="IZX27" s="209"/>
      <c r="IZY27" s="209"/>
      <c r="IZZ27" s="209"/>
      <c r="JAA27" s="209"/>
      <c r="JAB27" s="209"/>
      <c r="JAC27" s="209"/>
      <c r="JAD27" s="209"/>
      <c r="JAE27" s="209"/>
      <c r="JAF27" s="209"/>
      <c r="JAG27" s="209"/>
      <c r="JAH27" s="209"/>
      <c r="JAI27" s="209"/>
      <c r="JAJ27" s="209"/>
      <c r="JAK27" s="209"/>
      <c r="JAL27" s="209"/>
      <c r="JAM27" s="209"/>
      <c r="JAN27" s="209"/>
      <c r="JAO27" s="209"/>
      <c r="JAP27" s="209"/>
      <c r="JAQ27" s="209"/>
      <c r="JAR27" s="209"/>
      <c r="JAS27" s="209"/>
      <c r="JAT27" s="209"/>
      <c r="JAU27" s="209"/>
      <c r="JAV27" s="209"/>
      <c r="JAW27" s="209"/>
      <c r="JAX27" s="209"/>
      <c r="JAY27" s="209"/>
      <c r="JAZ27" s="209"/>
      <c r="JBA27" s="209"/>
      <c r="JBB27" s="209"/>
      <c r="JBC27" s="209"/>
      <c r="JBD27" s="209"/>
      <c r="JBE27" s="209"/>
      <c r="JBF27" s="209"/>
      <c r="JBG27" s="209"/>
      <c r="JBH27" s="209"/>
      <c r="JBI27" s="209"/>
      <c r="JBJ27" s="209"/>
      <c r="JBK27" s="209"/>
      <c r="JBL27" s="209"/>
      <c r="JBM27" s="209"/>
      <c r="JBN27" s="209"/>
      <c r="JBO27" s="209"/>
      <c r="JBP27" s="209"/>
      <c r="JBQ27" s="209"/>
      <c r="JBR27" s="209"/>
      <c r="JBS27" s="209"/>
      <c r="JBT27" s="209"/>
      <c r="JBU27" s="209"/>
      <c r="JBV27" s="209"/>
      <c r="JBW27" s="209"/>
      <c r="JBX27" s="209"/>
      <c r="JBY27" s="209"/>
      <c r="JBZ27" s="209"/>
      <c r="JCA27" s="209"/>
      <c r="JCB27" s="209"/>
      <c r="JCC27" s="209"/>
      <c r="JCD27" s="209"/>
      <c r="JCE27" s="209"/>
      <c r="JCF27" s="209"/>
      <c r="JCG27" s="209"/>
      <c r="JCH27" s="209"/>
      <c r="JCI27" s="209"/>
      <c r="JCJ27" s="209"/>
      <c r="JCK27" s="209"/>
      <c r="JCL27" s="209"/>
      <c r="JCM27" s="209"/>
      <c r="JCN27" s="209"/>
      <c r="JCO27" s="209"/>
      <c r="JCP27" s="209"/>
      <c r="JCQ27" s="209"/>
      <c r="JCR27" s="209"/>
      <c r="JCS27" s="209"/>
      <c r="JCT27" s="209"/>
      <c r="JCU27" s="209"/>
      <c r="JCV27" s="209"/>
      <c r="JCW27" s="209"/>
      <c r="JCX27" s="209"/>
      <c r="JCY27" s="209"/>
      <c r="JCZ27" s="209"/>
      <c r="JDA27" s="209"/>
      <c r="JDB27" s="209"/>
      <c r="JDC27" s="209"/>
      <c r="JDD27" s="209"/>
      <c r="JDE27" s="209"/>
      <c r="JDF27" s="209"/>
      <c r="JDG27" s="209"/>
      <c r="JDH27" s="209"/>
      <c r="JDI27" s="209"/>
      <c r="JDJ27" s="209"/>
      <c r="JDK27" s="209"/>
      <c r="JDL27" s="209"/>
      <c r="JDM27" s="209"/>
      <c r="JDN27" s="209"/>
      <c r="JDO27" s="209"/>
      <c r="JDP27" s="209"/>
      <c r="JDQ27" s="209"/>
      <c r="JDR27" s="209"/>
      <c r="JDS27" s="209"/>
      <c r="JDT27" s="209"/>
      <c r="JDU27" s="209"/>
      <c r="JDV27" s="209"/>
      <c r="JDW27" s="209"/>
      <c r="JDX27" s="209"/>
      <c r="JDY27" s="209"/>
      <c r="JDZ27" s="209"/>
      <c r="JEA27" s="209"/>
      <c r="JEB27" s="209"/>
      <c r="JEC27" s="209"/>
      <c r="JED27" s="209"/>
      <c r="JEE27" s="209"/>
      <c r="JEF27" s="209"/>
      <c r="JEG27" s="209"/>
      <c r="JEH27" s="209"/>
      <c r="JEI27" s="209"/>
      <c r="JEJ27" s="209"/>
      <c r="JEK27" s="209"/>
      <c r="JEL27" s="209"/>
      <c r="JEM27" s="209"/>
      <c r="JEN27" s="209"/>
      <c r="JEO27" s="209"/>
      <c r="JEP27" s="209"/>
      <c r="JEQ27" s="209"/>
      <c r="JER27" s="209"/>
      <c r="JES27" s="209"/>
      <c r="JET27" s="209"/>
      <c r="JEU27" s="209"/>
      <c r="JEV27" s="209"/>
      <c r="JEW27" s="209"/>
      <c r="JEX27" s="209"/>
      <c r="JEY27" s="209"/>
      <c r="JEZ27" s="209"/>
      <c r="JFA27" s="209"/>
      <c r="JFB27" s="209"/>
      <c r="JFC27" s="209"/>
      <c r="JFD27" s="209"/>
      <c r="JFE27" s="209"/>
      <c r="JFF27" s="209"/>
      <c r="JFG27" s="209"/>
      <c r="JFH27" s="209"/>
      <c r="JFI27" s="209"/>
      <c r="JFJ27" s="209"/>
      <c r="JFK27" s="209"/>
      <c r="JFL27" s="209"/>
      <c r="JFM27" s="209"/>
      <c r="JFN27" s="209"/>
      <c r="JFO27" s="209"/>
      <c r="JFP27" s="209"/>
      <c r="JFQ27" s="209"/>
      <c r="JFR27" s="209"/>
      <c r="JFS27" s="209"/>
      <c r="JFT27" s="209"/>
      <c r="JFU27" s="209"/>
      <c r="JFV27" s="209"/>
      <c r="JFW27" s="209"/>
      <c r="JFX27" s="209"/>
      <c r="JFY27" s="209"/>
      <c r="JFZ27" s="209"/>
      <c r="JGA27" s="209"/>
      <c r="JGB27" s="209"/>
      <c r="JGC27" s="209"/>
      <c r="JGD27" s="209"/>
      <c r="JGE27" s="209"/>
      <c r="JGF27" s="209"/>
      <c r="JGG27" s="209"/>
      <c r="JGH27" s="209"/>
      <c r="JGI27" s="209"/>
      <c r="JGJ27" s="209"/>
      <c r="JGK27" s="209"/>
      <c r="JGL27" s="209"/>
      <c r="JGM27" s="209"/>
      <c r="JGN27" s="209"/>
      <c r="JGO27" s="209"/>
      <c r="JGP27" s="209"/>
      <c r="JGQ27" s="209"/>
      <c r="JGR27" s="209"/>
      <c r="JGS27" s="209"/>
      <c r="JGT27" s="209"/>
      <c r="JGU27" s="209"/>
      <c r="JGV27" s="209"/>
      <c r="JGW27" s="209"/>
      <c r="JGX27" s="209"/>
      <c r="JGY27" s="209"/>
      <c r="JGZ27" s="209"/>
      <c r="JHA27" s="209"/>
      <c r="JHB27" s="209"/>
      <c r="JHC27" s="209"/>
      <c r="JHD27" s="209"/>
      <c r="JHE27" s="209"/>
      <c r="JHF27" s="209"/>
      <c r="JHG27" s="209"/>
      <c r="JHH27" s="209"/>
      <c r="JHI27" s="209"/>
      <c r="JHJ27" s="209"/>
      <c r="JHK27" s="209"/>
      <c r="JHL27" s="209"/>
      <c r="JHM27" s="209"/>
      <c r="JHN27" s="209"/>
      <c r="JHO27" s="209"/>
      <c r="JHP27" s="209"/>
      <c r="JHQ27" s="209"/>
      <c r="JHR27" s="209"/>
      <c r="JHS27" s="209"/>
      <c r="JHT27" s="209"/>
      <c r="JHU27" s="209"/>
      <c r="JHV27" s="209"/>
      <c r="JHW27" s="209"/>
      <c r="JHX27" s="209"/>
      <c r="JHY27" s="209"/>
      <c r="JHZ27" s="209"/>
      <c r="JIA27" s="209"/>
      <c r="JIB27" s="209"/>
      <c r="JIC27" s="209"/>
      <c r="JID27" s="209"/>
      <c r="JIE27" s="209"/>
      <c r="JIF27" s="209"/>
      <c r="JIG27" s="209"/>
      <c r="JIH27" s="209"/>
      <c r="JII27" s="209"/>
      <c r="JIJ27" s="209"/>
      <c r="JIK27" s="209"/>
      <c r="JIL27" s="209"/>
      <c r="JIM27" s="209"/>
      <c r="JIN27" s="209"/>
      <c r="JIO27" s="209"/>
      <c r="JIP27" s="209"/>
      <c r="JIQ27" s="209"/>
      <c r="JIR27" s="209"/>
      <c r="JIS27" s="209"/>
      <c r="JIT27" s="209"/>
      <c r="JIU27" s="209"/>
      <c r="JIV27" s="209"/>
      <c r="JIW27" s="209"/>
      <c r="JIX27" s="209"/>
      <c r="JIY27" s="209"/>
      <c r="JIZ27" s="209"/>
      <c r="JJA27" s="209"/>
      <c r="JJB27" s="209"/>
      <c r="JJC27" s="209"/>
      <c r="JJD27" s="209"/>
      <c r="JJE27" s="209"/>
      <c r="JJF27" s="209"/>
      <c r="JJG27" s="209"/>
      <c r="JJH27" s="209"/>
      <c r="JJI27" s="209"/>
      <c r="JJJ27" s="209"/>
      <c r="JJK27" s="209"/>
      <c r="JJL27" s="209"/>
      <c r="JJM27" s="209"/>
      <c r="JJN27" s="209"/>
      <c r="JJO27" s="209"/>
      <c r="JJP27" s="209"/>
      <c r="JJQ27" s="209"/>
      <c r="JJR27" s="209"/>
      <c r="JJS27" s="209"/>
      <c r="JJT27" s="209"/>
      <c r="JJU27" s="209"/>
      <c r="JJV27" s="209"/>
      <c r="JJW27" s="209"/>
      <c r="JJX27" s="209"/>
      <c r="JJY27" s="209"/>
      <c r="JJZ27" s="209"/>
      <c r="JKA27" s="209"/>
      <c r="JKB27" s="209"/>
      <c r="JKC27" s="209"/>
      <c r="JKD27" s="209"/>
      <c r="JKE27" s="209"/>
      <c r="JKF27" s="209"/>
      <c r="JKG27" s="209"/>
      <c r="JKH27" s="209"/>
      <c r="JKI27" s="209"/>
      <c r="JKJ27" s="209"/>
      <c r="JKK27" s="209"/>
      <c r="JKL27" s="209"/>
      <c r="JKM27" s="209"/>
      <c r="JKN27" s="209"/>
      <c r="JKO27" s="209"/>
      <c r="JKP27" s="209"/>
      <c r="JKQ27" s="209"/>
      <c r="JKR27" s="209"/>
      <c r="JKS27" s="209"/>
      <c r="JKT27" s="209"/>
      <c r="JKU27" s="209"/>
      <c r="JKV27" s="209"/>
      <c r="JKW27" s="209"/>
      <c r="JKX27" s="209"/>
      <c r="JKY27" s="209"/>
      <c r="JKZ27" s="209"/>
      <c r="JLA27" s="209"/>
      <c r="JLB27" s="209"/>
      <c r="JLC27" s="209"/>
      <c r="JLD27" s="209"/>
      <c r="JLE27" s="209"/>
      <c r="JLF27" s="209"/>
      <c r="JLG27" s="209"/>
      <c r="JLH27" s="209"/>
      <c r="JLI27" s="209"/>
      <c r="JLJ27" s="209"/>
      <c r="JLK27" s="209"/>
      <c r="JLL27" s="209"/>
      <c r="JLM27" s="209"/>
      <c r="JLN27" s="209"/>
      <c r="JLO27" s="209"/>
      <c r="JLP27" s="209"/>
      <c r="JLQ27" s="209"/>
      <c r="JLR27" s="209"/>
      <c r="JLS27" s="209"/>
      <c r="JLT27" s="209"/>
      <c r="JLU27" s="209"/>
      <c r="JLV27" s="209"/>
      <c r="JLW27" s="209"/>
      <c r="JLX27" s="209"/>
      <c r="JLY27" s="209"/>
      <c r="JLZ27" s="209"/>
      <c r="JMA27" s="209"/>
      <c r="JMB27" s="209"/>
      <c r="JMC27" s="209"/>
      <c r="JMD27" s="209"/>
      <c r="JME27" s="209"/>
      <c r="JMF27" s="209"/>
      <c r="JMG27" s="209"/>
      <c r="JMH27" s="209"/>
      <c r="JMI27" s="209"/>
      <c r="JMJ27" s="209"/>
      <c r="JMK27" s="209"/>
      <c r="JML27" s="209"/>
      <c r="JMM27" s="209"/>
      <c r="JMN27" s="209"/>
      <c r="JMO27" s="209"/>
      <c r="JMP27" s="209"/>
      <c r="JMQ27" s="209"/>
      <c r="JMR27" s="209"/>
      <c r="JMS27" s="209"/>
      <c r="JMT27" s="209"/>
      <c r="JMU27" s="209"/>
      <c r="JMV27" s="209"/>
      <c r="JMW27" s="209"/>
      <c r="JMX27" s="209"/>
      <c r="JMY27" s="209"/>
      <c r="JMZ27" s="209"/>
      <c r="JNA27" s="209"/>
      <c r="JNB27" s="209"/>
      <c r="JNC27" s="209"/>
      <c r="JND27" s="209"/>
      <c r="JNE27" s="209"/>
      <c r="JNF27" s="209"/>
      <c r="JNG27" s="209"/>
      <c r="JNH27" s="209"/>
      <c r="JNI27" s="209"/>
      <c r="JNJ27" s="209"/>
      <c r="JNK27" s="209"/>
      <c r="JNL27" s="209"/>
      <c r="JNM27" s="209"/>
      <c r="JNN27" s="209"/>
      <c r="JNO27" s="209"/>
      <c r="JNP27" s="209"/>
      <c r="JNQ27" s="209"/>
      <c r="JNR27" s="209"/>
      <c r="JNS27" s="209"/>
      <c r="JNT27" s="209"/>
      <c r="JNU27" s="209"/>
      <c r="JNV27" s="209"/>
      <c r="JNW27" s="209"/>
      <c r="JNX27" s="209"/>
      <c r="JNY27" s="209"/>
      <c r="JNZ27" s="209"/>
      <c r="JOA27" s="209"/>
      <c r="JOB27" s="209"/>
      <c r="JOC27" s="209"/>
      <c r="JOD27" s="209"/>
      <c r="JOE27" s="209"/>
      <c r="JOF27" s="209"/>
      <c r="JOG27" s="209"/>
      <c r="JOH27" s="209"/>
      <c r="JOI27" s="209"/>
      <c r="JOJ27" s="209"/>
      <c r="JOK27" s="209"/>
      <c r="JOL27" s="209"/>
      <c r="JOM27" s="209"/>
      <c r="JON27" s="209"/>
      <c r="JOO27" s="209"/>
      <c r="JOP27" s="209"/>
      <c r="JOQ27" s="209"/>
      <c r="JOR27" s="209"/>
      <c r="JOS27" s="209"/>
      <c r="JOT27" s="209"/>
      <c r="JOU27" s="209"/>
      <c r="JOV27" s="209"/>
      <c r="JOW27" s="209"/>
      <c r="JOX27" s="209"/>
      <c r="JOY27" s="209"/>
      <c r="JOZ27" s="209"/>
      <c r="JPA27" s="209"/>
      <c r="JPB27" s="209"/>
      <c r="JPC27" s="209"/>
      <c r="JPD27" s="209"/>
      <c r="JPE27" s="209"/>
      <c r="JPF27" s="209"/>
      <c r="JPG27" s="209"/>
      <c r="JPH27" s="209"/>
      <c r="JPI27" s="209"/>
      <c r="JPJ27" s="209"/>
      <c r="JPK27" s="209"/>
      <c r="JPL27" s="209"/>
      <c r="JPM27" s="209"/>
      <c r="JPN27" s="209"/>
      <c r="JPO27" s="209"/>
      <c r="JPP27" s="209"/>
      <c r="JPQ27" s="209"/>
      <c r="JPR27" s="209"/>
      <c r="JPS27" s="209"/>
      <c r="JPT27" s="209"/>
      <c r="JPU27" s="209"/>
      <c r="JPV27" s="209"/>
      <c r="JPW27" s="209"/>
      <c r="JPX27" s="209"/>
      <c r="JPY27" s="209"/>
      <c r="JPZ27" s="209"/>
      <c r="JQA27" s="209"/>
      <c r="JQB27" s="209"/>
      <c r="JQC27" s="209"/>
      <c r="JQD27" s="209"/>
      <c r="JQE27" s="209"/>
      <c r="JQF27" s="209"/>
      <c r="JQG27" s="209"/>
      <c r="JQH27" s="209"/>
      <c r="JQI27" s="209"/>
      <c r="JQJ27" s="209"/>
      <c r="JQK27" s="209"/>
      <c r="JQL27" s="209"/>
      <c r="JQM27" s="209"/>
      <c r="JQN27" s="209"/>
      <c r="JQO27" s="209"/>
      <c r="JQP27" s="209"/>
      <c r="JQQ27" s="209"/>
      <c r="JQR27" s="209"/>
      <c r="JQS27" s="209"/>
      <c r="JQT27" s="209"/>
      <c r="JQU27" s="209"/>
      <c r="JQV27" s="209"/>
      <c r="JQW27" s="209"/>
      <c r="JQX27" s="209"/>
      <c r="JQY27" s="209"/>
      <c r="JQZ27" s="209"/>
      <c r="JRA27" s="209"/>
      <c r="JRB27" s="209"/>
      <c r="JRC27" s="209"/>
      <c r="JRD27" s="209"/>
      <c r="JRE27" s="209"/>
      <c r="JRF27" s="209"/>
      <c r="JRG27" s="209"/>
      <c r="JRH27" s="209"/>
      <c r="JRI27" s="209"/>
      <c r="JRJ27" s="209"/>
      <c r="JRK27" s="209"/>
      <c r="JRL27" s="209"/>
      <c r="JRM27" s="209"/>
      <c r="JRN27" s="209"/>
      <c r="JRO27" s="209"/>
      <c r="JRP27" s="209"/>
      <c r="JRQ27" s="209"/>
      <c r="JRR27" s="209"/>
      <c r="JRS27" s="209"/>
      <c r="JRT27" s="209"/>
      <c r="JRU27" s="209"/>
      <c r="JRV27" s="209"/>
      <c r="JRW27" s="209"/>
      <c r="JRX27" s="209"/>
      <c r="JRY27" s="209"/>
      <c r="JRZ27" s="209"/>
      <c r="JSA27" s="209"/>
      <c r="JSB27" s="209"/>
      <c r="JSC27" s="209"/>
      <c r="JSD27" s="209"/>
      <c r="JSE27" s="209"/>
      <c r="JSF27" s="209"/>
      <c r="JSG27" s="209"/>
      <c r="JSH27" s="209"/>
      <c r="JSI27" s="209"/>
      <c r="JSJ27" s="209"/>
      <c r="JSK27" s="209"/>
      <c r="JSL27" s="209"/>
      <c r="JSM27" s="209"/>
      <c r="JSN27" s="209"/>
      <c r="JSO27" s="209"/>
      <c r="JSP27" s="209"/>
      <c r="JSQ27" s="209"/>
      <c r="JSR27" s="209"/>
      <c r="JSS27" s="209"/>
      <c r="JST27" s="209"/>
      <c r="JSU27" s="209"/>
      <c r="JSV27" s="209"/>
      <c r="JSW27" s="209"/>
      <c r="JSX27" s="209"/>
      <c r="JSY27" s="209"/>
      <c r="JSZ27" s="209"/>
      <c r="JTA27" s="209"/>
      <c r="JTB27" s="209"/>
      <c r="JTC27" s="209"/>
      <c r="JTD27" s="209"/>
      <c r="JTE27" s="209"/>
      <c r="JTF27" s="209"/>
      <c r="JTG27" s="209"/>
      <c r="JTH27" s="209"/>
      <c r="JTI27" s="209"/>
      <c r="JTJ27" s="209"/>
      <c r="JTK27" s="209"/>
      <c r="JTL27" s="209"/>
      <c r="JTM27" s="209"/>
      <c r="JTN27" s="209"/>
      <c r="JTO27" s="209"/>
      <c r="JTP27" s="209"/>
      <c r="JTQ27" s="209"/>
      <c r="JTR27" s="209"/>
      <c r="JTS27" s="209"/>
      <c r="JTT27" s="209"/>
      <c r="JTU27" s="209"/>
      <c r="JTV27" s="209"/>
      <c r="JTW27" s="209"/>
      <c r="JTX27" s="209"/>
      <c r="JTY27" s="209"/>
      <c r="JTZ27" s="209"/>
      <c r="JUA27" s="209"/>
      <c r="JUB27" s="209"/>
      <c r="JUC27" s="209"/>
      <c r="JUD27" s="209"/>
      <c r="JUE27" s="209"/>
      <c r="JUF27" s="209"/>
      <c r="JUG27" s="209"/>
      <c r="JUH27" s="209"/>
      <c r="JUI27" s="209"/>
      <c r="JUJ27" s="209"/>
      <c r="JUK27" s="209"/>
      <c r="JUL27" s="209"/>
      <c r="JUM27" s="209"/>
      <c r="JUN27" s="209"/>
      <c r="JUO27" s="209"/>
      <c r="JUP27" s="209"/>
      <c r="JUQ27" s="209"/>
      <c r="JUR27" s="209"/>
      <c r="JUS27" s="209"/>
      <c r="JUT27" s="209"/>
      <c r="JUU27" s="209"/>
      <c r="JUV27" s="209"/>
      <c r="JUW27" s="209"/>
      <c r="JUX27" s="209"/>
      <c r="JUY27" s="209"/>
      <c r="JUZ27" s="209"/>
      <c r="JVA27" s="209"/>
      <c r="JVB27" s="209"/>
      <c r="JVC27" s="209"/>
      <c r="JVD27" s="209"/>
      <c r="JVE27" s="209"/>
      <c r="JVF27" s="209"/>
      <c r="JVG27" s="209"/>
      <c r="JVH27" s="209"/>
      <c r="JVI27" s="209"/>
      <c r="JVJ27" s="209"/>
      <c r="JVK27" s="209"/>
      <c r="JVL27" s="209"/>
      <c r="JVM27" s="209"/>
      <c r="JVN27" s="209"/>
      <c r="JVO27" s="209"/>
      <c r="JVP27" s="209"/>
      <c r="JVQ27" s="209"/>
      <c r="JVR27" s="209"/>
      <c r="JVS27" s="209"/>
      <c r="JVT27" s="209"/>
      <c r="JVU27" s="209"/>
      <c r="JVV27" s="209"/>
      <c r="JVW27" s="209"/>
      <c r="JVX27" s="209"/>
      <c r="JVY27" s="209"/>
      <c r="JVZ27" s="209"/>
      <c r="JWA27" s="209"/>
      <c r="JWB27" s="209"/>
      <c r="JWC27" s="209"/>
      <c r="JWD27" s="209"/>
      <c r="JWE27" s="209"/>
      <c r="JWF27" s="209"/>
      <c r="JWG27" s="209"/>
      <c r="JWH27" s="209"/>
      <c r="JWI27" s="209"/>
      <c r="JWJ27" s="209"/>
      <c r="JWK27" s="209"/>
      <c r="JWL27" s="209"/>
      <c r="JWM27" s="209"/>
      <c r="JWN27" s="209"/>
      <c r="JWO27" s="209"/>
      <c r="JWP27" s="209"/>
      <c r="JWQ27" s="209"/>
      <c r="JWR27" s="209"/>
      <c r="JWS27" s="209"/>
      <c r="JWT27" s="209"/>
      <c r="JWU27" s="209"/>
      <c r="JWV27" s="209"/>
      <c r="JWW27" s="209"/>
      <c r="JWX27" s="209"/>
      <c r="JWY27" s="209"/>
      <c r="JWZ27" s="209"/>
      <c r="JXA27" s="209"/>
      <c r="JXB27" s="209"/>
      <c r="JXC27" s="209"/>
      <c r="JXD27" s="209"/>
      <c r="JXE27" s="209"/>
      <c r="JXF27" s="209"/>
      <c r="JXG27" s="209"/>
      <c r="JXH27" s="209"/>
      <c r="JXI27" s="209"/>
      <c r="JXJ27" s="209"/>
      <c r="JXK27" s="209"/>
      <c r="JXL27" s="209"/>
      <c r="JXM27" s="209"/>
      <c r="JXN27" s="209"/>
      <c r="JXO27" s="209"/>
      <c r="JXP27" s="209"/>
      <c r="JXQ27" s="209"/>
      <c r="JXR27" s="209"/>
      <c r="JXS27" s="209"/>
      <c r="JXT27" s="209"/>
      <c r="JXU27" s="209"/>
      <c r="JXV27" s="209"/>
      <c r="JXW27" s="209"/>
      <c r="JXX27" s="209"/>
      <c r="JXY27" s="209"/>
      <c r="JXZ27" s="209"/>
      <c r="JYA27" s="209"/>
      <c r="JYB27" s="209"/>
      <c r="JYC27" s="209"/>
      <c r="JYD27" s="209"/>
      <c r="JYE27" s="209"/>
      <c r="JYF27" s="209"/>
      <c r="JYG27" s="209"/>
      <c r="JYH27" s="209"/>
      <c r="JYI27" s="209"/>
      <c r="JYJ27" s="209"/>
      <c r="JYK27" s="209"/>
      <c r="JYL27" s="209"/>
      <c r="JYM27" s="209"/>
      <c r="JYN27" s="209"/>
      <c r="JYO27" s="209"/>
      <c r="JYP27" s="209"/>
      <c r="JYQ27" s="209"/>
      <c r="JYR27" s="209"/>
      <c r="JYS27" s="209"/>
      <c r="JYT27" s="209"/>
      <c r="JYU27" s="209"/>
      <c r="JYV27" s="209"/>
      <c r="JYW27" s="209"/>
      <c r="JYX27" s="209"/>
      <c r="JYY27" s="209"/>
      <c r="JYZ27" s="209"/>
      <c r="JZA27" s="209"/>
      <c r="JZB27" s="209"/>
      <c r="JZC27" s="209"/>
      <c r="JZD27" s="209"/>
      <c r="JZE27" s="209"/>
      <c r="JZF27" s="209"/>
      <c r="JZG27" s="209"/>
      <c r="JZH27" s="209"/>
      <c r="JZI27" s="209"/>
      <c r="JZJ27" s="209"/>
      <c r="JZK27" s="209"/>
      <c r="JZL27" s="209"/>
      <c r="JZM27" s="209"/>
      <c r="JZN27" s="209"/>
      <c r="JZO27" s="209"/>
      <c r="JZP27" s="209"/>
      <c r="JZQ27" s="209"/>
      <c r="JZR27" s="209"/>
      <c r="JZS27" s="209"/>
      <c r="JZT27" s="209"/>
      <c r="JZU27" s="209"/>
      <c r="JZV27" s="209"/>
      <c r="JZW27" s="209"/>
      <c r="JZX27" s="209"/>
      <c r="JZY27" s="209"/>
      <c r="JZZ27" s="209"/>
      <c r="KAA27" s="209"/>
      <c r="KAB27" s="209"/>
      <c r="KAC27" s="209"/>
      <c r="KAD27" s="209"/>
      <c r="KAE27" s="209"/>
      <c r="KAF27" s="209"/>
      <c r="KAG27" s="209"/>
      <c r="KAH27" s="209"/>
      <c r="KAI27" s="209"/>
      <c r="KAJ27" s="209"/>
      <c r="KAK27" s="209"/>
      <c r="KAL27" s="209"/>
      <c r="KAM27" s="209"/>
      <c r="KAN27" s="209"/>
      <c r="KAO27" s="209"/>
      <c r="KAP27" s="209"/>
      <c r="KAQ27" s="209"/>
      <c r="KAR27" s="209"/>
      <c r="KAS27" s="209"/>
      <c r="KAT27" s="209"/>
      <c r="KAU27" s="209"/>
      <c r="KAV27" s="209"/>
      <c r="KAW27" s="209"/>
      <c r="KAX27" s="209"/>
      <c r="KAY27" s="209"/>
      <c r="KAZ27" s="209"/>
      <c r="KBA27" s="209"/>
      <c r="KBB27" s="209"/>
      <c r="KBC27" s="209"/>
      <c r="KBD27" s="209"/>
      <c r="KBE27" s="209"/>
      <c r="KBF27" s="209"/>
      <c r="KBG27" s="209"/>
      <c r="KBH27" s="209"/>
      <c r="KBI27" s="209"/>
      <c r="KBJ27" s="209"/>
      <c r="KBK27" s="209"/>
      <c r="KBL27" s="209"/>
      <c r="KBM27" s="209"/>
      <c r="KBN27" s="209"/>
      <c r="KBO27" s="209"/>
      <c r="KBP27" s="209"/>
      <c r="KBQ27" s="209"/>
      <c r="KBR27" s="209"/>
      <c r="KBS27" s="209"/>
      <c r="KBT27" s="209"/>
      <c r="KBU27" s="209"/>
      <c r="KBV27" s="209"/>
      <c r="KBW27" s="209"/>
      <c r="KBX27" s="209"/>
      <c r="KBY27" s="209"/>
      <c r="KBZ27" s="209"/>
      <c r="KCA27" s="209"/>
      <c r="KCB27" s="209"/>
      <c r="KCC27" s="209"/>
      <c r="KCD27" s="209"/>
      <c r="KCE27" s="209"/>
      <c r="KCF27" s="209"/>
      <c r="KCG27" s="209"/>
      <c r="KCH27" s="209"/>
      <c r="KCI27" s="209"/>
      <c r="KCJ27" s="209"/>
      <c r="KCK27" s="209"/>
      <c r="KCL27" s="209"/>
      <c r="KCM27" s="209"/>
      <c r="KCN27" s="209"/>
      <c r="KCO27" s="209"/>
      <c r="KCP27" s="209"/>
      <c r="KCQ27" s="209"/>
      <c r="KCR27" s="209"/>
      <c r="KCS27" s="209"/>
      <c r="KCT27" s="209"/>
      <c r="KCU27" s="209"/>
      <c r="KCV27" s="209"/>
      <c r="KCW27" s="209"/>
      <c r="KCX27" s="209"/>
      <c r="KCY27" s="209"/>
      <c r="KCZ27" s="209"/>
      <c r="KDA27" s="209"/>
      <c r="KDB27" s="209"/>
      <c r="KDC27" s="209"/>
      <c r="KDD27" s="209"/>
      <c r="KDE27" s="209"/>
      <c r="KDF27" s="209"/>
      <c r="KDG27" s="209"/>
      <c r="KDH27" s="209"/>
      <c r="KDI27" s="209"/>
      <c r="KDJ27" s="209"/>
      <c r="KDK27" s="209"/>
      <c r="KDL27" s="209"/>
      <c r="KDM27" s="209"/>
      <c r="KDN27" s="209"/>
      <c r="KDO27" s="209"/>
      <c r="KDP27" s="209"/>
      <c r="KDQ27" s="209"/>
      <c r="KDR27" s="209"/>
      <c r="KDS27" s="209"/>
      <c r="KDT27" s="209"/>
      <c r="KDU27" s="209"/>
      <c r="KDV27" s="209"/>
      <c r="KDW27" s="209"/>
      <c r="KDX27" s="209"/>
      <c r="KDY27" s="209"/>
      <c r="KDZ27" s="209"/>
      <c r="KEA27" s="209"/>
      <c r="KEB27" s="209"/>
      <c r="KEC27" s="209"/>
      <c r="KED27" s="209"/>
      <c r="KEE27" s="209"/>
      <c r="KEF27" s="209"/>
      <c r="KEG27" s="209"/>
      <c r="KEH27" s="209"/>
      <c r="KEI27" s="209"/>
      <c r="KEJ27" s="209"/>
      <c r="KEK27" s="209"/>
      <c r="KEL27" s="209"/>
      <c r="KEM27" s="209"/>
      <c r="KEN27" s="209"/>
      <c r="KEO27" s="209"/>
      <c r="KEP27" s="209"/>
      <c r="KEQ27" s="209"/>
      <c r="KER27" s="209"/>
      <c r="KES27" s="209"/>
      <c r="KET27" s="209"/>
      <c r="KEU27" s="209"/>
      <c r="KEV27" s="209"/>
      <c r="KEW27" s="209"/>
      <c r="KEX27" s="209"/>
      <c r="KEY27" s="209"/>
      <c r="KEZ27" s="209"/>
      <c r="KFA27" s="209"/>
      <c r="KFB27" s="209"/>
      <c r="KFC27" s="209"/>
      <c r="KFD27" s="209"/>
      <c r="KFE27" s="209"/>
      <c r="KFF27" s="209"/>
      <c r="KFG27" s="209"/>
      <c r="KFH27" s="209"/>
      <c r="KFI27" s="209"/>
      <c r="KFJ27" s="209"/>
      <c r="KFK27" s="209"/>
      <c r="KFL27" s="209"/>
      <c r="KFM27" s="209"/>
      <c r="KFN27" s="209"/>
      <c r="KFO27" s="209"/>
      <c r="KFP27" s="209"/>
      <c r="KFQ27" s="209"/>
      <c r="KFR27" s="209"/>
      <c r="KFS27" s="209"/>
      <c r="KFT27" s="209"/>
      <c r="KFU27" s="209"/>
      <c r="KFV27" s="209"/>
      <c r="KFW27" s="209"/>
      <c r="KFX27" s="209"/>
      <c r="KFY27" s="209"/>
      <c r="KFZ27" s="209"/>
      <c r="KGA27" s="209"/>
      <c r="KGB27" s="209"/>
      <c r="KGC27" s="209"/>
      <c r="KGD27" s="209"/>
      <c r="KGE27" s="209"/>
      <c r="KGF27" s="209"/>
      <c r="KGG27" s="209"/>
      <c r="KGH27" s="209"/>
      <c r="KGI27" s="209"/>
      <c r="KGJ27" s="209"/>
      <c r="KGK27" s="209"/>
      <c r="KGL27" s="209"/>
      <c r="KGM27" s="209"/>
      <c r="KGN27" s="209"/>
      <c r="KGO27" s="209"/>
      <c r="KGP27" s="209"/>
      <c r="KGQ27" s="209"/>
      <c r="KGR27" s="209"/>
      <c r="KGS27" s="209"/>
      <c r="KGT27" s="209"/>
      <c r="KGU27" s="209"/>
      <c r="KGV27" s="209"/>
      <c r="KGW27" s="209"/>
      <c r="KGX27" s="209"/>
      <c r="KGY27" s="209"/>
      <c r="KGZ27" s="209"/>
      <c r="KHA27" s="209"/>
      <c r="KHB27" s="209"/>
      <c r="KHC27" s="209"/>
      <c r="KHD27" s="209"/>
      <c r="KHE27" s="209"/>
      <c r="KHF27" s="209"/>
      <c r="KHG27" s="209"/>
      <c r="KHH27" s="209"/>
      <c r="KHI27" s="209"/>
      <c r="KHJ27" s="209"/>
      <c r="KHK27" s="209"/>
      <c r="KHL27" s="209"/>
      <c r="KHM27" s="209"/>
      <c r="KHN27" s="209"/>
      <c r="KHO27" s="209"/>
      <c r="KHP27" s="209"/>
      <c r="KHQ27" s="209"/>
      <c r="KHR27" s="209"/>
      <c r="KHS27" s="209"/>
      <c r="KHT27" s="209"/>
      <c r="KHU27" s="209"/>
      <c r="KHV27" s="209"/>
      <c r="KHW27" s="209"/>
      <c r="KHX27" s="209"/>
      <c r="KHY27" s="209"/>
      <c r="KHZ27" s="209"/>
      <c r="KIA27" s="209"/>
      <c r="KIB27" s="209"/>
      <c r="KIC27" s="209"/>
      <c r="KID27" s="209"/>
      <c r="KIE27" s="209"/>
      <c r="KIF27" s="209"/>
      <c r="KIG27" s="209"/>
      <c r="KIH27" s="209"/>
      <c r="KII27" s="209"/>
      <c r="KIJ27" s="209"/>
      <c r="KIK27" s="209"/>
      <c r="KIL27" s="209"/>
      <c r="KIM27" s="209"/>
      <c r="KIN27" s="209"/>
      <c r="KIO27" s="209"/>
      <c r="KIP27" s="209"/>
      <c r="KIQ27" s="209"/>
      <c r="KIR27" s="209"/>
      <c r="KIS27" s="209"/>
      <c r="KIT27" s="209"/>
      <c r="KIU27" s="209"/>
      <c r="KIV27" s="209"/>
      <c r="KIW27" s="209"/>
      <c r="KIX27" s="209"/>
      <c r="KIY27" s="209"/>
      <c r="KIZ27" s="209"/>
      <c r="KJA27" s="209"/>
      <c r="KJB27" s="209"/>
      <c r="KJC27" s="209"/>
      <c r="KJD27" s="209"/>
      <c r="KJE27" s="209"/>
      <c r="KJF27" s="209"/>
      <c r="KJG27" s="209"/>
      <c r="KJH27" s="209"/>
      <c r="KJI27" s="209"/>
      <c r="KJJ27" s="209"/>
      <c r="KJK27" s="209"/>
      <c r="KJL27" s="209"/>
      <c r="KJM27" s="209"/>
      <c r="KJN27" s="209"/>
      <c r="KJO27" s="209"/>
      <c r="KJP27" s="209"/>
      <c r="KJQ27" s="209"/>
      <c r="KJR27" s="209"/>
      <c r="KJS27" s="209"/>
      <c r="KJT27" s="209"/>
      <c r="KJU27" s="209"/>
      <c r="KJV27" s="209"/>
      <c r="KJW27" s="209"/>
      <c r="KJX27" s="209"/>
      <c r="KJY27" s="209"/>
      <c r="KJZ27" s="209"/>
      <c r="KKA27" s="209"/>
      <c r="KKB27" s="209"/>
      <c r="KKC27" s="209"/>
      <c r="KKD27" s="209"/>
      <c r="KKE27" s="209"/>
      <c r="KKF27" s="209"/>
      <c r="KKG27" s="209"/>
      <c r="KKH27" s="209"/>
      <c r="KKI27" s="209"/>
      <c r="KKJ27" s="209"/>
      <c r="KKK27" s="209"/>
      <c r="KKL27" s="209"/>
      <c r="KKM27" s="209"/>
      <c r="KKN27" s="209"/>
      <c r="KKO27" s="209"/>
      <c r="KKP27" s="209"/>
      <c r="KKQ27" s="209"/>
      <c r="KKR27" s="209"/>
      <c r="KKS27" s="209"/>
      <c r="KKT27" s="209"/>
      <c r="KKU27" s="209"/>
      <c r="KKV27" s="209"/>
      <c r="KKW27" s="209"/>
      <c r="KKX27" s="209"/>
      <c r="KKY27" s="209"/>
      <c r="KKZ27" s="209"/>
      <c r="KLA27" s="209"/>
      <c r="KLB27" s="209"/>
      <c r="KLC27" s="209"/>
      <c r="KLD27" s="209"/>
      <c r="KLE27" s="209"/>
      <c r="KLF27" s="209"/>
      <c r="KLG27" s="209"/>
      <c r="KLH27" s="209"/>
      <c r="KLI27" s="209"/>
      <c r="KLJ27" s="209"/>
      <c r="KLK27" s="209"/>
      <c r="KLL27" s="209"/>
      <c r="KLM27" s="209"/>
      <c r="KLN27" s="209"/>
      <c r="KLO27" s="209"/>
      <c r="KLP27" s="209"/>
      <c r="KLQ27" s="209"/>
      <c r="KLR27" s="209"/>
      <c r="KLS27" s="209"/>
      <c r="KLT27" s="209"/>
      <c r="KLU27" s="209"/>
      <c r="KLV27" s="209"/>
      <c r="KLW27" s="209"/>
      <c r="KLX27" s="209"/>
      <c r="KLY27" s="209"/>
      <c r="KLZ27" s="209"/>
      <c r="KMA27" s="209"/>
      <c r="KMB27" s="209"/>
      <c r="KMC27" s="209"/>
      <c r="KMD27" s="209"/>
      <c r="KME27" s="209"/>
      <c r="KMF27" s="209"/>
      <c r="KMG27" s="209"/>
      <c r="KMH27" s="209"/>
      <c r="KMI27" s="209"/>
      <c r="KMJ27" s="209"/>
      <c r="KMK27" s="209"/>
      <c r="KML27" s="209"/>
      <c r="KMM27" s="209"/>
      <c r="KMN27" s="209"/>
      <c r="KMO27" s="209"/>
      <c r="KMP27" s="209"/>
      <c r="KMQ27" s="209"/>
      <c r="KMR27" s="209"/>
      <c r="KMS27" s="209"/>
      <c r="KMT27" s="209"/>
      <c r="KMU27" s="209"/>
      <c r="KMV27" s="209"/>
      <c r="KMW27" s="209"/>
      <c r="KMX27" s="209"/>
      <c r="KMY27" s="209"/>
      <c r="KMZ27" s="209"/>
      <c r="KNA27" s="209"/>
      <c r="KNB27" s="209"/>
      <c r="KNC27" s="209"/>
      <c r="KND27" s="209"/>
      <c r="KNE27" s="209"/>
      <c r="KNF27" s="209"/>
      <c r="KNG27" s="209"/>
      <c r="KNH27" s="209"/>
      <c r="KNI27" s="209"/>
      <c r="KNJ27" s="209"/>
      <c r="KNK27" s="209"/>
      <c r="KNL27" s="209"/>
      <c r="KNM27" s="209"/>
      <c r="KNN27" s="209"/>
      <c r="KNO27" s="209"/>
      <c r="KNP27" s="209"/>
      <c r="KNQ27" s="209"/>
      <c r="KNR27" s="209"/>
      <c r="KNS27" s="209"/>
      <c r="KNT27" s="209"/>
      <c r="KNU27" s="209"/>
      <c r="KNV27" s="209"/>
      <c r="KNW27" s="209"/>
      <c r="KNX27" s="209"/>
      <c r="KNY27" s="209"/>
      <c r="KNZ27" s="209"/>
      <c r="KOA27" s="209"/>
      <c r="KOB27" s="209"/>
      <c r="KOC27" s="209"/>
      <c r="KOD27" s="209"/>
      <c r="KOE27" s="209"/>
      <c r="KOF27" s="209"/>
      <c r="KOG27" s="209"/>
      <c r="KOH27" s="209"/>
      <c r="KOI27" s="209"/>
      <c r="KOJ27" s="209"/>
      <c r="KOK27" s="209"/>
      <c r="KOL27" s="209"/>
      <c r="KOM27" s="209"/>
      <c r="KON27" s="209"/>
      <c r="KOO27" s="209"/>
      <c r="KOP27" s="209"/>
      <c r="KOQ27" s="209"/>
      <c r="KOR27" s="209"/>
      <c r="KOS27" s="209"/>
      <c r="KOT27" s="209"/>
      <c r="KOU27" s="209"/>
      <c r="KOV27" s="209"/>
      <c r="KOW27" s="209"/>
      <c r="KOX27" s="209"/>
      <c r="KOY27" s="209"/>
      <c r="KOZ27" s="209"/>
      <c r="KPA27" s="209"/>
      <c r="KPB27" s="209"/>
      <c r="KPC27" s="209"/>
      <c r="KPD27" s="209"/>
      <c r="KPE27" s="209"/>
      <c r="KPF27" s="209"/>
      <c r="KPG27" s="209"/>
      <c r="KPH27" s="209"/>
      <c r="KPI27" s="209"/>
      <c r="KPJ27" s="209"/>
      <c r="KPK27" s="209"/>
      <c r="KPL27" s="209"/>
      <c r="KPM27" s="209"/>
      <c r="KPN27" s="209"/>
      <c r="KPO27" s="209"/>
      <c r="KPP27" s="209"/>
      <c r="KPQ27" s="209"/>
      <c r="KPR27" s="209"/>
      <c r="KPS27" s="209"/>
      <c r="KPT27" s="209"/>
      <c r="KPU27" s="209"/>
      <c r="KPV27" s="209"/>
      <c r="KPW27" s="209"/>
      <c r="KPX27" s="209"/>
      <c r="KPY27" s="209"/>
      <c r="KPZ27" s="209"/>
      <c r="KQA27" s="209"/>
      <c r="KQB27" s="209"/>
      <c r="KQC27" s="209"/>
      <c r="KQD27" s="209"/>
      <c r="KQE27" s="209"/>
      <c r="KQF27" s="209"/>
      <c r="KQG27" s="209"/>
      <c r="KQH27" s="209"/>
      <c r="KQI27" s="209"/>
      <c r="KQJ27" s="209"/>
      <c r="KQK27" s="209"/>
      <c r="KQL27" s="209"/>
      <c r="KQM27" s="209"/>
      <c r="KQN27" s="209"/>
      <c r="KQO27" s="209"/>
      <c r="KQP27" s="209"/>
      <c r="KQQ27" s="209"/>
      <c r="KQR27" s="209"/>
      <c r="KQS27" s="209"/>
      <c r="KQT27" s="209"/>
      <c r="KQU27" s="209"/>
      <c r="KQV27" s="209"/>
      <c r="KQW27" s="209"/>
      <c r="KQX27" s="209"/>
      <c r="KQY27" s="209"/>
      <c r="KQZ27" s="209"/>
      <c r="KRA27" s="209"/>
      <c r="KRB27" s="209"/>
      <c r="KRC27" s="209"/>
      <c r="KRD27" s="209"/>
      <c r="KRE27" s="209"/>
      <c r="KRF27" s="209"/>
      <c r="KRG27" s="209"/>
      <c r="KRH27" s="209"/>
      <c r="KRI27" s="209"/>
      <c r="KRJ27" s="209"/>
      <c r="KRK27" s="209"/>
      <c r="KRL27" s="209"/>
      <c r="KRM27" s="209"/>
      <c r="KRN27" s="209"/>
      <c r="KRO27" s="209"/>
      <c r="KRP27" s="209"/>
      <c r="KRQ27" s="209"/>
      <c r="KRR27" s="209"/>
      <c r="KRS27" s="209"/>
      <c r="KRT27" s="209"/>
      <c r="KRU27" s="209"/>
      <c r="KRV27" s="209"/>
      <c r="KRW27" s="209"/>
      <c r="KRX27" s="209"/>
      <c r="KRY27" s="209"/>
      <c r="KRZ27" s="209"/>
      <c r="KSA27" s="209"/>
      <c r="KSB27" s="209"/>
      <c r="KSC27" s="209"/>
      <c r="KSD27" s="209"/>
      <c r="KSE27" s="209"/>
      <c r="KSF27" s="209"/>
      <c r="KSG27" s="209"/>
      <c r="KSH27" s="209"/>
      <c r="KSI27" s="209"/>
      <c r="KSJ27" s="209"/>
      <c r="KSK27" s="209"/>
      <c r="KSL27" s="209"/>
      <c r="KSM27" s="209"/>
      <c r="KSN27" s="209"/>
      <c r="KSO27" s="209"/>
      <c r="KSP27" s="209"/>
      <c r="KSQ27" s="209"/>
      <c r="KSR27" s="209"/>
      <c r="KSS27" s="209"/>
      <c r="KST27" s="209"/>
      <c r="KSU27" s="209"/>
      <c r="KSV27" s="209"/>
      <c r="KSW27" s="209"/>
      <c r="KSX27" s="209"/>
      <c r="KSY27" s="209"/>
      <c r="KSZ27" s="209"/>
      <c r="KTA27" s="209"/>
      <c r="KTB27" s="209"/>
      <c r="KTC27" s="209"/>
      <c r="KTD27" s="209"/>
      <c r="KTE27" s="209"/>
      <c r="KTF27" s="209"/>
      <c r="KTG27" s="209"/>
      <c r="KTH27" s="209"/>
      <c r="KTI27" s="209"/>
      <c r="KTJ27" s="209"/>
      <c r="KTK27" s="209"/>
      <c r="KTL27" s="209"/>
      <c r="KTM27" s="209"/>
      <c r="KTN27" s="209"/>
      <c r="KTO27" s="209"/>
      <c r="KTP27" s="209"/>
      <c r="KTQ27" s="209"/>
      <c r="KTR27" s="209"/>
      <c r="KTS27" s="209"/>
      <c r="KTT27" s="209"/>
      <c r="KTU27" s="209"/>
      <c r="KTV27" s="209"/>
      <c r="KTW27" s="209"/>
      <c r="KTX27" s="209"/>
      <c r="KTY27" s="209"/>
      <c r="KTZ27" s="209"/>
      <c r="KUA27" s="209"/>
      <c r="KUB27" s="209"/>
      <c r="KUC27" s="209"/>
      <c r="KUD27" s="209"/>
      <c r="KUE27" s="209"/>
      <c r="KUF27" s="209"/>
      <c r="KUG27" s="209"/>
      <c r="KUH27" s="209"/>
      <c r="KUI27" s="209"/>
      <c r="KUJ27" s="209"/>
      <c r="KUK27" s="209"/>
      <c r="KUL27" s="209"/>
      <c r="KUM27" s="209"/>
      <c r="KUN27" s="209"/>
      <c r="KUO27" s="209"/>
      <c r="KUP27" s="209"/>
      <c r="KUQ27" s="209"/>
      <c r="KUR27" s="209"/>
      <c r="KUS27" s="209"/>
      <c r="KUT27" s="209"/>
      <c r="KUU27" s="209"/>
      <c r="KUV27" s="209"/>
      <c r="KUW27" s="209"/>
      <c r="KUX27" s="209"/>
      <c r="KUY27" s="209"/>
      <c r="KUZ27" s="209"/>
      <c r="KVA27" s="209"/>
      <c r="KVB27" s="209"/>
      <c r="KVC27" s="209"/>
      <c r="KVD27" s="209"/>
      <c r="KVE27" s="209"/>
      <c r="KVF27" s="209"/>
      <c r="KVG27" s="209"/>
      <c r="KVH27" s="209"/>
      <c r="KVI27" s="209"/>
      <c r="KVJ27" s="209"/>
      <c r="KVK27" s="209"/>
      <c r="KVL27" s="209"/>
      <c r="KVM27" s="209"/>
      <c r="KVN27" s="209"/>
      <c r="KVO27" s="209"/>
      <c r="KVP27" s="209"/>
      <c r="KVQ27" s="209"/>
      <c r="KVR27" s="209"/>
      <c r="KVS27" s="209"/>
      <c r="KVT27" s="209"/>
      <c r="KVU27" s="209"/>
      <c r="KVV27" s="209"/>
      <c r="KVW27" s="209"/>
      <c r="KVX27" s="209"/>
      <c r="KVY27" s="209"/>
      <c r="KVZ27" s="209"/>
      <c r="KWA27" s="209"/>
      <c r="KWB27" s="209"/>
      <c r="KWC27" s="209"/>
      <c r="KWD27" s="209"/>
      <c r="KWE27" s="209"/>
      <c r="KWF27" s="209"/>
      <c r="KWG27" s="209"/>
      <c r="KWH27" s="209"/>
      <c r="KWI27" s="209"/>
      <c r="KWJ27" s="209"/>
      <c r="KWK27" s="209"/>
      <c r="KWL27" s="209"/>
      <c r="KWM27" s="209"/>
      <c r="KWN27" s="209"/>
      <c r="KWO27" s="209"/>
      <c r="KWP27" s="209"/>
      <c r="KWQ27" s="209"/>
      <c r="KWR27" s="209"/>
      <c r="KWS27" s="209"/>
      <c r="KWT27" s="209"/>
      <c r="KWU27" s="209"/>
      <c r="KWV27" s="209"/>
      <c r="KWW27" s="209"/>
      <c r="KWX27" s="209"/>
      <c r="KWY27" s="209"/>
      <c r="KWZ27" s="209"/>
      <c r="KXA27" s="209"/>
      <c r="KXB27" s="209"/>
      <c r="KXC27" s="209"/>
      <c r="KXD27" s="209"/>
      <c r="KXE27" s="209"/>
      <c r="KXF27" s="209"/>
      <c r="KXG27" s="209"/>
      <c r="KXH27" s="209"/>
      <c r="KXI27" s="209"/>
      <c r="KXJ27" s="209"/>
      <c r="KXK27" s="209"/>
      <c r="KXL27" s="209"/>
      <c r="KXM27" s="209"/>
      <c r="KXN27" s="209"/>
      <c r="KXO27" s="209"/>
      <c r="KXP27" s="209"/>
      <c r="KXQ27" s="209"/>
      <c r="KXR27" s="209"/>
      <c r="KXS27" s="209"/>
      <c r="KXT27" s="209"/>
      <c r="KXU27" s="209"/>
      <c r="KXV27" s="209"/>
      <c r="KXW27" s="209"/>
      <c r="KXX27" s="209"/>
      <c r="KXY27" s="209"/>
      <c r="KXZ27" s="209"/>
      <c r="KYA27" s="209"/>
      <c r="KYB27" s="209"/>
      <c r="KYC27" s="209"/>
      <c r="KYD27" s="209"/>
      <c r="KYE27" s="209"/>
      <c r="KYF27" s="209"/>
      <c r="KYG27" s="209"/>
      <c r="KYH27" s="209"/>
      <c r="KYI27" s="209"/>
      <c r="KYJ27" s="209"/>
      <c r="KYK27" s="209"/>
      <c r="KYL27" s="209"/>
      <c r="KYM27" s="209"/>
      <c r="KYN27" s="209"/>
      <c r="KYO27" s="209"/>
      <c r="KYP27" s="209"/>
      <c r="KYQ27" s="209"/>
      <c r="KYR27" s="209"/>
      <c r="KYS27" s="209"/>
      <c r="KYT27" s="209"/>
      <c r="KYU27" s="209"/>
      <c r="KYV27" s="209"/>
      <c r="KYW27" s="209"/>
      <c r="KYX27" s="209"/>
      <c r="KYY27" s="209"/>
      <c r="KYZ27" s="209"/>
      <c r="KZA27" s="209"/>
      <c r="KZB27" s="209"/>
      <c r="KZC27" s="209"/>
      <c r="KZD27" s="209"/>
      <c r="KZE27" s="209"/>
      <c r="KZF27" s="209"/>
      <c r="KZG27" s="209"/>
      <c r="KZH27" s="209"/>
      <c r="KZI27" s="209"/>
      <c r="KZJ27" s="209"/>
      <c r="KZK27" s="209"/>
      <c r="KZL27" s="209"/>
      <c r="KZM27" s="209"/>
      <c r="KZN27" s="209"/>
      <c r="KZO27" s="209"/>
      <c r="KZP27" s="209"/>
      <c r="KZQ27" s="209"/>
      <c r="KZR27" s="209"/>
      <c r="KZS27" s="209"/>
      <c r="KZT27" s="209"/>
      <c r="KZU27" s="209"/>
      <c r="KZV27" s="209"/>
      <c r="KZW27" s="209"/>
      <c r="KZX27" s="209"/>
      <c r="KZY27" s="209"/>
      <c r="KZZ27" s="209"/>
      <c r="LAA27" s="209"/>
      <c r="LAB27" s="209"/>
      <c r="LAC27" s="209"/>
      <c r="LAD27" s="209"/>
      <c r="LAE27" s="209"/>
      <c r="LAF27" s="209"/>
      <c r="LAG27" s="209"/>
      <c r="LAH27" s="209"/>
      <c r="LAI27" s="209"/>
      <c r="LAJ27" s="209"/>
      <c r="LAK27" s="209"/>
      <c r="LAL27" s="209"/>
      <c r="LAM27" s="209"/>
      <c r="LAN27" s="209"/>
      <c r="LAO27" s="209"/>
      <c r="LAP27" s="209"/>
      <c r="LAQ27" s="209"/>
      <c r="LAR27" s="209"/>
      <c r="LAS27" s="209"/>
      <c r="LAT27" s="209"/>
      <c r="LAU27" s="209"/>
      <c r="LAV27" s="209"/>
      <c r="LAW27" s="209"/>
      <c r="LAX27" s="209"/>
      <c r="LAY27" s="209"/>
      <c r="LAZ27" s="209"/>
      <c r="LBA27" s="209"/>
      <c r="LBB27" s="209"/>
      <c r="LBC27" s="209"/>
      <c r="LBD27" s="209"/>
      <c r="LBE27" s="209"/>
      <c r="LBF27" s="209"/>
      <c r="LBG27" s="209"/>
      <c r="LBH27" s="209"/>
      <c r="LBI27" s="209"/>
      <c r="LBJ27" s="209"/>
      <c r="LBK27" s="209"/>
      <c r="LBL27" s="209"/>
      <c r="LBM27" s="209"/>
      <c r="LBN27" s="209"/>
      <c r="LBO27" s="209"/>
      <c r="LBP27" s="209"/>
      <c r="LBQ27" s="209"/>
      <c r="LBR27" s="209"/>
      <c r="LBS27" s="209"/>
      <c r="LBT27" s="209"/>
      <c r="LBU27" s="209"/>
      <c r="LBV27" s="209"/>
      <c r="LBW27" s="209"/>
      <c r="LBX27" s="209"/>
      <c r="LBY27" s="209"/>
      <c r="LBZ27" s="209"/>
      <c r="LCA27" s="209"/>
      <c r="LCB27" s="209"/>
      <c r="LCC27" s="209"/>
      <c r="LCD27" s="209"/>
      <c r="LCE27" s="209"/>
      <c r="LCF27" s="209"/>
      <c r="LCG27" s="209"/>
      <c r="LCH27" s="209"/>
      <c r="LCI27" s="209"/>
      <c r="LCJ27" s="209"/>
      <c r="LCK27" s="209"/>
      <c r="LCL27" s="209"/>
      <c r="LCM27" s="209"/>
      <c r="LCN27" s="209"/>
      <c r="LCO27" s="209"/>
      <c r="LCP27" s="209"/>
      <c r="LCQ27" s="209"/>
      <c r="LCR27" s="209"/>
      <c r="LCS27" s="209"/>
      <c r="LCT27" s="209"/>
      <c r="LCU27" s="209"/>
      <c r="LCV27" s="209"/>
      <c r="LCW27" s="209"/>
      <c r="LCX27" s="209"/>
      <c r="LCY27" s="209"/>
      <c r="LCZ27" s="209"/>
      <c r="LDA27" s="209"/>
      <c r="LDB27" s="209"/>
      <c r="LDC27" s="209"/>
      <c r="LDD27" s="209"/>
      <c r="LDE27" s="209"/>
      <c r="LDF27" s="209"/>
      <c r="LDG27" s="209"/>
      <c r="LDH27" s="209"/>
      <c r="LDI27" s="209"/>
      <c r="LDJ27" s="209"/>
      <c r="LDK27" s="209"/>
      <c r="LDL27" s="209"/>
      <c r="LDM27" s="209"/>
      <c r="LDN27" s="209"/>
      <c r="LDO27" s="209"/>
      <c r="LDP27" s="209"/>
      <c r="LDQ27" s="209"/>
      <c r="LDR27" s="209"/>
      <c r="LDS27" s="209"/>
      <c r="LDT27" s="209"/>
      <c r="LDU27" s="209"/>
      <c r="LDV27" s="209"/>
      <c r="LDW27" s="209"/>
      <c r="LDX27" s="209"/>
      <c r="LDY27" s="209"/>
      <c r="LDZ27" s="209"/>
      <c r="LEA27" s="209"/>
      <c r="LEB27" s="209"/>
      <c r="LEC27" s="209"/>
      <c r="LED27" s="209"/>
      <c r="LEE27" s="209"/>
      <c r="LEF27" s="209"/>
      <c r="LEG27" s="209"/>
      <c r="LEH27" s="209"/>
      <c r="LEI27" s="209"/>
      <c r="LEJ27" s="209"/>
      <c r="LEK27" s="209"/>
      <c r="LEL27" s="209"/>
      <c r="LEM27" s="209"/>
      <c r="LEN27" s="209"/>
      <c r="LEO27" s="209"/>
      <c r="LEP27" s="209"/>
      <c r="LEQ27" s="209"/>
      <c r="LER27" s="209"/>
      <c r="LES27" s="209"/>
      <c r="LET27" s="209"/>
      <c r="LEU27" s="209"/>
      <c r="LEV27" s="209"/>
      <c r="LEW27" s="209"/>
      <c r="LEX27" s="209"/>
      <c r="LEY27" s="209"/>
      <c r="LEZ27" s="209"/>
      <c r="LFA27" s="209"/>
      <c r="LFB27" s="209"/>
      <c r="LFC27" s="209"/>
      <c r="LFD27" s="209"/>
      <c r="LFE27" s="209"/>
      <c r="LFF27" s="209"/>
      <c r="LFG27" s="209"/>
      <c r="LFH27" s="209"/>
      <c r="LFI27" s="209"/>
      <c r="LFJ27" s="209"/>
      <c r="LFK27" s="209"/>
      <c r="LFL27" s="209"/>
      <c r="LFM27" s="209"/>
      <c r="LFN27" s="209"/>
      <c r="LFO27" s="209"/>
      <c r="LFP27" s="209"/>
      <c r="LFQ27" s="209"/>
      <c r="LFR27" s="209"/>
      <c r="LFS27" s="209"/>
      <c r="LFT27" s="209"/>
      <c r="LFU27" s="209"/>
      <c r="LFV27" s="209"/>
      <c r="LFW27" s="209"/>
      <c r="LFX27" s="209"/>
      <c r="LFY27" s="209"/>
      <c r="LFZ27" s="209"/>
      <c r="LGA27" s="209"/>
      <c r="LGB27" s="209"/>
      <c r="LGC27" s="209"/>
      <c r="LGD27" s="209"/>
      <c r="LGE27" s="209"/>
      <c r="LGF27" s="209"/>
      <c r="LGG27" s="209"/>
      <c r="LGH27" s="209"/>
      <c r="LGI27" s="209"/>
      <c r="LGJ27" s="209"/>
      <c r="LGK27" s="209"/>
      <c r="LGL27" s="209"/>
      <c r="LGM27" s="209"/>
      <c r="LGN27" s="209"/>
      <c r="LGO27" s="209"/>
      <c r="LGP27" s="209"/>
      <c r="LGQ27" s="209"/>
      <c r="LGR27" s="209"/>
      <c r="LGS27" s="209"/>
      <c r="LGT27" s="209"/>
      <c r="LGU27" s="209"/>
      <c r="LGV27" s="209"/>
      <c r="LGW27" s="209"/>
      <c r="LGX27" s="209"/>
      <c r="LGY27" s="209"/>
      <c r="LGZ27" s="209"/>
      <c r="LHA27" s="209"/>
      <c r="LHB27" s="209"/>
      <c r="LHC27" s="209"/>
      <c r="LHD27" s="209"/>
      <c r="LHE27" s="209"/>
      <c r="LHF27" s="209"/>
      <c r="LHG27" s="209"/>
      <c r="LHH27" s="209"/>
      <c r="LHI27" s="209"/>
      <c r="LHJ27" s="209"/>
      <c r="LHK27" s="209"/>
      <c r="LHL27" s="209"/>
      <c r="LHM27" s="209"/>
      <c r="LHN27" s="209"/>
      <c r="LHO27" s="209"/>
      <c r="LHP27" s="209"/>
      <c r="LHQ27" s="209"/>
      <c r="LHR27" s="209"/>
      <c r="LHS27" s="209"/>
      <c r="LHT27" s="209"/>
      <c r="LHU27" s="209"/>
      <c r="LHV27" s="209"/>
      <c r="LHW27" s="209"/>
      <c r="LHX27" s="209"/>
      <c r="LHY27" s="209"/>
      <c r="LHZ27" s="209"/>
      <c r="LIA27" s="209"/>
      <c r="LIB27" s="209"/>
      <c r="LIC27" s="209"/>
      <c r="LID27" s="209"/>
      <c r="LIE27" s="209"/>
      <c r="LIF27" s="209"/>
      <c r="LIG27" s="209"/>
      <c r="LIH27" s="209"/>
      <c r="LII27" s="209"/>
      <c r="LIJ27" s="209"/>
      <c r="LIK27" s="209"/>
      <c r="LIL27" s="209"/>
      <c r="LIM27" s="209"/>
      <c r="LIN27" s="209"/>
      <c r="LIO27" s="209"/>
      <c r="LIP27" s="209"/>
      <c r="LIQ27" s="209"/>
      <c r="LIR27" s="209"/>
      <c r="LIS27" s="209"/>
      <c r="LIT27" s="209"/>
      <c r="LIU27" s="209"/>
      <c r="LIV27" s="209"/>
      <c r="LIW27" s="209"/>
      <c r="LIX27" s="209"/>
      <c r="LIY27" s="209"/>
      <c r="LIZ27" s="209"/>
      <c r="LJA27" s="209"/>
      <c r="LJB27" s="209"/>
      <c r="LJC27" s="209"/>
      <c r="LJD27" s="209"/>
      <c r="LJE27" s="209"/>
      <c r="LJF27" s="209"/>
      <c r="LJG27" s="209"/>
      <c r="LJH27" s="209"/>
      <c r="LJI27" s="209"/>
      <c r="LJJ27" s="209"/>
      <c r="LJK27" s="209"/>
      <c r="LJL27" s="209"/>
      <c r="LJM27" s="209"/>
      <c r="LJN27" s="209"/>
      <c r="LJO27" s="209"/>
      <c r="LJP27" s="209"/>
      <c r="LJQ27" s="209"/>
      <c r="LJR27" s="209"/>
      <c r="LJS27" s="209"/>
      <c r="LJT27" s="209"/>
      <c r="LJU27" s="209"/>
      <c r="LJV27" s="209"/>
      <c r="LJW27" s="209"/>
      <c r="LJX27" s="209"/>
      <c r="LJY27" s="209"/>
      <c r="LJZ27" s="209"/>
      <c r="LKA27" s="209"/>
      <c r="LKB27" s="209"/>
      <c r="LKC27" s="209"/>
      <c r="LKD27" s="209"/>
      <c r="LKE27" s="209"/>
      <c r="LKF27" s="209"/>
      <c r="LKG27" s="209"/>
      <c r="LKH27" s="209"/>
      <c r="LKI27" s="209"/>
      <c r="LKJ27" s="209"/>
      <c r="LKK27" s="209"/>
      <c r="LKL27" s="209"/>
      <c r="LKM27" s="209"/>
      <c r="LKN27" s="209"/>
      <c r="LKO27" s="209"/>
      <c r="LKP27" s="209"/>
      <c r="LKQ27" s="209"/>
      <c r="LKR27" s="209"/>
      <c r="LKS27" s="209"/>
      <c r="LKT27" s="209"/>
      <c r="LKU27" s="209"/>
      <c r="LKV27" s="209"/>
      <c r="LKW27" s="209"/>
      <c r="LKX27" s="209"/>
      <c r="LKY27" s="209"/>
      <c r="LKZ27" s="209"/>
      <c r="LLA27" s="209"/>
      <c r="LLB27" s="209"/>
      <c r="LLC27" s="209"/>
      <c r="LLD27" s="209"/>
      <c r="LLE27" s="209"/>
      <c r="LLF27" s="209"/>
      <c r="LLG27" s="209"/>
      <c r="LLH27" s="209"/>
      <c r="LLI27" s="209"/>
      <c r="LLJ27" s="209"/>
      <c r="LLK27" s="209"/>
      <c r="LLL27" s="209"/>
      <c r="LLM27" s="209"/>
      <c r="LLN27" s="209"/>
      <c r="LLO27" s="209"/>
      <c r="LLP27" s="209"/>
      <c r="LLQ27" s="209"/>
      <c r="LLR27" s="209"/>
      <c r="LLS27" s="209"/>
      <c r="LLT27" s="209"/>
      <c r="LLU27" s="209"/>
      <c r="LLV27" s="209"/>
      <c r="LLW27" s="209"/>
      <c r="LLX27" s="209"/>
      <c r="LLY27" s="209"/>
      <c r="LLZ27" s="209"/>
      <c r="LMA27" s="209"/>
      <c r="LMB27" s="209"/>
      <c r="LMC27" s="209"/>
      <c r="LMD27" s="209"/>
      <c r="LME27" s="209"/>
      <c r="LMF27" s="209"/>
      <c r="LMG27" s="209"/>
      <c r="LMH27" s="209"/>
      <c r="LMI27" s="209"/>
      <c r="LMJ27" s="209"/>
      <c r="LMK27" s="209"/>
      <c r="LML27" s="209"/>
      <c r="LMM27" s="209"/>
      <c r="LMN27" s="209"/>
      <c r="LMO27" s="209"/>
      <c r="LMP27" s="209"/>
      <c r="LMQ27" s="209"/>
      <c r="LMR27" s="209"/>
      <c r="LMS27" s="209"/>
      <c r="LMT27" s="209"/>
      <c r="LMU27" s="209"/>
      <c r="LMV27" s="209"/>
      <c r="LMW27" s="209"/>
      <c r="LMX27" s="209"/>
      <c r="LMY27" s="209"/>
      <c r="LMZ27" s="209"/>
      <c r="LNA27" s="209"/>
      <c r="LNB27" s="209"/>
      <c r="LNC27" s="209"/>
      <c r="LND27" s="209"/>
      <c r="LNE27" s="209"/>
      <c r="LNF27" s="209"/>
      <c r="LNG27" s="209"/>
      <c r="LNH27" s="209"/>
      <c r="LNI27" s="209"/>
      <c r="LNJ27" s="209"/>
      <c r="LNK27" s="209"/>
      <c r="LNL27" s="209"/>
      <c r="LNM27" s="209"/>
      <c r="LNN27" s="209"/>
      <c r="LNO27" s="209"/>
      <c r="LNP27" s="209"/>
      <c r="LNQ27" s="209"/>
      <c r="LNR27" s="209"/>
      <c r="LNS27" s="209"/>
      <c r="LNT27" s="209"/>
      <c r="LNU27" s="209"/>
      <c r="LNV27" s="209"/>
      <c r="LNW27" s="209"/>
      <c r="LNX27" s="209"/>
      <c r="LNY27" s="209"/>
      <c r="LNZ27" s="209"/>
      <c r="LOA27" s="209"/>
      <c r="LOB27" s="209"/>
      <c r="LOC27" s="209"/>
      <c r="LOD27" s="209"/>
      <c r="LOE27" s="209"/>
      <c r="LOF27" s="209"/>
      <c r="LOG27" s="209"/>
      <c r="LOH27" s="209"/>
      <c r="LOI27" s="209"/>
      <c r="LOJ27" s="209"/>
      <c r="LOK27" s="209"/>
      <c r="LOL27" s="209"/>
      <c r="LOM27" s="209"/>
      <c r="LON27" s="209"/>
      <c r="LOO27" s="209"/>
      <c r="LOP27" s="209"/>
      <c r="LOQ27" s="209"/>
      <c r="LOR27" s="209"/>
      <c r="LOS27" s="209"/>
      <c r="LOT27" s="209"/>
      <c r="LOU27" s="209"/>
      <c r="LOV27" s="209"/>
      <c r="LOW27" s="209"/>
      <c r="LOX27" s="209"/>
      <c r="LOY27" s="209"/>
      <c r="LOZ27" s="209"/>
      <c r="LPA27" s="209"/>
      <c r="LPB27" s="209"/>
      <c r="LPC27" s="209"/>
      <c r="LPD27" s="209"/>
      <c r="LPE27" s="209"/>
      <c r="LPF27" s="209"/>
      <c r="LPG27" s="209"/>
      <c r="LPH27" s="209"/>
      <c r="LPI27" s="209"/>
      <c r="LPJ27" s="209"/>
      <c r="LPK27" s="209"/>
      <c r="LPL27" s="209"/>
      <c r="LPM27" s="209"/>
      <c r="LPN27" s="209"/>
      <c r="LPO27" s="209"/>
      <c r="LPP27" s="209"/>
      <c r="LPQ27" s="209"/>
      <c r="LPR27" s="209"/>
      <c r="LPS27" s="209"/>
      <c r="LPT27" s="209"/>
      <c r="LPU27" s="209"/>
      <c r="LPV27" s="209"/>
      <c r="LPW27" s="209"/>
      <c r="LPX27" s="209"/>
      <c r="LPY27" s="209"/>
      <c r="LPZ27" s="209"/>
      <c r="LQA27" s="209"/>
      <c r="LQB27" s="209"/>
      <c r="LQC27" s="209"/>
      <c r="LQD27" s="209"/>
      <c r="LQE27" s="209"/>
      <c r="LQF27" s="209"/>
      <c r="LQG27" s="209"/>
      <c r="LQH27" s="209"/>
      <c r="LQI27" s="209"/>
      <c r="LQJ27" s="209"/>
      <c r="LQK27" s="209"/>
      <c r="LQL27" s="209"/>
      <c r="LQM27" s="209"/>
      <c r="LQN27" s="209"/>
      <c r="LQO27" s="209"/>
      <c r="LQP27" s="209"/>
      <c r="LQQ27" s="209"/>
      <c r="LQR27" s="209"/>
      <c r="LQS27" s="209"/>
      <c r="LQT27" s="209"/>
      <c r="LQU27" s="209"/>
      <c r="LQV27" s="209"/>
      <c r="LQW27" s="209"/>
      <c r="LQX27" s="209"/>
      <c r="LQY27" s="209"/>
      <c r="LQZ27" s="209"/>
      <c r="LRA27" s="209"/>
      <c r="LRB27" s="209"/>
      <c r="LRC27" s="209"/>
      <c r="LRD27" s="209"/>
      <c r="LRE27" s="209"/>
      <c r="LRF27" s="209"/>
      <c r="LRG27" s="209"/>
      <c r="LRH27" s="209"/>
      <c r="LRI27" s="209"/>
      <c r="LRJ27" s="209"/>
      <c r="LRK27" s="209"/>
      <c r="LRL27" s="209"/>
      <c r="LRM27" s="209"/>
      <c r="LRN27" s="209"/>
      <c r="LRO27" s="209"/>
      <c r="LRP27" s="209"/>
      <c r="LRQ27" s="209"/>
      <c r="LRR27" s="209"/>
      <c r="LRS27" s="209"/>
      <c r="LRT27" s="209"/>
      <c r="LRU27" s="209"/>
      <c r="LRV27" s="209"/>
      <c r="LRW27" s="209"/>
      <c r="LRX27" s="209"/>
      <c r="LRY27" s="209"/>
      <c r="LRZ27" s="209"/>
      <c r="LSA27" s="209"/>
      <c r="LSB27" s="209"/>
      <c r="LSC27" s="209"/>
      <c r="LSD27" s="209"/>
      <c r="LSE27" s="209"/>
      <c r="LSF27" s="209"/>
      <c r="LSG27" s="209"/>
      <c r="LSH27" s="209"/>
      <c r="LSI27" s="209"/>
      <c r="LSJ27" s="209"/>
      <c r="LSK27" s="209"/>
      <c r="LSL27" s="209"/>
      <c r="LSM27" s="209"/>
      <c r="LSN27" s="209"/>
      <c r="LSO27" s="209"/>
      <c r="LSP27" s="209"/>
      <c r="LSQ27" s="209"/>
      <c r="LSR27" s="209"/>
      <c r="LSS27" s="209"/>
      <c r="LST27" s="209"/>
      <c r="LSU27" s="209"/>
      <c r="LSV27" s="209"/>
      <c r="LSW27" s="209"/>
      <c r="LSX27" s="209"/>
      <c r="LSY27" s="209"/>
      <c r="LSZ27" s="209"/>
      <c r="LTA27" s="209"/>
      <c r="LTB27" s="209"/>
      <c r="LTC27" s="209"/>
      <c r="LTD27" s="209"/>
      <c r="LTE27" s="209"/>
      <c r="LTF27" s="209"/>
      <c r="LTG27" s="209"/>
      <c r="LTH27" s="209"/>
      <c r="LTI27" s="209"/>
      <c r="LTJ27" s="209"/>
      <c r="LTK27" s="209"/>
      <c r="LTL27" s="209"/>
      <c r="LTM27" s="209"/>
      <c r="LTN27" s="209"/>
      <c r="LTO27" s="209"/>
      <c r="LTP27" s="209"/>
      <c r="LTQ27" s="209"/>
      <c r="LTR27" s="209"/>
      <c r="LTS27" s="209"/>
      <c r="LTT27" s="209"/>
      <c r="LTU27" s="209"/>
      <c r="LTV27" s="209"/>
      <c r="LTW27" s="209"/>
      <c r="LTX27" s="209"/>
      <c r="LTY27" s="209"/>
      <c r="LTZ27" s="209"/>
      <c r="LUA27" s="209"/>
      <c r="LUB27" s="209"/>
      <c r="LUC27" s="209"/>
      <c r="LUD27" s="209"/>
      <c r="LUE27" s="209"/>
      <c r="LUF27" s="209"/>
      <c r="LUG27" s="209"/>
      <c r="LUH27" s="209"/>
      <c r="LUI27" s="209"/>
      <c r="LUJ27" s="209"/>
      <c r="LUK27" s="209"/>
      <c r="LUL27" s="209"/>
      <c r="LUM27" s="209"/>
      <c r="LUN27" s="209"/>
      <c r="LUO27" s="209"/>
      <c r="LUP27" s="209"/>
      <c r="LUQ27" s="209"/>
      <c r="LUR27" s="209"/>
      <c r="LUS27" s="209"/>
      <c r="LUT27" s="209"/>
      <c r="LUU27" s="209"/>
      <c r="LUV27" s="209"/>
      <c r="LUW27" s="209"/>
      <c r="LUX27" s="209"/>
      <c r="LUY27" s="209"/>
      <c r="LUZ27" s="209"/>
      <c r="LVA27" s="209"/>
      <c r="LVB27" s="209"/>
      <c r="LVC27" s="209"/>
      <c r="LVD27" s="209"/>
      <c r="LVE27" s="209"/>
      <c r="LVF27" s="209"/>
      <c r="LVG27" s="209"/>
      <c r="LVH27" s="209"/>
      <c r="LVI27" s="209"/>
      <c r="LVJ27" s="209"/>
      <c r="LVK27" s="209"/>
      <c r="LVL27" s="209"/>
      <c r="LVM27" s="209"/>
      <c r="LVN27" s="209"/>
      <c r="LVO27" s="209"/>
      <c r="LVP27" s="209"/>
      <c r="LVQ27" s="209"/>
      <c r="LVR27" s="209"/>
      <c r="LVS27" s="209"/>
      <c r="LVT27" s="209"/>
      <c r="LVU27" s="209"/>
      <c r="LVV27" s="209"/>
      <c r="LVW27" s="209"/>
      <c r="LVX27" s="209"/>
      <c r="LVY27" s="209"/>
      <c r="LVZ27" s="209"/>
      <c r="LWA27" s="209"/>
      <c r="LWB27" s="209"/>
      <c r="LWC27" s="209"/>
      <c r="LWD27" s="209"/>
      <c r="LWE27" s="209"/>
      <c r="LWF27" s="209"/>
      <c r="LWG27" s="209"/>
      <c r="LWH27" s="209"/>
      <c r="LWI27" s="209"/>
      <c r="LWJ27" s="209"/>
      <c r="LWK27" s="209"/>
      <c r="LWL27" s="209"/>
      <c r="LWM27" s="209"/>
      <c r="LWN27" s="209"/>
      <c r="LWO27" s="209"/>
      <c r="LWP27" s="209"/>
      <c r="LWQ27" s="209"/>
      <c r="LWR27" s="209"/>
      <c r="LWS27" s="209"/>
      <c r="LWT27" s="209"/>
      <c r="LWU27" s="209"/>
      <c r="LWV27" s="209"/>
      <c r="LWW27" s="209"/>
      <c r="LWX27" s="209"/>
      <c r="LWY27" s="209"/>
      <c r="LWZ27" s="209"/>
      <c r="LXA27" s="209"/>
      <c r="LXB27" s="209"/>
      <c r="LXC27" s="209"/>
      <c r="LXD27" s="209"/>
      <c r="LXE27" s="209"/>
      <c r="LXF27" s="209"/>
      <c r="LXG27" s="209"/>
      <c r="LXH27" s="209"/>
      <c r="LXI27" s="209"/>
      <c r="LXJ27" s="209"/>
      <c r="LXK27" s="209"/>
      <c r="LXL27" s="209"/>
      <c r="LXM27" s="209"/>
      <c r="LXN27" s="209"/>
      <c r="LXO27" s="209"/>
      <c r="LXP27" s="209"/>
      <c r="LXQ27" s="209"/>
      <c r="LXR27" s="209"/>
      <c r="LXS27" s="209"/>
      <c r="LXT27" s="209"/>
      <c r="LXU27" s="209"/>
      <c r="LXV27" s="209"/>
      <c r="LXW27" s="209"/>
      <c r="LXX27" s="209"/>
      <c r="LXY27" s="209"/>
      <c r="LXZ27" s="209"/>
      <c r="LYA27" s="209"/>
      <c r="LYB27" s="209"/>
      <c r="LYC27" s="209"/>
      <c r="LYD27" s="209"/>
      <c r="LYE27" s="209"/>
      <c r="LYF27" s="209"/>
      <c r="LYG27" s="209"/>
      <c r="LYH27" s="209"/>
      <c r="LYI27" s="209"/>
      <c r="LYJ27" s="209"/>
      <c r="LYK27" s="209"/>
      <c r="LYL27" s="209"/>
      <c r="LYM27" s="209"/>
      <c r="LYN27" s="209"/>
      <c r="LYO27" s="209"/>
      <c r="LYP27" s="209"/>
      <c r="LYQ27" s="209"/>
      <c r="LYR27" s="209"/>
      <c r="LYS27" s="209"/>
      <c r="LYT27" s="209"/>
      <c r="LYU27" s="209"/>
      <c r="LYV27" s="209"/>
      <c r="LYW27" s="209"/>
      <c r="LYX27" s="209"/>
      <c r="LYY27" s="209"/>
      <c r="LYZ27" s="209"/>
      <c r="LZA27" s="209"/>
      <c r="LZB27" s="209"/>
      <c r="LZC27" s="209"/>
      <c r="LZD27" s="209"/>
      <c r="LZE27" s="209"/>
      <c r="LZF27" s="209"/>
      <c r="LZG27" s="209"/>
      <c r="LZH27" s="209"/>
      <c r="LZI27" s="209"/>
      <c r="LZJ27" s="209"/>
      <c r="LZK27" s="209"/>
      <c r="LZL27" s="209"/>
      <c r="LZM27" s="209"/>
      <c r="LZN27" s="209"/>
      <c r="LZO27" s="209"/>
      <c r="LZP27" s="209"/>
      <c r="LZQ27" s="209"/>
      <c r="LZR27" s="209"/>
      <c r="LZS27" s="209"/>
      <c r="LZT27" s="209"/>
      <c r="LZU27" s="209"/>
      <c r="LZV27" s="209"/>
      <c r="LZW27" s="209"/>
      <c r="LZX27" s="209"/>
      <c r="LZY27" s="209"/>
      <c r="LZZ27" s="209"/>
      <c r="MAA27" s="209"/>
      <c r="MAB27" s="209"/>
      <c r="MAC27" s="209"/>
      <c r="MAD27" s="209"/>
      <c r="MAE27" s="209"/>
      <c r="MAF27" s="209"/>
      <c r="MAG27" s="209"/>
      <c r="MAH27" s="209"/>
      <c r="MAI27" s="209"/>
      <c r="MAJ27" s="209"/>
      <c r="MAK27" s="209"/>
      <c r="MAL27" s="209"/>
      <c r="MAM27" s="209"/>
      <c r="MAN27" s="209"/>
      <c r="MAO27" s="209"/>
      <c r="MAP27" s="209"/>
      <c r="MAQ27" s="209"/>
      <c r="MAR27" s="209"/>
      <c r="MAS27" s="209"/>
      <c r="MAT27" s="209"/>
      <c r="MAU27" s="209"/>
      <c r="MAV27" s="209"/>
      <c r="MAW27" s="209"/>
      <c r="MAX27" s="209"/>
      <c r="MAY27" s="209"/>
      <c r="MAZ27" s="209"/>
      <c r="MBA27" s="209"/>
      <c r="MBB27" s="209"/>
      <c r="MBC27" s="209"/>
      <c r="MBD27" s="209"/>
      <c r="MBE27" s="209"/>
      <c r="MBF27" s="209"/>
      <c r="MBG27" s="209"/>
      <c r="MBH27" s="209"/>
      <c r="MBI27" s="209"/>
      <c r="MBJ27" s="209"/>
      <c r="MBK27" s="209"/>
      <c r="MBL27" s="209"/>
      <c r="MBM27" s="209"/>
      <c r="MBN27" s="209"/>
      <c r="MBO27" s="209"/>
      <c r="MBP27" s="209"/>
      <c r="MBQ27" s="209"/>
      <c r="MBR27" s="209"/>
      <c r="MBS27" s="209"/>
      <c r="MBT27" s="209"/>
      <c r="MBU27" s="209"/>
      <c r="MBV27" s="209"/>
      <c r="MBW27" s="209"/>
      <c r="MBX27" s="209"/>
      <c r="MBY27" s="209"/>
      <c r="MBZ27" s="209"/>
      <c r="MCA27" s="209"/>
      <c r="MCB27" s="209"/>
      <c r="MCC27" s="209"/>
      <c r="MCD27" s="209"/>
      <c r="MCE27" s="209"/>
      <c r="MCF27" s="209"/>
      <c r="MCG27" s="209"/>
      <c r="MCH27" s="209"/>
      <c r="MCI27" s="209"/>
      <c r="MCJ27" s="209"/>
      <c r="MCK27" s="209"/>
      <c r="MCL27" s="209"/>
      <c r="MCM27" s="209"/>
      <c r="MCN27" s="209"/>
      <c r="MCO27" s="209"/>
      <c r="MCP27" s="209"/>
      <c r="MCQ27" s="209"/>
      <c r="MCR27" s="209"/>
      <c r="MCS27" s="209"/>
      <c r="MCT27" s="209"/>
      <c r="MCU27" s="209"/>
      <c r="MCV27" s="209"/>
      <c r="MCW27" s="209"/>
      <c r="MCX27" s="209"/>
      <c r="MCY27" s="209"/>
      <c r="MCZ27" s="209"/>
      <c r="MDA27" s="209"/>
      <c r="MDB27" s="209"/>
      <c r="MDC27" s="209"/>
      <c r="MDD27" s="209"/>
      <c r="MDE27" s="209"/>
      <c r="MDF27" s="209"/>
      <c r="MDG27" s="209"/>
      <c r="MDH27" s="209"/>
      <c r="MDI27" s="209"/>
      <c r="MDJ27" s="209"/>
      <c r="MDK27" s="209"/>
      <c r="MDL27" s="209"/>
      <c r="MDM27" s="209"/>
      <c r="MDN27" s="209"/>
      <c r="MDO27" s="209"/>
      <c r="MDP27" s="209"/>
      <c r="MDQ27" s="209"/>
      <c r="MDR27" s="209"/>
      <c r="MDS27" s="209"/>
      <c r="MDT27" s="209"/>
      <c r="MDU27" s="209"/>
      <c r="MDV27" s="209"/>
      <c r="MDW27" s="209"/>
      <c r="MDX27" s="209"/>
      <c r="MDY27" s="209"/>
      <c r="MDZ27" s="209"/>
      <c r="MEA27" s="209"/>
      <c r="MEB27" s="209"/>
      <c r="MEC27" s="209"/>
      <c r="MED27" s="209"/>
      <c r="MEE27" s="209"/>
      <c r="MEF27" s="209"/>
      <c r="MEG27" s="209"/>
      <c r="MEH27" s="209"/>
      <c r="MEI27" s="209"/>
      <c r="MEJ27" s="209"/>
      <c r="MEK27" s="209"/>
      <c r="MEL27" s="209"/>
      <c r="MEM27" s="209"/>
      <c r="MEN27" s="209"/>
      <c r="MEO27" s="209"/>
      <c r="MEP27" s="209"/>
      <c r="MEQ27" s="209"/>
      <c r="MER27" s="209"/>
      <c r="MES27" s="209"/>
      <c r="MET27" s="209"/>
      <c r="MEU27" s="209"/>
      <c r="MEV27" s="209"/>
      <c r="MEW27" s="209"/>
      <c r="MEX27" s="209"/>
      <c r="MEY27" s="209"/>
      <c r="MEZ27" s="209"/>
      <c r="MFA27" s="209"/>
      <c r="MFB27" s="209"/>
      <c r="MFC27" s="209"/>
      <c r="MFD27" s="209"/>
      <c r="MFE27" s="209"/>
      <c r="MFF27" s="209"/>
      <c r="MFG27" s="209"/>
      <c r="MFH27" s="209"/>
      <c r="MFI27" s="209"/>
      <c r="MFJ27" s="209"/>
      <c r="MFK27" s="209"/>
      <c r="MFL27" s="209"/>
      <c r="MFM27" s="209"/>
      <c r="MFN27" s="209"/>
      <c r="MFO27" s="209"/>
      <c r="MFP27" s="209"/>
      <c r="MFQ27" s="209"/>
      <c r="MFR27" s="209"/>
      <c r="MFS27" s="209"/>
      <c r="MFT27" s="209"/>
      <c r="MFU27" s="209"/>
      <c r="MFV27" s="209"/>
      <c r="MFW27" s="209"/>
      <c r="MFX27" s="209"/>
      <c r="MFY27" s="209"/>
      <c r="MFZ27" s="209"/>
      <c r="MGA27" s="209"/>
      <c r="MGB27" s="209"/>
      <c r="MGC27" s="209"/>
      <c r="MGD27" s="209"/>
      <c r="MGE27" s="209"/>
      <c r="MGF27" s="209"/>
      <c r="MGG27" s="209"/>
      <c r="MGH27" s="209"/>
      <c r="MGI27" s="209"/>
      <c r="MGJ27" s="209"/>
      <c r="MGK27" s="209"/>
      <c r="MGL27" s="209"/>
      <c r="MGM27" s="209"/>
      <c r="MGN27" s="209"/>
      <c r="MGO27" s="209"/>
      <c r="MGP27" s="209"/>
      <c r="MGQ27" s="209"/>
      <c r="MGR27" s="209"/>
      <c r="MGS27" s="209"/>
      <c r="MGT27" s="209"/>
      <c r="MGU27" s="209"/>
      <c r="MGV27" s="209"/>
      <c r="MGW27" s="209"/>
      <c r="MGX27" s="209"/>
      <c r="MGY27" s="209"/>
      <c r="MGZ27" s="209"/>
      <c r="MHA27" s="209"/>
      <c r="MHB27" s="209"/>
      <c r="MHC27" s="209"/>
      <c r="MHD27" s="209"/>
      <c r="MHE27" s="209"/>
      <c r="MHF27" s="209"/>
      <c r="MHG27" s="209"/>
      <c r="MHH27" s="209"/>
      <c r="MHI27" s="209"/>
      <c r="MHJ27" s="209"/>
      <c r="MHK27" s="209"/>
      <c r="MHL27" s="209"/>
      <c r="MHM27" s="209"/>
      <c r="MHN27" s="209"/>
      <c r="MHO27" s="209"/>
      <c r="MHP27" s="209"/>
      <c r="MHQ27" s="209"/>
      <c r="MHR27" s="209"/>
      <c r="MHS27" s="209"/>
      <c r="MHT27" s="209"/>
      <c r="MHU27" s="209"/>
      <c r="MHV27" s="209"/>
      <c r="MHW27" s="209"/>
      <c r="MHX27" s="209"/>
      <c r="MHY27" s="209"/>
      <c r="MHZ27" s="209"/>
      <c r="MIA27" s="209"/>
      <c r="MIB27" s="209"/>
      <c r="MIC27" s="209"/>
      <c r="MID27" s="209"/>
      <c r="MIE27" s="209"/>
      <c r="MIF27" s="209"/>
      <c r="MIG27" s="209"/>
      <c r="MIH27" s="209"/>
      <c r="MII27" s="209"/>
      <c r="MIJ27" s="209"/>
      <c r="MIK27" s="209"/>
      <c r="MIL27" s="209"/>
      <c r="MIM27" s="209"/>
      <c r="MIN27" s="209"/>
      <c r="MIO27" s="209"/>
      <c r="MIP27" s="209"/>
      <c r="MIQ27" s="209"/>
      <c r="MIR27" s="209"/>
      <c r="MIS27" s="209"/>
      <c r="MIT27" s="209"/>
      <c r="MIU27" s="209"/>
      <c r="MIV27" s="209"/>
      <c r="MIW27" s="209"/>
      <c r="MIX27" s="209"/>
      <c r="MIY27" s="209"/>
      <c r="MIZ27" s="209"/>
      <c r="MJA27" s="209"/>
      <c r="MJB27" s="209"/>
      <c r="MJC27" s="209"/>
      <c r="MJD27" s="209"/>
      <c r="MJE27" s="209"/>
      <c r="MJF27" s="209"/>
      <c r="MJG27" s="209"/>
      <c r="MJH27" s="209"/>
      <c r="MJI27" s="209"/>
      <c r="MJJ27" s="209"/>
      <c r="MJK27" s="209"/>
      <c r="MJL27" s="209"/>
      <c r="MJM27" s="209"/>
      <c r="MJN27" s="209"/>
      <c r="MJO27" s="209"/>
      <c r="MJP27" s="209"/>
      <c r="MJQ27" s="209"/>
      <c r="MJR27" s="209"/>
      <c r="MJS27" s="209"/>
      <c r="MJT27" s="209"/>
      <c r="MJU27" s="209"/>
      <c r="MJV27" s="209"/>
      <c r="MJW27" s="209"/>
      <c r="MJX27" s="209"/>
      <c r="MJY27" s="209"/>
      <c r="MJZ27" s="209"/>
      <c r="MKA27" s="209"/>
      <c r="MKB27" s="209"/>
      <c r="MKC27" s="209"/>
      <c r="MKD27" s="209"/>
      <c r="MKE27" s="209"/>
      <c r="MKF27" s="209"/>
      <c r="MKG27" s="209"/>
      <c r="MKH27" s="209"/>
      <c r="MKI27" s="209"/>
      <c r="MKJ27" s="209"/>
      <c r="MKK27" s="209"/>
      <c r="MKL27" s="209"/>
      <c r="MKM27" s="209"/>
      <c r="MKN27" s="209"/>
      <c r="MKO27" s="209"/>
      <c r="MKP27" s="209"/>
      <c r="MKQ27" s="209"/>
      <c r="MKR27" s="209"/>
      <c r="MKS27" s="209"/>
      <c r="MKT27" s="209"/>
      <c r="MKU27" s="209"/>
      <c r="MKV27" s="209"/>
      <c r="MKW27" s="209"/>
      <c r="MKX27" s="209"/>
      <c r="MKY27" s="209"/>
      <c r="MKZ27" s="209"/>
      <c r="MLA27" s="209"/>
      <c r="MLB27" s="209"/>
      <c r="MLC27" s="209"/>
      <c r="MLD27" s="209"/>
      <c r="MLE27" s="209"/>
      <c r="MLF27" s="209"/>
      <c r="MLG27" s="209"/>
      <c r="MLH27" s="209"/>
      <c r="MLI27" s="209"/>
      <c r="MLJ27" s="209"/>
      <c r="MLK27" s="209"/>
      <c r="MLL27" s="209"/>
      <c r="MLM27" s="209"/>
      <c r="MLN27" s="209"/>
      <c r="MLO27" s="209"/>
      <c r="MLP27" s="209"/>
      <c r="MLQ27" s="209"/>
      <c r="MLR27" s="209"/>
      <c r="MLS27" s="209"/>
      <c r="MLT27" s="209"/>
      <c r="MLU27" s="209"/>
      <c r="MLV27" s="209"/>
      <c r="MLW27" s="209"/>
      <c r="MLX27" s="209"/>
      <c r="MLY27" s="209"/>
      <c r="MLZ27" s="209"/>
      <c r="MMA27" s="209"/>
      <c r="MMB27" s="209"/>
      <c r="MMC27" s="209"/>
      <c r="MMD27" s="209"/>
      <c r="MME27" s="209"/>
      <c r="MMF27" s="209"/>
      <c r="MMG27" s="209"/>
      <c r="MMH27" s="209"/>
      <c r="MMI27" s="209"/>
      <c r="MMJ27" s="209"/>
      <c r="MMK27" s="209"/>
      <c r="MML27" s="209"/>
      <c r="MMM27" s="209"/>
      <c r="MMN27" s="209"/>
      <c r="MMO27" s="209"/>
      <c r="MMP27" s="209"/>
      <c r="MMQ27" s="209"/>
      <c r="MMR27" s="209"/>
      <c r="MMS27" s="209"/>
      <c r="MMT27" s="209"/>
      <c r="MMU27" s="209"/>
      <c r="MMV27" s="209"/>
      <c r="MMW27" s="209"/>
      <c r="MMX27" s="209"/>
      <c r="MMY27" s="209"/>
      <c r="MMZ27" s="209"/>
      <c r="MNA27" s="209"/>
      <c r="MNB27" s="209"/>
      <c r="MNC27" s="209"/>
      <c r="MND27" s="209"/>
      <c r="MNE27" s="209"/>
      <c r="MNF27" s="209"/>
      <c r="MNG27" s="209"/>
      <c r="MNH27" s="209"/>
      <c r="MNI27" s="209"/>
      <c r="MNJ27" s="209"/>
      <c r="MNK27" s="209"/>
      <c r="MNL27" s="209"/>
      <c r="MNM27" s="209"/>
      <c r="MNN27" s="209"/>
      <c r="MNO27" s="209"/>
      <c r="MNP27" s="209"/>
      <c r="MNQ27" s="209"/>
      <c r="MNR27" s="209"/>
      <c r="MNS27" s="209"/>
      <c r="MNT27" s="209"/>
      <c r="MNU27" s="209"/>
      <c r="MNV27" s="209"/>
      <c r="MNW27" s="209"/>
      <c r="MNX27" s="209"/>
      <c r="MNY27" s="209"/>
      <c r="MNZ27" s="209"/>
      <c r="MOA27" s="209"/>
      <c r="MOB27" s="209"/>
      <c r="MOC27" s="209"/>
      <c r="MOD27" s="209"/>
      <c r="MOE27" s="209"/>
      <c r="MOF27" s="209"/>
      <c r="MOG27" s="209"/>
      <c r="MOH27" s="209"/>
      <c r="MOI27" s="209"/>
      <c r="MOJ27" s="209"/>
      <c r="MOK27" s="209"/>
      <c r="MOL27" s="209"/>
      <c r="MOM27" s="209"/>
      <c r="MON27" s="209"/>
      <c r="MOO27" s="209"/>
      <c r="MOP27" s="209"/>
      <c r="MOQ27" s="209"/>
      <c r="MOR27" s="209"/>
      <c r="MOS27" s="209"/>
      <c r="MOT27" s="209"/>
      <c r="MOU27" s="209"/>
      <c r="MOV27" s="209"/>
      <c r="MOW27" s="209"/>
      <c r="MOX27" s="209"/>
      <c r="MOY27" s="209"/>
      <c r="MOZ27" s="209"/>
      <c r="MPA27" s="209"/>
      <c r="MPB27" s="209"/>
      <c r="MPC27" s="209"/>
      <c r="MPD27" s="209"/>
      <c r="MPE27" s="209"/>
      <c r="MPF27" s="209"/>
      <c r="MPG27" s="209"/>
      <c r="MPH27" s="209"/>
      <c r="MPI27" s="209"/>
      <c r="MPJ27" s="209"/>
      <c r="MPK27" s="209"/>
      <c r="MPL27" s="209"/>
      <c r="MPM27" s="209"/>
      <c r="MPN27" s="209"/>
      <c r="MPO27" s="209"/>
      <c r="MPP27" s="209"/>
      <c r="MPQ27" s="209"/>
      <c r="MPR27" s="209"/>
      <c r="MPS27" s="209"/>
      <c r="MPT27" s="209"/>
      <c r="MPU27" s="209"/>
      <c r="MPV27" s="209"/>
      <c r="MPW27" s="209"/>
      <c r="MPX27" s="209"/>
      <c r="MPY27" s="209"/>
      <c r="MPZ27" s="209"/>
      <c r="MQA27" s="209"/>
      <c r="MQB27" s="209"/>
      <c r="MQC27" s="209"/>
      <c r="MQD27" s="209"/>
      <c r="MQE27" s="209"/>
      <c r="MQF27" s="209"/>
      <c r="MQG27" s="209"/>
      <c r="MQH27" s="209"/>
      <c r="MQI27" s="209"/>
      <c r="MQJ27" s="209"/>
      <c r="MQK27" s="209"/>
      <c r="MQL27" s="209"/>
      <c r="MQM27" s="209"/>
      <c r="MQN27" s="209"/>
      <c r="MQO27" s="209"/>
      <c r="MQP27" s="209"/>
      <c r="MQQ27" s="209"/>
      <c r="MQR27" s="209"/>
      <c r="MQS27" s="209"/>
      <c r="MQT27" s="209"/>
      <c r="MQU27" s="209"/>
      <c r="MQV27" s="209"/>
      <c r="MQW27" s="209"/>
      <c r="MQX27" s="209"/>
      <c r="MQY27" s="209"/>
      <c r="MQZ27" s="209"/>
      <c r="MRA27" s="209"/>
      <c r="MRB27" s="209"/>
      <c r="MRC27" s="209"/>
      <c r="MRD27" s="209"/>
      <c r="MRE27" s="209"/>
      <c r="MRF27" s="209"/>
      <c r="MRG27" s="209"/>
      <c r="MRH27" s="209"/>
      <c r="MRI27" s="209"/>
      <c r="MRJ27" s="209"/>
      <c r="MRK27" s="209"/>
      <c r="MRL27" s="209"/>
      <c r="MRM27" s="209"/>
      <c r="MRN27" s="209"/>
      <c r="MRO27" s="209"/>
      <c r="MRP27" s="209"/>
      <c r="MRQ27" s="209"/>
      <c r="MRR27" s="209"/>
      <c r="MRS27" s="209"/>
      <c r="MRT27" s="209"/>
      <c r="MRU27" s="209"/>
      <c r="MRV27" s="209"/>
      <c r="MRW27" s="209"/>
      <c r="MRX27" s="209"/>
      <c r="MRY27" s="209"/>
      <c r="MRZ27" s="209"/>
      <c r="MSA27" s="209"/>
      <c r="MSB27" s="209"/>
      <c r="MSC27" s="209"/>
      <c r="MSD27" s="209"/>
      <c r="MSE27" s="209"/>
      <c r="MSF27" s="209"/>
      <c r="MSG27" s="209"/>
      <c r="MSH27" s="209"/>
      <c r="MSI27" s="209"/>
      <c r="MSJ27" s="209"/>
      <c r="MSK27" s="209"/>
      <c r="MSL27" s="209"/>
      <c r="MSM27" s="209"/>
      <c r="MSN27" s="209"/>
      <c r="MSO27" s="209"/>
      <c r="MSP27" s="209"/>
      <c r="MSQ27" s="209"/>
      <c r="MSR27" s="209"/>
      <c r="MSS27" s="209"/>
      <c r="MST27" s="209"/>
      <c r="MSU27" s="209"/>
      <c r="MSV27" s="209"/>
      <c r="MSW27" s="209"/>
      <c r="MSX27" s="209"/>
      <c r="MSY27" s="209"/>
      <c r="MSZ27" s="209"/>
      <c r="MTA27" s="209"/>
      <c r="MTB27" s="209"/>
      <c r="MTC27" s="209"/>
      <c r="MTD27" s="209"/>
      <c r="MTE27" s="209"/>
      <c r="MTF27" s="209"/>
      <c r="MTG27" s="209"/>
      <c r="MTH27" s="209"/>
      <c r="MTI27" s="209"/>
      <c r="MTJ27" s="209"/>
      <c r="MTK27" s="209"/>
      <c r="MTL27" s="209"/>
      <c r="MTM27" s="209"/>
      <c r="MTN27" s="209"/>
      <c r="MTO27" s="209"/>
      <c r="MTP27" s="209"/>
      <c r="MTQ27" s="209"/>
      <c r="MTR27" s="209"/>
      <c r="MTS27" s="209"/>
      <c r="MTT27" s="209"/>
      <c r="MTU27" s="209"/>
      <c r="MTV27" s="209"/>
      <c r="MTW27" s="209"/>
      <c r="MTX27" s="209"/>
      <c r="MTY27" s="209"/>
      <c r="MTZ27" s="209"/>
      <c r="MUA27" s="209"/>
      <c r="MUB27" s="209"/>
      <c r="MUC27" s="209"/>
      <c r="MUD27" s="209"/>
      <c r="MUE27" s="209"/>
      <c r="MUF27" s="209"/>
      <c r="MUG27" s="209"/>
      <c r="MUH27" s="209"/>
      <c r="MUI27" s="209"/>
      <c r="MUJ27" s="209"/>
      <c r="MUK27" s="209"/>
      <c r="MUL27" s="209"/>
      <c r="MUM27" s="209"/>
      <c r="MUN27" s="209"/>
      <c r="MUO27" s="209"/>
      <c r="MUP27" s="209"/>
      <c r="MUQ27" s="209"/>
      <c r="MUR27" s="209"/>
      <c r="MUS27" s="209"/>
      <c r="MUT27" s="209"/>
      <c r="MUU27" s="209"/>
      <c r="MUV27" s="209"/>
      <c r="MUW27" s="209"/>
      <c r="MUX27" s="209"/>
      <c r="MUY27" s="209"/>
      <c r="MUZ27" s="209"/>
      <c r="MVA27" s="209"/>
      <c r="MVB27" s="209"/>
      <c r="MVC27" s="209"/>
      <c r="MVD27" s="209"/>
      <c r="MVE27" s="209"/>
      <c r="MVF27" s="209"/>
      <c r="MVG27" s="209"/>
      <c r="MVH27" s="209"/>
      <c r="MVI27" s="209"/>
      <c r="MVJ27" s="209"/>
      <c r="MVK27" s="209"/>
      <c r="MVL27" s="209"/>
      <c r="MVM27" s="209"/>
      <c r="MVN27" s="209"/>
      <c r="MVO27" s="209"/>
      <c r="MVP27" s="209"/>
      <c r="MVQ27" s="209"/>
      <c r="MVR27" s="209"/>
      <c r="MVS27" s="209"/>
      <c r="MVT27" s="209"/>
      <c r="MVU27" s="209"/>
      <c r="MVV27" s="209"/>
      <c r="MVW27" s="209"/>
      <c r="MVX27" s="209"/>
      <c r="MVY27" s="209"/>
      <c r="MVZ27" s="209"/>
      <c r="MWA27" s="209"/>
      <c r="MWB27" s="209"/>
      <c r="MWC27" s="209"/>
      <c r="MWD27" s="209"/>
      <c r="MWE27" s="209"/>
      <c r="MWF27" s="209"/>
      <c r="MWG27" s="209"/>
      <c r="MWH27" s="209"/>
      <c r="MWI27" s="209"/>
      <c r="MWJ27" s="209"/>
      <c r="MWK27" s="209"/>
      <c r="MWL27" s="209"/>
      <c r="MWM27" s="209"/>
      <c r="MWN27" s="209"/>
      <c r="MWO27" s="209"/>
      <c r="MWP27" s="209"/>
      <c r="MWQ27" s="209"/>
      <c r="MWR27" s="209"/>
      <c r="MWS27" s="209"/>
      <c r="MWT27" s="209"/>
      <c r="MWU27" s="209"/>
      <c r="MWV27" s="209"/>
      <c r="MWW27" s="209"/>
      <c r="MWX27" s="209"/>
      <c r="MWY27" s="209"/>
      <c r="MWZ27" s="209"/>
      <c r="MXA27" s="209"/>
      <c r="MXB27" s="209"/>
      <c r="MXC27" s="209"/>
      <c r="MXD27" s="209"/>
      <c r="MXE27" s="209"/>
      <c r="MXF27" s="209"/>
      <c r="MXG27" s="209"/>
      <c r="MXH27" s="209"/>
      <c r="MXI27" s="209"/>
      <c r="MXJ27" s="209"/>
      <c r="MXK27" s="209"/>
      <c r="MXL27" s="209"/>
      <c r="MXM27" s="209"/>
      <c r="MXN27" s="209"/>
      <c r="MXO27" s="209"/>
      <c r="MXP27" s="209"/>
      <c r="MXQ27" s="209"/>
      <c r="MXR27" s="209"/>
      <c r="MXS27" s="209"/>
      <c r="MXT27" s="209"/>
      <c r="MXU27" s="209"/>
      <c r="MXV27" s="209"/>
      <c r="MXW27" s="209"/>
      <c r="MXX27" s="209"/>
      <c r="MXY27" s="209"/>
      <c r="MXZ27" s="209"/>
      <c r="MYA27" s="209"/>
      <c r="MYB27" s="209"/>
      <c r="MYC27" s="209"/>
      <c r="MYD27" s="209"/>
      <c r="MYE27" s="209"/>
      <c r="MYF27" s="209"/>
      <c r="MYG27" s="209"/>
      <c r="MYH27" s="209"/>
      <c r="MYI27" s="209"/>
      <c r="MYJ27" s="209"/>
      <c r="MYK27" s="209"/>
      <c r="MYL27" s="209"/>
      <c r="MYM27" s="209"/>
      <c r="MYN27" s="209"/>
      <c r="MYO27" s="209"/>
      <c r="MYP27" s="209"/>
      <c r="MYQ27" s="209"/>
      <c r="MYR27" s="209"/>
      <c r="MYS27" s="209"/>
      <c r="MYT27" s="209"/>
      <c r="MYU27" s="209"/>
      <c r="MYV27" s="209"/>
      <c r="MYW27" s="209"/>
      <c r="MYX27" s="209"/>
      <c r="MYY27" s="209"/>
      <c r="MYZ27" s="209"/>
      <c r="MZA27" s="209"/>
      <c r="MZB27" s="209"/>
      <c r="MZC27" s="209"/>
      <c r="MZD27" s="209"/>
      <c r="MZE27" s="209"/>
      <c r="MZF27" s="209"/>
      <c r="MZG27" s="209"/>
      <c r="MZH27" s="209"/>
      <c r="MZI27" s="209"/>
      <c r="MZJ27" s="209"/>
      <c r="MZK27" s="209"/>
      <c r="MZL27" s="209"/>
      <c r="MZM27" s="209"/>
      <c r="MZN27" s="209"/>
      <c r="MZO27" s="209"/>
      <c r="MZP27" s="209"/>
      <c r="MZQ27" s="209"/>
      <c r="MZR27" s="209"/>
      <c r="MZS27" s="209"/>
      <c r="MZT27" s="209"/>
      <c r="MZU27" s="209"/>
      <c r="MZV27" s="209"/>
      <c r="MZW27" s="209"/>
      <c r="MZX27" s="209"/>
      <c r="MZY27" s="209"/>
      <c r="MZZ27" s="209"/>
      <c r="NAA27" s="209"/>
      <c r="NAB27" s="209"/>
      <c r="NAC27" s="209"/>
      <c r="NAD27" s="209"/>
      <c r="NAE27" s="209"/>
      <c r="NAF27" s="209"/>
      <c r="NAG27" s="209"/>
      <c r="NAH27" s="209"/>
      <c r="NAI27" s="209"/>
      <c r="NAJ27" s="209"/>
      <c r="NAK27" s="209"/>
      <c r="NAL27" s="209"/>
      <c r="NAM27" s="209"/>
      <c r="NAN27" s="209"/>
      <c r="NAO27" s="209"/>
      <c r="NAP27" s="209"/>
      <c r="NAQ27" s="209"/>
      <c r="NAR27" s="209"/>
      <c r="NAS27" s="209"/>
      <c r="NAT27" s="209"/>
      <c r="NAU27" s="209"/>
      <c r="NAV27" s="209"/>
      <c r="NAW27" s="209"/>
      <c r="NAX27" s="209"/>
      <c r="NAY27" s="209"/>
      <c r="NAZ27" s="209"/>
      <c r="NBA27" s="209"/>
      <c r="NBB27" s="209"/>
      <c r="NBC27" s="209"/>
      <c r="NBD27" s="209"/>
      <c r="NBE27" s="209"/>
      <c r="NBF27" s="209"/>
      <c r="NBG27" s="209"/>
      <c r="NBH27" s="209"/>
      <c r="NBI27" s="209"/>
      <c r="NBJ27" s="209"/>
      <c r="NBK27" s="209"/>
      <c r="NBL27" s="209"/>
      <c r="NBM27" s="209"/>
      <c r="NBN27" s="209"/>
      <c r="NBO27" s="209"/>
      <c r="NBP27" s="209"/>
      <c r="NBQ27" s="209"/>
      <c r="NBR27" s="209"/>
      <c r="NBS27" s="209"/>
      <c r="NBT27" s="209"/>
      <c r="NBU27" s="209"/>
      <c r="NBV27" s="209"/>
      <c r="NBW27" s="209"/>
      <c r="NBX27" s="209"/>
      <c r="NBY27" s="209"/>
      <c r="NBZ27" s="209"/>
      <c r="NCA27" s="209"/>
      <c r="NCB27" s="209"/>
      <c r="NCC27" s="209"/>
      <c r="NCD27" s="209"/>
      <c r="NCE27" s="209"/>
      <c r="NCF27" s="209"/>
      <c r="NCG27" s="209"/>
      <c r="NCH27" s="209"/>
      <c r="NCI27" s="209"/>
      <c r="NCJ27" s="209"/>
      <c r="NCK27" s="209"/>
      <c r="NCL27" s="209"/>
      <c r="NCM27" s="209"/>
      <c r="NCN27" s="209"/>
      <c r="NCO27" s="209"/>
      <c r="NCP27" s="209"/>
      <c r="NCQ27" s="209"/>
      <c r="NCR27" s="209"/>
      <c r="NCS27" s="209"/>
      <c r="NCT27" s="209"/>
      <c r="NCU27" s="209"/>
      <c r="NCV27" s="209"/>
      <c r="NCW27" s="209"/>
      <c r="NCX27" s="209"/>
      <c r="NCY27" s="209"/>
      <c r="NCZ27" s="209"/>
      <c r="NDA27" s="209"/>
      <c r="NDB27" s="209"/>
      <c r="NDC27" s="209"/>
      <c r="NDD27" s="209"/>
      <c r="NDE27" s="209"/>
      <c r="NDF27" s="209"/>
      <c r="NDG27" s="209"/>
      <c r="NDH27" s="209"/>
      <c r="NDI27" s="209"/>
      <c r="NDJ27" s="209"/>
      <c r="NDK27" s="209"/>
      <c r="NDL27" s="209"/>
      <c r="NDM27" s="209"/>
      <c r="NDN27" s="209"/>
      <c r="NDO27" s="209"/>
      <c r="NDP27" s="209"/>
      <c r="NDQ27" s="209"/>
      <c r="NDR27" s="209"/>
      <c r="NDS27" s="209"/>
      <c r="NDT27" s="209"/>
      <c r="NDU27" s="209"/>
      <c r="NDV27" s="209"/>
      <c r="NDW27" s="209"/>
      <c r="NDX27" s="209"/>
      <c r="NDY27" s="209"/>
      <c r="NDZ27" s="209"/>
      <c r="NEA27" s="209"/>
      <c r="NEB27" s="209"/>
      <c r="NEC27" s="209"/>
      <c r="NED27" s="209"/>
      <c r="NEE27" s="209"/>
      <c r="NEF27" s="209"/>
      <c r="NEG27" s="209"/>
      <c r="NEH27" s="209"/>
      <c r="NEI27" s="209"/>
      <c r="NEJ27" s="209"/>
      <c r="NEK27" s="209"/>
      <c r="NEL27" s="209"/>
      <c r="NEM27" s="209"/>
      <c r="NEN27" s="209"/>
      <c r="NEO27" s="209"/>
      <c r="NEP27" s="209"/>
      <c r="NEQ27" s="209"/>
      <c r="NER27" s="209"/>
      <c r="NES27" s="209"/>
      <c r="NET27" s="209"/>
      <c r="NEU27" s="209"/>
      <c r="NEV27" s="209"/>
      <c r="NEW27" s="209"/>
      <c r="NEX27" s="209"/>
      <c r="NEY27" s="209"/>
      <c r="NEZ27" s="209"/>
      <c r="NFA27" s="209"/>
      <c r="NFB27" s="209"/>
      <c r="NFC27" s="209"/>
      <c r="NFD27" s="209"/>
      <c r="NFE27" s="209"/>
      <c r="NFF27" s="209"/>
      <c r="NFG27" s="209"/>
      <c r="NFH27" s="209"/>
      <c r="NFI27" s="209"/>
      <c r="NFJ27" s="209"/>
      <c r="NFK27" s="209"/>
      <c r="NFL27" s="209"/>
      <c r="NFM27" s="209"/>
      <c r="NFN27" s="209"/>
      <c r="NFO27" s="209"/>
      <c r="NFP27" s="209"/>
      <c r="NFQ27" s="209"/>
      <c r="NFR27" s="209"/>
      <c r="NFS27" s="209"/>
      <c r="NFT27" s="209"/>
      <c r="NFU27" s="209"/>
      <c r="NFV27" s="209"/>
      <c r="NFW27" s="209"/>
      <c r="NFX27" s="209"/>
      <c r="NFY27" s="209"/>
      <c r="NFZ27" s="209"/>
      <c r="NGA27" s="209"/>
      <c r="NGB27" s="209"/>
      <c r="NGC27" s="209"/>
      <c r="NGD27" s="209"/>
      <c r="NGE27" s="209"/>
      <c r="NGF27" s="209"/>
      <c r="NGG27" s="209"/>
      <c r="NGH27" s="209"/>
      <c r="NGI27" s="209"/>
      <c r="NGJ27" s="209"/>
      <c r="NGK27" s="209"/>
      <c r="NGL27" s="209"/>
      <c r="NGM27" s="209"/>
      <c r="NGN27" s="209"/>
      <c r="NGO27" s="209"/>
      <c r="NGP27" s="209"/>
      <c r="NGQ27" s="209"/>
      <c r="NGR27" s="209"/>
      <c r="NGS27" s="209"/>
      <c r="NGT27" s="209"/>
      <c r="NGU27" s="209"/>
      <c r="NGV27" s="209"/>
      <c r="NGW27" s="209"/>
      <c r="NGX27" s="209"/>
      <c r="NGY27" s="209"/>
      <c r="NGZ27" s="209"/>
      <c r="NHA27" s="209"/>
      <c r="NHB27" s="209"/>
      <c r="NHC27" s="209"/>
      <c r="NHD27" s="209"/>
      <c r="NHE27" s="209"/>
      <c r="NHF27" s="209"/>
      <c r="NHG27" s="209"/>
      <c r="NHH27" s="209"/>
      <c r="NHI27" s="209"/>
      <c r="NHJ27" s="209"/>
      <c r="NHK27" s="209"/>
      <c r="NHL27" s="209"/>
      <c r="NHM27" s="209"/>
      <c r="NHN27" s="209"/>
      <c r="NHO27" s="209"/>
      <c r="NHP27" s="209"/>
      <c r="NHQ27" s="209"/>
      <c r="NHR27" s="209"/>
      <c r="NHS27" s="209"/>
      <c r="NHT27" s="209"/>
      <c r="NHU27" s="209"/>
      <c r="NHV27" s="209"/>
      <c r="NHW27" s="209"/>
      <c r="NHX27" s="209"/>
      <c r="NHY27" s="209"/>
      <c r="NHZ27" s="209"/>
      <c r="NIA27" s="209"/>
      <c r="NIB27" s="209"/>
      <c r="NIC27" s="209"/>
      <c r="NID27" s="209"/>
      <c r="NIE27" s="209"/>
      <c r="NIF27" s="209"/>
      <c r="NIG27" s="209"/>
      <c r="NIH27" s="209"/>
      <c r="NII27" s="209"/>
      <c r="NIJ27" s="209"/>
      <c r="NIK27" s="209"/>
      <c r="NIL27" s="209"/>
      <c r="NIM27" s="209"/>
      <c r="NIN27" s="209"/>
      <c r="NIO27" s="209"/>
      <c r="NIP27" s="209"/>
      <c r="NIQ27" s="209"/>
      <c r="NIR27" s="209"/>
      <c r="NIS27" s="209"/>
      <c r="NIT27" s="209"/>
      <c r="NIU27" s="209"/>
      <c r="NIV27" s="209"/>
      <c r="NIW27" s="209"/>
      <c r="NIX27" s="209"/>
      <c r="NIY27" s="209"/>
      <c r="NIZ27" s="209"/>
      <c r="NJA27" s="209"/>
      <c r="NJB27" s="209"/>
      <c r="NJC27" s="209"/>
      <c r="NJD27" s="209"/>
      <c r="NJE27" s="209"/>
      <c r="NJF27" s="209"/>
      <c r="NJG27" s="209"/>
      <c r="NJH27" s="209"/>
      <c r="NJI27" s="209"/>
      <c r="NJJ27" s="209"/>
      <c r="NJK27" s="209"/>
      <c r="NJL27" s="209"/>
      <c r="NJM27" s="209"/>
      <c r="NJN27" s="209"/>
      <c r="NJO27" s="209"/>
      <c r="NJP27" s="209"/>
      <c r="NJQ27" s="209"/>
      <c r="NJR27" s="209"/>
      <c r="NJS27" s="209"/>
      <c r="NJT27" s="209"/>
      <c r="NJU27" s="209"/>
      <c r="NJV27" s="209"/>
      <c r="NJW27" s="209"/>
      <c r="NJX27" s="209"/>
      <c r="NJY27" s="209"/>
      <c r="NJZ27" s="209"/>
      <c r="NKA27" s="209"/>
      <c r="NKB27" s="209"/>
      <c r="NKC27" s="209"/>
      <c r="NKD27" s="209"/>
      <c r="NKE27" s="209"/>
      <c r="NKF27" s="209"/>
      <c r="NKG27" s="209"/>
      <c r="NKH27" s="209"/>
      <c r="NKI27" s="209"/>
      <c r="NKJ27" s="209"/>
      <c r="NKK27" s="209"/>
      <c r="NKL27" s="209"/>
      <c r="NKM27" s="209"/>
      <c r="NKN27" s="209"/>
      <c r="NKO27" s="209"/>
      <c r="NKP27" s="209"/>
      <c r="NKQ27" s="209"/>
      <c r="NKR27" s="209"/>
      <c r="NKS27" s="209"/>
      <c r="NKT27" s="209"/>
      <c r="NKU27" s="209"/>
      <c r="NKV27" s="209"/>
      <c r="NKW27" s="209"/>
      <c r="NKX27" s="209"/>
      <c r="NKY27" s="209"/>
      <c r="NKZ27" s="209"/>
      <c r="NLA27" s="209"/>
      <c r="NLB27" s="209"/>
      <c r="NLC27" s="209"/>
      <c r="NLD27" s="209"/>
      <c r="NLE27" s="209"/>
      <c r="NLF27" s="209"/>
      <c r="NLG27" s="209"/>
      <c r="NLH27" s="209"/>
      <c r="NLI27" s="209"/>
      <c r="NLJ27" s="209"/>
      <c r="NLK27" s="209"/>
      <c r="NLL27" s="209"/>
      <c r="NLM27" s="209"/>
      <c r="NLN27" s="209"/>
      <c r="NLO27" s="209"/>
      <c r="NLP27" s="209"/>
      <c r="NLQ27" s="209"/>
      <c r="NLR27" s="209"/>
      <c r="NLS27" s="209"/>
      <c r="NLT27" s="209"/>
      <c r="NLU27" s="209"/>
      <c r="NLV27" s="209"/>
      <c r="NLW27" s="209"/>
      <c r="NLX27" s="209"/>
      <c r="NLY27" s="209"/>
      <c r="NLZ27" s="209"/>
      <c r="NMA27" s="209"/>
      <c r="NMB27" s="209"/>
      <c r="NMC27" s="209"/>
      <c r="NMD27" s="209"/>
      <c r="NME27" s="209"/>
      <c r="NMF27" s="209"/>
      <c r="NMG27" s="209"/>
      <c r="NMH27" s="209"/>
      <c r="NMI27" s="209"/>
      <c r="NMJ27" s="209"/>
      <c r="NMK27" s="209"/>
      <c r="NML27" s="209"/>
      <c r="NMM27" s="209"/>
      <c r="NMN27" s="209"/>
      <c r="NMO27" s="209"/>
      <c r="NMP27" s="209"/>
      <c r="NMQ27" s="209"/>
      <c r="NMR27" s="209"/>
      <c r="NMS27" s="209"/>
      <c r="NMT27" s="209"/>
      <c r="NMU27" s="209"/>
      <c r="NMV27" s="209"/>
      <c r="NMW27" s="209"/>
      <c r="NMX27" s="209"/>
      <c r="NMY27" s="209"/>
      <c r="NMZ27" s="209"/>
      <c r="NNA27" s="209"/>
      <c r="NNB27" s="209"/>
      <c r="NNC27" s="209"/>
      <c r="NND27" s="209"/>
      <c r="NNE27" s="209"/>
      <c r="NNF27" s="209"/>
      <c r="NNG27" s="209"/>
      <c r="NNH27" s="209"/>
      <c r="NNI27" s="209"/>
      <c r="NNJ27" s="209"/>
      <c r="NNK27" s="209"/>
      <c r="NNL27" s="209"/>
      <c r="NNM27" s="209"/>
      <c r="NNN27" s="209"/>
      <c r="NNO27" s="209"/>
      <c r="NNP27" s="209"/>
      <c r="NNQ27" s="209"/>
      <c r="NNR27" s="209"/>
      <c r="NNS27" s="209"/>
      <c r="NNT27" s="209"/>
      <c r="NNU27" s="209"/>
      <c r="NNV27" s="209"/>
      <c r="NNW27" s="209"/>
      <c r="NNX27" s="209"/>
      <c r="NNY27" s="209"/>
      <c r="NNZ27" s="209"/>
      <c r="NOA27" s="209"/>
      <c r="NOB27" s="209"/>
      <c r="NOC27" s="209"/>
      <c r="NOD27" s="209"/>
      <c r="NOE27" s="209"/>
      <c r="NOF27" s="209"/>
      <c r="NOG27" s="209"/>
      <c r="NOH27" s="209"/>
      <c r="NOI27" s="209"/>
      <c r="NOJ27" s="209"/>
      <c r="NOK27" s="209"/>
      <c r="NOL27" s="209"/>
      <c r="NOM27" s="209"/>
      <c r="NON27" s="209"/>
      <c r="NOO27" s="209"/>
      <c r="NOP27" s="209"/>
      <c r="NOQ27" s="209"/>
      <c r="NOR27" s="209"/>
      <c r="NOS27" s="209"/>
      <c r="NOT27" s="209"/>
      <c r="NOU27" s="209"/>
      <c r="NOV27" s="209"/>
      <c r="NOW27" s="209"/>
      <c r="NOX27" s="209"/>
      <c r="NOY27" s="209"/>
      <c r="NOZ27" s="209"/>
      <c r="NPA27" s="209"/>
      <c r="NPB27" s="209"/>
      <c r="NPC27" s="209"/>
      <c r="NPD27" s="209"/>
      <c r="NPE27" s="209"/>
      <c r="NPF27" s="209"/>
      <c r="NPG27" s="209"/>
      <c r="NPH27" s="209"/>
      <c r="NPI27" s="209"/>
      <c r="NPJ27" s="209"/>
      <c r="NPK27" s="209"/>
      <c r="NPL27" s="209"/>
      <c r="NPM27" s="209"/>
      <c r="NPN27" s="209"/>
      <c r="NPO27" s="209"/>
      <c r="NPP27" s="209"/>
      <c r="NPQ27" s="209"/>
      <c r="NPR27" s="209"/>
      <c r="NPS27" s="209"/>
      <c r="NPT27" s="209"/>
      <c r="NPU27" s="209"/>
      <c r="NPV27" s="209"/>
      <c r="NPW27" s="209"/>
      <c r="NPX27" s="209"/>
      <c r="NPY27" s="209"/>
      <c r="NPZ27" s="209"/>
      <c r="NQA27" s="209"/>
      <c r="NQB27" s="209"/>
      <c r="NQC27" s="209"/>
      <c r="NQD27" s="209"/>
      <c r="NQE27" s="209"/>
      <c r="NQF27" s="209"/>
      <c r="NQG27" s="209"/>
      <c r="NQH27" s="209"/>
      <c r="NQI27" s="209"/>
      <c r="NQJ27" s="209"/>
      <c r="NQK27" s="209"/>
      <c r="NQL27" s="209"/>
      <c r="NQM27" s="209"/>
      <c r="NQN27" s="209"/>
      <c r="NQO27" s="209"/>
      <c r="NQP27" s="209"/>
      <c r="NQQ27" s="209"/>
      <c r="NQR27" s="209"/>
      <c r="NQS27" s="209"/>
      <c r="NQT27" s="209"/>
      <c r="NQU27" s="209"/>
      <c r="NQV27" s="209"/>
      <c r="NQW27" s="209"/>
      <c r="NQX27" s="209"/>
      <c r="NQY27" s="209"/>
      <c r="NQZ27" s="209"/>
      <c r="NRA27" s="209"/>
      <c r="NRB27" s="209"/>
      <c r="NRC27" s="209"/>
      <c r="NRD27" s="209"/>
      <c r="NRE27" s="209"/>
      <c r="NRF27" s="209"/>
      <c r="NRG27" s="209"/>
      <c r="NRH27" s="209"/>
      <c r="NRI27" s="209"/>
      <c r="NRJ27" s="209"/>
      <c r="NRK27" s="209"/>
      <c r="NRL27" s="209"/>
      <c r="NRM27" s="209"/>
      <c r="NRN27" s="209"/>
      <c r="NRO27" s="209"/>
      <c r="NRP27" s="209"/>
      <c r="NRQ27" s="209"/>
      <c r="NRR27" s="209"/>
      <c r="NRS27" s="209"/>
      <c r="NRT27" s="209"/>
      <c r="NRU27" s="209"/>
      <c r="NRV27" s="209"/>
      <c r="NRW27" s="209"/>
      <c r="NRX27" s="209"/>
      <c r="NRY27" s="209"/>
      <c r="NRZ27" s="209"/>
      <c r="NSA27" s="209"/>
      <c r="NSB27" s="209"/>
      <c r="NSC27" s="209"/>
      <c r="NSD27" s="209"/>
      <c r="NSE27" s="209"/>
      <c r="NSF27" s="209"/>
      <c r="NSG27" s="209"/>
      <c r="NSH27" s="209"/>
      <c r="NSI27" s="209"/>
      <c r="NSJ27" s="209"/>
      <c r="NSK27" s="209"/>
      <c r="NSL27" s="209"/>
      <c r="NSM27" s="209"/>
      <c r="NSN27" s="209"/>
      <c r="NSO27" s="209"/>
      <c r="NSP27" s="209"/>
      <c r="NSQ27" s="209"/>
      <c r="NSR27" s="209"/>
      <c r="NSS27" s="209"/>
      <c r="NST27" s="209"/>
      <c r="NSU27" s="209"/>
      <c r="NSV27" s="209"/>
      <c r="NSW27" s="209"/>
      <c r="NSX27" s="209"/>
      <c r="NSY27" s="209"/>
      <c r="NSZ27" s="209"/>
      <c r="NTA27" s="209"/>
      <c r="NTB27" s="209"/>
      <c r="NTC27" s="209"/>
      <c r="NTD27" s="209"/>
      <c r="NTE27" s="209"/>
      <c r="NTF27" s="209"/>
      <c r="NTG27" s="209"/>
      <c r="NTH27" s="209"/>
      <c r="NTI27" s="209"/>
      <c r="NTJ27" s="209"/>
      <c r="NTK27" s="209"/>
      <c r="NTL27" s="209"/>
      <c r="NTM27" s="209"/>
      <c r="NTN27" s="209"/>
      <c r="NTO27" s="209"/>
      <c r="NTP27" s="209"/>
      <c r="NTQ27" s="209"/>
      <c r="NTR27" s="209"/>
      <c r="NTS27" s="209"/>
      <c r="NTT27" s="209"/>
      <c r="NTU27" s="209"/>
      <c r="NTV27" s="209"/>
      <c r="NTW27" s="209"/>
      <c r="NTX27" s="209"/>
      <c r="NTY27" s="209"/>
      <c r="NTZ27" s="209"/>
      <c r="NUA27" s="209"/>
      <c r="NUB27" s="209"/>
      <c r="NUC27" s="209"/>
      <c r="NUD27" s="209"/>
      <c r="NUE27" s="209"/>
      <c r="NUF27" s="209"/>
      <c r="NUG27" s="209"/>
      <c r="NUH27" s="209"/>
      <c r="NUI27" s="209"/>
      <c r="NUJ27" s="209"/>
      <c r="NUK27" s="209"/>
      <c r="NUL27" s="209"/>
      <c r="NUM27" s="209"/>
      <c r="NUN27" s="209"/>
      <c r="NUO27" s="209"/>
      <c r="NUP27" s="209"/>
      <c r="NUQ27" s="209"/>
      <c r="NUR27" s="209"/>
      <c r="NUS27" s="209"/>
      <c r="NUT27" s="209"/>
      <c r="NUU27" s="209"/>
      <c r="NUV27" s="209"/>
      <c r="NUW27" s="209"/>
      <c r="NUX27" s="209"/>
      <c r="NUY27" s="209"/>
      <c r="NUZ27" s="209"/>
      <c r="NVA27" s="209"/>
      <c r="NVB27" s="209"/>
      <c r="NVC27" s="209"/>
      <c r="NVD27" s="209"/>
      <c r="NVE27" s="209"/>
      <c r="NVF27" s="209"/>
      <c r="NVG27" s="209"/>
      <c r="NVH27" s="209"/>
      <c r="NVI27" s="209"/>
      <c r="NVJ27" s="209"/>
      <c r="NVK27" s="209"/>
      <c r="NVL27" s="209"/>
      <c r="NVM27" s="209"/>
      <c r="NVN27" s="209"/>
      <c r="NVO27" s="209"/>
      <c r="NVP27" s="209"/>
      <c r="NVQ27" s="209"/>
      <c r="NVR27" s="209"/>
      <c r="NVS27" s="209"/>
      <c r="NVT27" s="209"/>
      <c r="NVU27" s="209"/>
      <c r="NVV27" s="209"/>
      <c r="NVW27" s="209"/>
      <c r="NVX27" s="209"/>
      <c r="NVY27" s="209"/>
      <c r="NVZ27" s="209"/>
      <c r="NWA27" s="209"/>
      <c r="NWB27" s="209"/>
      <c r="NWC27" s="209"/>
      <c r="NWD27" s="209"/>
      <c r="NWE27" s="209"/>
      <c r="NWF27" s="209"/>
      <c r="NWG27" s="209"/>
      <c r="NWH27" s="209"/>
      <c r="NWI27" s="209"/>
      <c r="NWJ27" s="209"/>
      <c r="NWK27" s="209"/>
      <c r="NWL27" s="209"/>
      <c r="NWM27" s="209"/>
      <c r="NWN27" s="209"/>
      <c r="NWO27" s="209"/>
      <c r="NWP27" s="209"/>
      <c r="NWQ27" s="209"/>
      <c r="NWR27" s="209"/>
      <c r="NWS27" s="209"/>
      <c r="NWT27" s="209"/>
      <c r="NWU27" s="209"/>
      <c r="NWV27" s="209"/>
      <c r="NWW27" s="209"/>
      <c r="NWX27" s="209"/>
      <c r="NWY27" s="209"/>
      <c r="NWZ27" s="209"/>
      <c r="NXA27" s="209"/>
      <c r="NXB27" s="209"/>
      <c r="NXC27" s="209"/>
      <c r="NXD27" s="209"/>
      <c r="NXE27" s="209"/>
      <c r="NXF27" s="209"/>
      <c r="NXG27" s="209"/>
      <c r="NXH27" s="209"/>
      <c r="NXI27" s="209"/>
      <c r="NXJ27" s="209"/>
      <c r="NXK27" s="209"/>
      <c r="NXL27" s="209"/>
      <c r="NXM27" s="209"/>
      <c r="NXN27" s="209"/>
      <c r="NXO27" s="209"/>
      <c r="NXP27" s="209"/>
      <c r="NXQ27" s="209"/>
      <c r="NXR27" s="209"/>
      <c r="NXS27" s="209"/>
      <c r="NXT27" s="209"/>
      <c r="NXU27" s="209"/>
      <c r="NXV27" s="209"/>
      <c r="NXW27" s="209"/>
      <c r="NXX27" s="209"/>
      <c r="NXY27" s="209"/>
      <c r="NXZ27" s="209"/>
      <c r="NYA27" s="209"/>
      <c r="NYB27" s="209"/>
      <c r="NYC27" s="209"/>
      <c r="NYD27" s="209"/>
      <c r="NYE27" s="209"/>
      <c r="NYF27" s="209"/>
      <c r="NYG27" s="209"/>
      <c r="NYH27" s="209"/>
      <c r="NYI27" s="209"/>
      <c r="NYJ27" s="209"/>
      <c r="NYK27" s="209"/>
      <c r="NYL27" s="209"/>
      <c r="NYM27" s="209"/>
      <c r="NYN27" s="209"/>
      <c r="NYO27" s="209"/>
      <c r="NYP27" s="209"/>
      <c r="NYQ27" s="209"/>
      <c r="NYR27" s="209"/>
      <c r="NYS27" s="209"/>
      <c r="NYT27" s="209"/>
      <c r="NYU27" s="209"/>
      <c r="NYV27" s="209"/>
      <c r="NYW27" s="209"/>
      <c r="NYX27" s="209"/>
      <c r="NYY27" s="209"/>
      <c r="NYZ27" s="209"/>
      <c r="NZA27" s="209"/>
      <c r="NZB27" s="209"/>
      <c r="NZC27" s="209"/>
      <c r="NZD27" s="209"/>
      <c r="NZE27" s="209"/>
      <c r="NZF27" s="209"/>
      <c r="NZG27" s="209"/>
      <c r="NZH27" s="209"/>
      <c r="NZI27" s="209"/>
      <c r="NZJ27" s="209"/>
      <c r="NZK27" s="209"/>
      <c r="NZL27" s="209"/>
      <c r="NZM27" s="209"/>
      <c r="NZN27" s="209"/>
      <c r="NZO27" s="209"/>
      <c r="NZP27" s="209"/>
      <c r="NZQ27" s="209"/>
      <c r="NZR27" s="209"/>
      <c r="NZS27" s="209"/>
      <c r="NZT27" s="209"/>
      <c r="NZU27" s="209"/>
      <c r="NZV27" s="209"/>
      <c r="NZW27" s="209"/>
      <c r="NZX27" s="209"/>
      <c r="NZY27" s="209"/>
      <c r="NZZ27" s="209"/>
      <c r="OAA27" s="209"/>
      <c r="OAB27" s="209"/>
      <c r="OAC27" s="209"/>
      <c r="OAD27" s="209"/>
      <c r="OAE27" s="209"/>
      <c r="OAF27" s="209"/>
      <c r="OAG27" s="209"/>
      <c r="OAH27" s="209"/>
      <c r="OAI27" s="209"/>
      <c r="OAJ27" s="209"/>
      <c r="OAK27" s="209"/>
      <c r="OAL27" s="209"/>
      <c r="OAM27" s="209"/>
      <c r="OAN27" s="209"/>
      <c r="OAO27" s="209"/>
      <c r="OAP27" s="209"/>
      <c r="OAQ27" s="209"/>
      <c r="OAR27" s="209"/>
      <c r="OAS27" s="209"/>
      <c r="OAT27" s="209"/>
      <c r="OAU27" s="209"/>
      <c r="OAV27" s="209"/>
      <c r="OAW27" s="209"/>
      <c r="OAX27" s="209"/>
      <c r="OAY27" s="209"/>
      <c r="OAZ27" s="209"/>
      <c r="OBA27" s="209"/>
      <c r="OBB27" s="209"/>
      <c r="OBC27" s="209"/>
      <c r="OBD27" s="209"/>
      <c r="OBE27" s="209"/>
      <c r="OBF27" s="209"/>
      <c r="OBG27" s="209"/>
      <c r="OBH27" s="209"/>
      <c r="OBI27" s="209"/>
      <c r="OBJ27" s="209"/>
      <c r="OBK27" s="209"/>
      <c r="OBL27" s="209"/>
      <c r="OBM27" s="209"/>
      <c r="OBN27" s="209"/>
      <c r="OBO27" s="209"/>
      <c r="OBP27" s="209"/>
      <c r="OBQ27" s="209"/>
      <c r="OBR27" s="209"/>
      <c r="OBS27" s="209"/>
      <c r="OBT27" s="209"/>
      <c r="OBU27" s="209"/>
      <c r="OBV27" s="209"/>
      <c r="OBW27" s="209"/>
      <c r="OBX27" s="209"/>
      <c r="OBY27" s="209"/>
      <c r="OBZ27" s="209"/>
      <c r="OCA27" s="209"/>
      <c r="OCB27" s="209"/>
      <c r="OCC27" s="209"/>
      <c r="OCD27" s="209"/>
      <c r="OCE27" s="209"/>
      <c r="OCF27" s="209"/>
      <c r="OCG27" s="209"/>
      <c r="OCH27" s="209"/>
      <c r="OCI27" s="209"/>
      <c r="OCJ27" s="209"/>
      <c r="OCK27" s="209"/>
      <c r="OCL27" s="209"/>
      <c r="OCM27" s="209"/>
      <c r="OCN27" s="209"/>
      <c r="OCO27" s="209"/>
      <c r="OCP27" s="209"/>
      <c r="OCQ27" s="209"/>
      <c r="OCR27" s="209"/>
      <c r="OCS27" s="209"/>
      <c r="OCT27" s="209"/>
      <c r="OCU27" s="209"/>
      <c r="OCV27" s="209"/>
      <c r="OCW27" s="209"/>
      <c r="OCX27" s="209"/>
      <c r="OCY27" s="209"/>
      <c r="OCZ27" s="209"/>
      <c r="ODA27" s="209"/>
      <c r="ODB27" s="209"/>
      <c r="ODC27" s="209"/>
      <c r="ODD27" s="209"/>
      <c r="ODE27" s="209"/>
      <c r="ODF27" s="209"/>
      <c r="ODG27" s="209"/>
      <c r="ODH27" s="209"/>
      <c r="ODI27" s="209"/>
      <c r="ODJ27" s="209"/>
      <c r="ODK27" s="209"/>
      <c r="ODL27" s="209"/>
      <c r="ODM27" s="209"/>
      <c r="ODN27" s="209"/>
      <c r="ODO27" s="209"/>
      <c r="ODP27" s="209"/>
      <c r="ODQ27" s="209"/>
      <c r="ODR27" s="209"/>
      <c r="ODS27" s="209"/>
      <c r="ODT27" s="209"/>
      <c r="ODU27" s="209"/>
      <c r="ODV27" s="209"/>
      <c r="ODW27" s="209"/>
      <c r="ODX27" s="209"/>
      <c r="ODY27" s="209"/>
      <c r="ODZ27" s="209"/>
      <c r="OEA27" s="209"/>
      <c r="OEB27" s="209"/>
      <c r="OEC27" s="209"/>
      <c r="OED27" s="209"/>
      <c r="OEE27" s="209"/>
      <c r="OEF27" s="209"/>
      <c r="OEG27" s="209"/>
      <c r="OEH27" s="209"/>
      <c r="OEI27" s="209"/>
      <c r="OEJ27" s="209"/>
      <c r="OEK27" s="209"/>
      <c r="OEL27" s="209"/>
      <c r="OEM27" s="209"/>
      <c r="OEN27" s="209"/>
      <c r="OEO27" s="209"/>
      <c r="OEP27" s="209"/>
      <c r="OEQ27" s="209"/>
      <c r="OER27" s="209"/>
      <c r="OES27" s="209"/>
      <c r="OET27" s="209"/>
      <c r="OEU27" s="209"/>
      <c r="OEV27" s="209"/>
      <c r="OEW27" s="209"/>
      <c r="OEX27" s="209"/>
      <c r="OEY27" s="209"/>
      <c r="OEZ27" s="209"/>
      <c r="OFA27" s="209"/>
      <c r="OFB27" s="209"/>
      <c r="OFC27" s="209"/>
      <c r="OFD27" s="209"/>
      <c r="OFE27" s="209"/>
      <c r="OFF27" s="209"/>
      <c r="OFG27" s="209"/>
      <c r="OFH27" s="209"/>
      <c r="OFI27" s="209"/>
      <c r="OFJ27" s="209"/>
      <c r="OFK27" s="209"/>
      <c r="OFL27" s="209"/>
      <c r="OFM27" s="209"/>
      <c r="OFN27" s="209"/>
      <c r="OFO27" s="209"/>
      <c r="OFP27" s="209"/>
      <c r="OFQ27" s="209"/>
      <c r="OFR27" s="209"/>
      <c r="OFS27" s="209"/>
      <c r="OFT27" s="209"/>
      <c r="OFU27" s="209"/>
      <c r="OFV27" s="209"/>
      <c r="OFW27" s="209"/>
      <c r="OFX27" s="209"/>
      <c r="OFY27" s="209"/>
      <c r="OFZ27" s="209"/>
      <c r="OGA27" s="209"/>
      <c r="OGB27" s="209"/>
      <c r="OGC27" s="209"/>
      <c r="OGD27" s="209"/>
      <c r="OGE27" s="209"/>
      <c r="OGF27" s="209"/>
      <c r="OGG27" s="209"/>
      <c r="OGH27" s="209"/>
      <c r="OGI27" s="209"/>
      <c r="OGJ27" s="209"/>
      <c r="OGK27" s="209"/>
      <c r="OGL27" s="209"/>
      <c r="OGM27" s="209"/>
      <c r="OGN27" s="209"/>
      <c r="OGO27" s="209"/>
      <c r="OGP27" s="209"/>
      <c r="OGQ27" s="209"/>
      <c r="OGR27" s="209"/>
      <c r="OGS27" s="209"/>
      <c r="OGT27" s="209"/>
      <c r="OGU27" s="209"/>
      <c r="OGV27" s="209"/>
      <c r="OGW27" s="209"/>
      <c r="OGX27" s="209"/>
      <c r="OGY27" s="209"/>
      <c r="OGZ27" s="209"/>
      <c r="OHA27" s="209"/>
      <c r="OHB27" s="209"/>
      <c r="OHC27" s="209"/>
      <c r="OHD27" s="209"/>
      <c r="OHE27" s="209"/>
      <c r="OHF27" s="209"/>
      <c r="OHG27" s="209"/>
      <c r="OHH27" s="209"/>
      <c r="OHI27" s="209"/>
      <c r="OHJ27" s="209"/>
      <c r="OHK27" s="209"/>
      <c r="OHL27" s="209"/>
      <c r="OHM27" s="209"/>
      <c r="OHN27" s="209"/>
      <c r="OHO27" s="209"/>
      <c r="OHP27" s="209"/>
      <c r="OHQ27" s="209"/>
      <c r="OHR27" s="209"/>
      <c r="OHS27" s="209"/>
      <c r="OHT27" s="209"/>
      <c r="OHU27" s="209"/>
      <c r="OHV27" s="209"/>
      <c r="OHW27" s="209"/>
      <c r="OHX27" s="209"/>
      <c r="OHY27" s="209"/>
      <c r="OHZ27" s="209"/>
      <c r="OIA27" s="209"/>
      <c r="OIB27" s="209"/>
      <c r="OIC27" s="209"/>
      <c r="OID27" s="209"/>
      <c r="OIE27" s="209"/>
      <c r="OIF27" s="209"/>
      <c r="OIG27" s="209"/>
      <c r="OIH27" s="209"/>
      <c r="OII27" s="209"/>
      <c r="OIJ27" s="209"/>
      <c r="OIK27" s="209"/>
      <c r="OIL27" s="209"/>
      <c r="OIM27" s="209"/>
      <c r="OIN27" s="209"/>
      <c r="OIO27" s="209"/>
      <c r="OIP27" s="209"/>
      <c r="OIQ27" s="209"/>
      <c r="OIR27" s="209"/>
      <c r="OIS27" s="209"/>
      <c r="OIT27" s="209"/>
      <c r="OIU27" s="209"/>
      <c r="OIV27" s="209"/>
      <c r="OIW27" s="209"/>
      <c r="OIX27" s="209"/>
      <c r="OIY27" s="209"/>
      <c r="OIZ27" s="209"/>
      <c r="OJA27" s="209"/>
      <c r="OJB27" s="209"/>
      <c r="OJC27" s="209"/>
      <c r="OJD27" s="209"/>
      <c r="OJE27" s="209"/>
      <c r="OJF27" s="209"/>
      <c r="OJG27" s="209"/>
      <c r="OJH27" s="209"/>
      <c r="OJI27" s="209"/>
      <c r="OJJ27" s="209"/>
      <c r="OJK27" s="209"/>
      <c r="OJL27" s="209"/>
      <c r="OJM27" s="209"/>
      <c r="OJN27" s="209"/>
      <c r="OJO27" s="209"/>
      <c r="OJP27" s="209"/>
      <c r="OJQ27" s="209"/>
      <c r="OJR27" s="209"/>
      <c r="OJS27" s="209"/>
      <c r="OJT27" s="209"/>
      <c r="OJU27" s="209"/>
      <c r="OJV27" s="209"/>
      <c r="OJW27" s="209"/>
      <c r="OJX27" s="209"/>
      <c r="OJY27" s="209"/>
      <c r="OJZ27" s="209"/>
      <c r="OKA27" s="209"/>
      <c r="OKB27" s="209"/>
      <c r="OKC27" s="209"/>
      <c r="OKD27" s="209"/>
      <c r="OKE27" s="209"/>
      <c r="OKF27" s="209"/>
      <c r="OKG27" s="209"/>
      <c r="OKH27" s="209"/>
      <c r="OKI27" s="209"/>
      <c r="OKJ27" s="209"/>
      <c r="OKK27" s="209"/>
      <c r="OKL27" s="209"/>
      <c r="OKM27" s="209"/>
      <c r="OKN27" s="209"/>
      <c r="OKO27" s="209"/>
      <c r="OKP27" s="209"/>
      <c r="OKQ27" s="209"/>
      <c r="OKR27" s="209"/>
      <c r="OKS27" s="209"/>
      <c r="OKT27" s="209"/>
      <c r="OKU27" s="209"/>
      <c r="OKV27" s="209"/>
      <c r="OKW27" s="209"/>
      <c r="OKX27" s="209"/>
      <c r="OKY27" s="209"/>
      <c r="OKZ27" s="209"/>
      <c r="OLA27" s="209"/>
      <c r="OLB27" s="209"/>
      <c r="OLC27" s="209"/>
      <c r="OLD27" s="209"/>
      <c r="OLE27" s="209"/>
      <c r="OLF27" s="209"/>
      <c r="OLG27" s="209"/>
      <c r="OLH27" s="209"/>
      <c r="OLI27" s="209"/>
      <c r="OLJ27" s="209"/>
      <c r="OLK27" s="209"/>
      <c r="OLL27" s="209"/>
      <c r="OLM27" s="209"/>
      <c r="OLN27" s="209"/>
      <c r="OLO27" s="209"/>
      <c r="OLP27" s="209"/>
      <c r="OLQ27" s="209"/>
      <c r="OLR27" s="209"/>
      <c r="OLS27" s="209"/>
      <c r="OLT27" s="209"/>
      <c r="OLU27" s="209"/>
      <c r="OLV27" s="209"/>
      <c r="OLW27" s="209"/>
      <c r="OLX27" s="209"/>
      <c r="OLY27" s="209"/>
      <c r="OLZ27" s="209"/>
      <c r="OMA27" s="209"/>
      <c r="OMB27" s="209"/>
      <c r="OMC27" s="209"/>
      <c r="OMD27" s="209"/>
      <c r="OME27" s="209"/>
      <c r="OMF27" s="209"/>
      <c r="OMG27" s="209"/>
      <c r="OMH27" s="209"/>
      <c r="OMI27" s="209"/>
      <c r="OMJ27" s="209"/>
      <c r="OMK27" s="209"/>
      <c r="OML27" s="209"/>
      <c r="OMM27" s="209"/>
      <c r="OMN27" s="209"/>
      <c r="OMO27" s="209"/>
      <c r="OMP27" s="209"/>
      <c r="OMQ27" s="209"/>
      <c r="OMR27" s="209"/>
      <c r="OMS27" s="209"/>
      <c r="OMT27" s="209"/>
      <c r="OMU27" s="209"/>
      <c r="OMV27" s="209"/>
      <c r="OMW27" s="209"/>
      <c r="OMX27" s="209"/>
      <c r="OMY27" s="209"/>
      <c r="OMZ27" s="209"/>
      <c r="ONA27" s="209"/>
      <c r="ONB27" s="209"/>
      <c r="ONC27" s="209"/>
      <c r="OND27" s="209"/>
      <c r="ONE27" s="209"/>
      <c r="ONF27" s="209"/>
      <c r="ONG27" s="209"/>
      <c r="ONH27" s="209"/>
      <c r="ONI27" s="209"/>
      <c r="ONJ27" s="209"/>
      <c r="ONK27" s="209"/>
      <c r="ONL27" s="209"/>
      <c r="ONM27" s="209"/>
      <c r="ONN27" s="209"/>
      <c r="ONO27" s="209"/>
      <c r="ONP27" s="209"/>
      <c r="ONQ27" s="209"/>
      <c r="ONR27" s="209"/>
      <c r="ONS27" s="209"/>
      <c r="ONT27" s="209"/>
      <c r="ONU27" s="209"/>
      <c r="ONV27" s="209"/>
      <c r="ONW27" s="209"/>
      <c r="ONX27" s="209"/>
      <c r="ONY27" s="209"/>
      <c r="ONZ27" s="209"/>
      <c r="OOA27" s="209"/>
      <c r="OOB27" s="209"/>
      <c r="OOC27" s="209"/>
      <c r="OOD27" s="209"/>
      <c r="OOE27" s="209"/>
      <c r="OOF27" s="209"/>
      <c r="OOG27" s="209"/>
      <c r="OOH27" s="209"/>
      <c r="OOI27" s="209"/>
      <c r="OOJ27" s="209"/>
      <c r="OOK27" s="209"/>
      <c r="OOL27" s="209"/>
      <c r="OOM27" s="209"/>
      <c r="OON27" s="209"/>
      <c r="OOO27" s="209"/>
      <c r="OOP27" s="209"/>
      <c r="OOQ27" s="209"/>
      <c r="OOR27" s="209"/>
      <c r="OOS27" s="209"/>
      <c r="OOT27" s="209"/>
      <c r="OOU27" s="209"/>
      <c r="OOV27" s="209"/>
      <c r="OOW27" s="209"/>
      <c r="OOX27" s="209"/>
      <c r="OOY27" s="209"/>
      <c r="OOZ27" s="209"/>
      <c r="OPA27" s="209"/>
      <c r="OPB27" s="209"/>
      <c r="OPC27" s="209"/>
      <c r="OPD27" s="209"/>
      <c r="OPE27" s="209"/>
      <c r="OPF27" s="209"/>
      <c r="OPG27" s="209"/>
      <c r="OPH27" s="209"/>
      <c r="OPI27" s="209"/>
      <c r="OPJ27" s="209"/>
      <c r="OPK27" s="209"/>
      <c r="OPL27" s="209"/>
      <c r="OPM27" s="209"/>
      <c r="OPN27" s="209"/>
      <c r="OPO27" s="209"/>
      <c r="OPP27" s="209"/>
      <c r="OPQ27" s="209"/>
      <c r="OPR27" s="209"/>
      <c r="OPS27" s="209"/>
      <c r="OPT27" s="209"/>
      <c r="OPU27" s="209"/>
      <c r="OPV27" s="209"/>
      <c r="OPW27" s="209"/>
      <c r="OPX27" s="209"/>
      <c r="OPY27" s="209"/>
      <c r="OPZ27" s="209"/>
      <c r="OQA27" s="209"/>
      <c r="OQB27" s="209"/>
      <c r="OQC27" s="209"/>
      <c r="OQD27" s="209"/>
      <c r="OQE27" s="209"/>
      <c r="OQF27" s="209"/>
      <c r="OQG27" s="209"/>
      <c r="OQH27" s="209"/>
      <c r="OQI27" s="209"/>
      <c r="OQJ27" s="209"/>
      <c r="OQK27" s="209"/>
      <c r="OQL27" s="209"/>
      <c r="OQM27" s="209"/>
      <c r="OQN27" s="209"/>
      <c r="OQO27" s="209"/>
      <c r="OQP27" s="209"/>
      <c r="OQQ27" s="209"/>
      <c r="OQR27" s="209"/>
      <c r="OQS27" s="209"/>
      <c r="OQT27" s="209"/>
      <c r="OQU27" s="209"/>
      <c r="OQV27" s="209"/>
      <c r="OQW27" s="209"/>
      <c r="OQX27" s="209"/>
      <c r="OQY27" s="209"/>
      <c r="OQZ27" s="209"/>
      <c r="ORA27" s="209"/>
      <c r="ORB27" s="209"/>
      <c r="ORC27" s="209"/>
      <c r="ORD27" s="209"/>
      <c r="ORE27" s="209"/>
      <c r="ORF27" s="209"/>
      <c r="ORG27" s="209"/>
      <c r="ORH27" s="209"/>
      <c r="ORI27" s="209"/>
      <c r="ORJ27" s="209"/>
      <c r="ORK27" s="209"/>
      <c r="ORL27" s="209"/>
      <c r="ORM27" s="209"/>
      <c r="ORN27" s="209"/>
      <c r="ORO27" s="209"/>
      <c r="ORP27" s="209"/>
      <c r="ORQ27" s="209"/>
      <c r="ORR27" s="209"/>
      <c r="ORS27" s="209"/>
      <c r="ORT27" s="209"/>
      <c r="ORU27" s="209"/>
      <c r="ORV27" s="209"/>
      <c r="ORW27" s="209"/>
      <c r="ORX27" s="209"/>
      <c r="ORY27" s="209"/>
      <c r="ORZ27" s="209"/>
      <c r="OSA27" s="209"/>
      <c r="OSB27" s="209"/>
      <c r="OSC27" s="209"/>
      <c r="OSD27" s="209"/>
      <c r="OSE27" s="209"/>
      <c r="OSF27" s="209"/>
      <c r="OSG27" s="209"/>
      <c r="OSH27" s="209"/>
      <c r="OSI27" s="209"/>
      <c r="OSJ27" s="209"/>
      <c r="OSK27" s="209"/>
      <c r="OSL27" s="209"/>
      <c r="OSM27" s="209"/>
      <c r="OSN27" s="209"/>
      <c r="OSO27" s="209"/>
      <c r="OSP27" s="209"/>
      <c r="OSQ27" s="209"/>
      <c r="OSR27" s="209"/>
      <c r="OSS27" s="209"/>
      <c r="OST27" s="209"/>
      <c r="OSU27" s="209"/>
      <c r="OSV27" s="209"/>
      <c r="OSW27" s="209"/>
      <c r="OSX27" s="209"/>
      <c r="OSY27" s="209"/>
      <c r="OSZ27" s="209"/>
      <c r="OTA27" s="209"/>
      <c r="OTB27" s="209"/>
      <c r="OTC27" s="209"/>
      <c r="OTD27" s="209"/>
      <c r="OTE27" s="209"/>
      <c r="OTF27" s="209"/>
      <c r="OTG27" s="209"/>
      <c r="OTH27" s="209"/>
      <c r="OTI27" s="209"/>
      <c r="OTJ27" s="209"/>
      <c r="OTK27" s="209"/>
      <c r="OTL27" s="209"/>
      <c r="OTM27" s="209"/>
      <c r="OTN27" s="209"/>
      <c r="OTO27" s="209"/>
      <c r="OTP27" s="209"/>
      <c r="OTQ27" s="209"/>
      <c r="OTR27" s="209"/>
      <c r="OTS27" s="209"/>
      <c r="OTT27" s="209"/>
      <c r="OTU27" s="209"/>
      <c r="OTV27" s="209"/>
      <c r="OTW27" s="209"/>
      <c r="OTX27" s="209"/>
      <c r="OTY27" s="209"/>
      <c r="OTZ27" s="209"/>
      <c r="OUA27" s="209"/>
      <c r="OUB27" s="209"/>
      <c r="OUC27" s="209"/>
      <c r="OUD27" s="209"/>
      <c r="OUE27" s="209"/>
      <c r="OUF27" s="209"/>
      <c r="OUG27" s="209"/>
      <c r="OUH27" s="209"/>
      <c r="OUI27" s="209"/>
      <c r="OUJ27" s="209"/>
      <c r="OUK27" s="209"/>
      <c r="OUL27" s="209"/>
      <c r="OUM27" s="209"/>
      <c r="OUN27" s="209"/>
      <c r="OUO27" s="209"/>
      <c r="OUP27" s="209"/>
      <c r="OUQ27" s="209"/>
      <c r="OUR27" s="209"/>
      <c r="OUS27" s="209"/>
      <c r="OUT27" s="209"/>
      <c r="OUU27" s="209"/>
      <c r="OUV27" s="209"/>
      <c r="OUW27" s="209"/>
      <c r="OUX27" s="209"/>
      <c r="OUY27" s="209"/>
      <c r="OUZ27" s="209"/>
      <c r="OVA27" s="209"/>
      <c r="OVB27" s="209"/>
      <c r="OVC27" s="209"/>
      <c r="OVD27" s="209"/>
      <c r="OVE27" s="209"/>
      <c r="OVF27" s="209"/>
      <c r="OVG27" s="209"/>
      <c r="OVH27" s="209"/>
      <c r="OVI27" s="209"/>
      <c r="OVJ27" s="209"/>
      <c r="OVK27" s="209"/>
      <c r="OVL27" s="209"/>
      <c r="OVM27" s="209"/>
      <c r="OVN27" s="209"/>
      <c r="OVO27" s="209"/>
      <c r="OVP27" s="209"/>
      <c r="OVQ27" s="209"/>
      <c r="OVR27" s="209"/>
      <c r="OVS27" s="209"/>
      <c r="OVT27" s="209"/>
      <c r="OVU27" s="209"/>
      <c r="OVV27" s="209"/>
      <c r="OVW27" s="209"/>
      <c r="OVX27" s="209"/>
      <c r="OVY27" s="209"/>
      <c r="OVZ27" s="209"/>
      <c r="OWA27" s="209"/>
      <c r="OWB27" s="209"/>
      <c r="OWC27" s="209"/>
      <c r="OWD27" s="209"/>
      <c r="OWE27" s="209"/>
      <c r="OWF27" s="209"/>
      <c r="OWG27" s="209"/>
      <c r="OWH27" s="209"/>
      <c r="OWI27" s="209"/>
      <c r="OWJ27" s="209"/>
      <c r="OWK27" s="209"/>
      <c r="OWL27" s="209"/>
      <c r="OWM27" s="209"/>
      <c r="OWN27" s="209"/>
      <c r="OWO27" s="209"/>
      <c r="OWP27" s="209"/>
      <c r="OWQ27" s="209"/>
      <c r="OWR27" s="209"/>
      <c r="OWS27" s="209"/>
      <c r="OWT27" s="209"/>
      <c r="OWU27" s="209"/>
      <c r="OWV27" s="209"/>
      <c r="OWW27" s="209"/>
      <c r="OWX27" s="209"/>
      <c r="OWY27" s="209"/>
      <c r="OWZ27" s="209"/>
      <c r="OXA27" s="209"/>
      <c r="OXB27" s="209"/>
      <c r="OXC27" s="209"/>
      <c r="OXD27" s="209"/>
      <c r="OXE27" s="209"/>
      <c r="OXF27" s="209"/>
      <c r="OXG27" s="209"/>
      <c r="OXH27" s="209"/>
      <c r="OXI27" s="209"/>
      <c r="OXJ27" s="209"/>
      <c r="OXK27" s="209"/>
      <c r="OXL27" s="209"/>
      <c r="OXM27" s="209"/>
      <c r="OXN27" s="209"/>
      <c r="OXO27" s="209"/>
      <c r="OXP27" s="209"/>
      <c r="OXQ27" s="209"/>
      <c r="OXR27" s="209"/>
      <c r="OXS27" s="209"/>
      <c r="OXT27" s="209"/>
      <c r="OXU27" s="209"/>
      <c r="OXV27" s="209"/>
      <c r="OXW27" s="209"/>
      <c r="OXX27" s="209"/>
      <c r="OXY27" s="209"/>
      <c r="OXZ27" s="209"/>
      <c r="OYA27" s="209"/>
      <c r="OYB27" s="209"/>
      <c r="OYC27" s="209"/>
      <c r="OYD27" s="209"/>
      <c r="OYE27" s="209"/>
      <c r="OYF27" s="209"/>
      <c r="OYG27" s="209"/>
      <c r="OYH27" s="209"/>
      <c r="OYI27" s="209"/>
      <c r="OYJ27" s="209"/>
      <c r="OYK27" s="209"/>
      <c r="OYL27" s="209"/>
      <c r="OYM27" s="209"/>
      <c r="OYN27" s="209"/>
      <c r="OYO27" s="209"/>
      <c r="OYP27" s="209"/>
      <c r="OYQ27" s="209"/>
      <c r="OYR27" s="209"/>
      <c r="OYS27" s="209"/>
      <c r="OYT27" s="209"/>
      <c r="OYU27" s="209"/>
      <c r="OYV27" s="209"/>
      <c r="OYW27" s="209"/>
      <c r="OYX27" s="209"/>
      <c r="OYY27" s="209"/>
      <c r="OYZ27" s="209"/>
      <c r="OZA27" s="209"/>
      <c r="OZB27" s="209"/>
      <c r="OZC27" s="209"/>
      <c r="OZD27" s="209"/>
      <c r="OZE27" s="209"/>
      <c r="OZF27" s="209"/>
      <c r="OZG27" s="209"/>
      <c r="OZH27" s="209"/>
      <c r="OZI27" s="209"/>
      <c r="OZJ27" s="209"/>
      <c r="OZK27" s="209"/>
      <c r="OZL27" s="209"/>
      <c r="OZM27" s="209"/>
      <c r="OZN27" s="209"/>
      <c r="OZO27" s="209"/>
      <c r="OZP27" s="209"/>
      <c r="OZQ27" s="209"/>
      <c r="OZR27" s="209"/>
      <c r="OZS27" s="209"/>
      <c r="OZT27" s="209"/>
      <c r="OZU27" s="209"/>
      <c r="OZV27" s="209"/>
      <c r="OZW27" s="209"/>
      <c r="OZX27" s="209"/>
      <c r="OZY27" s="209"/>
      <c r="OZZ27" s="209"/>
      <c r="PAA27" s="209"/>
      <c r="PAB27" s="209"/>
      <c r="PAC27" s="209"/>
      <c r="PAD27" s="209"/>
      <c r="PAE27" s="209"/>
      <c r="PAF27" s="209"/>
      <c r="PAG27" s="209"/>
      <c r="PAH27" s="209"/>
      <c r="PAI27" s="209"/>
      <c r="PAJ27" s="209"/>
      <c r="PAK27" s="209"/>
      <c r="PAL27" s="209"/>
      <c r="PAM27" s="209"/>
      <c r="PAN27" s="209"/>
      <c r="PAO27" s="209"/>
      <c r="PAP27" s="209"/>
      <c r="PAQ27" s="209"/>
      <c r="PAR27" s="209"/>
      <c r="PAS27" s="209"/>
      <c r="PAT27" s="209"/>
      <c r="PAU27" s="209"/>
      <c r="PAV27" s="209"/>
      <c r="PAW27" s="209"/>
      <c r="PAX27" s="209"/>
      <c r="PAY27" s="209"/>
      <c r="PAZ27" s="209"/>
      <c r="PBA27" s="209"/>
      <c r="PBB27" s="209"/>
      <c r="PBC27" s="209"/>
      <c r="PBD27" s="209"/>
      <c r="PBE27" s="209"/>
      <c r="PBF27" s="209"/>
      <c r="PBG27" s="209"/>
      <c r="PBH27" s="209"/>
      <c r="PBI27" s="209"/>
      <c r="PBJ27" s="209"/>
      <c r="PBK27" s="209"/>
      <c r="PBL27" s="209"/>
      <c r="PBM27" s="209"/>
      <c r="PBN27" s="209"/>
      <c r="PBO27" s="209"/>
      <c r="PBP27" s="209"/>
      <c r="PBQ27" s="209"/>
      <c r="PBR27" s="209"/>
      <c r="PBS27" s="209"/>
      <c r="PBT27" s="209"/>
      <c r="PBU27" s="209"/>
      <c r="PBV27" s="209"/>
      <c r="PBW27" s="209"/>
      <c r="PBX27" s="209"/>
      <c r="PBY27" s="209"/>
      <c r="PBZ27" s="209"/>
      <c r="PCA27" s="209"/>
      <c r="PCB27" s="209"/>
      <c r="PCC27" s="209"/>
      <c r="PCD27" s="209"/>
      <c r="PCE27" s="209"/>
      <c r="PCF27" s="209"/>
      <c r="PCG27" s="209"/>
      <c r="PCH27" s="209"/>
      <c r="PCI27" s="209"/>
      <c r="PCJ27" s="209"/>
      <c r="PCK27" s="209"/>
      <c r="PCL27" s="209"/>
      <c r="PCM27" s="209"/>
      <c r="PCN27" s="209"/>
      <c r="PCO27" s="209"/>
      <c r="PCP27" s="209"/>
      <c r="PCQ27" s="209"/>
      <c r="PCR27" s="209"/>
      <c r="PCS27" s="209"/>
      <c r="PCT27" s="209"/>
      <c r="PCU27" s="209"/>
      <c r="PCV27" s="209"/>
      <c r="PCW27" s="209"/>
      <c r="PCX27" s="209"/>
      <c r="PCY27" s="209"/>
      <c r="PCZ27" s="209"/>
      <c r="PDA27" s="209"/>
      <c r="PDB27" s="209"/>
      <c r="PDC27" s="209"/>
      <c r="PDD27" s="209"/>
      <c r="PDE27" s="209"/>
      <c r="PDF27" s="209"/>
      <c r="PDG27" s="209"/>
      <c r="PDH27" s="209"/>
      <c r="PDI27" s="209"/>
      <c r="PDJ27" s="209"/>
      <c r="PDK27" s="209"/>
      <c r="PDL27" s="209"/>
      <c r="PDM27" s="209"/>
      <c r="PDN27" s="209"/>
      <c r="PDO27" s="209"/>
      <c r="PDP27" s="209"/>
      <c r="PDQ27" s="209"/>
      <c r="PDR27" s="209"/>
      <c r="PDS27" s="209"/>
      <c r="PDT27" s="209"/>
      <c r="PDU27" s="209"/>
      <c r="PDV27" s="209"/>
      <c r="PDW27" s="209"/>
      <c r="PDX27" s="209"/>
      <c r="PDY27" s="209"/>
      <c r="PDZ27" s="209"/>
      <c r="PEA27" s="209"/>
      <c r="PEB27" s="209"/>
      <c r="PEC27" s="209"/>
      <c r="PED27" s="209"/>
      <c r="PEE27" s="209"/>
      <c r="PEF27" s="209"/>
      <c r="PEG27" s="209"/>
      <c r="PEH27" s="209"/>
      <c r="PEI27" s="209"/>
      <c r="PEJ27" s="209"/>
      <c r="PEK27" s="209"/>
      <c r="PEL27" s="209"/>
      <c r="PEM27" s="209"/>
      <c r="PEN27" s="209"/>
      <c r="PEO27" s="209"/>
      <c r="PEP27" s="209"/>
      <c r="PEQ27" s="209"/>
      <c r="PER27" s="209"/>
      <c r="PES27" s="209"/>
      <c r="PET27" s="209"/>
      <c r="PEU27" s="209"/>
      <c r="PEV27" s="209"/>
      <c r="PEW27" s="209"/>
      <c r="PEX27" s="209"/>
      <c r="PEY27" s="209"/>
      <c r="PEZ27" s="209"/>
      <c r="PFA27" s="209"/>
      <c r="PFB27" s="209"/>
      <c r="PFC27" s="209"/>
      <c r="PFD27" s="209"/>
      <c r="PFE27" s="209"/>
      <c r="PFF27" s="209"/>
      <c r="PFG27" s="209"/>
      <c r="PFH27" s="209"/>
      <c r="PFI27" s="209"/>
      <c r="PFJ27" s="209"/>
      <c r="PFK27" s="209"/>
      <c r="PFL27" s="209"/>
      <c r="PFM27" s="209"/>
      <c r="PFN27" s="209"/>
      <c r="PFO27" s="209"/>
      <c r="PFP27" s="209"/>
      <c r="PFQ27" s="209"/>
      <c r="PFR27" s="209"/>
      <c r="PFS27" s="209"/>
      <c r="PFT27" s="209"/>
      <c r="PFU27" s="209"/>
      <c r="PFV27" s="209"/>
      <c r="PFW27" s="209"/>
      <c r="PFX27" s="209"/>
      <c r="PFY27" s="209"/>
      <c r="PFZ27" s="209"/>
      <c r="PGA27" s="209"/>
      <c r="PGB27" s="209"/>
      <c r="PGC27" s="209"/>
      <c r="PGD27" s="209"/>
      <c r="PGE27" s="209"/>
      <c r="PGF27" s="209"/>
      <c r="PGG27" s="209"/>
      <c r="PGH27" s="209"/>
      <c r="PGI27" s="209"/>
      <c r="PGJ27" s="209"/>
      <c r="PGK27" s="209"/>
      <c r="PGL27" s="209"/>
      <c r="PGM27" s="209"/>
      <c r="PGN27" s="209"/>
      <c r="PGO27" s="209"/>
      <c r="PGP27" s="209"/>
      <c r="PGQ27" s="209"/>
      <c r="PGR27" s="209"/>
      <c r="PGS27" s="209"/>
      <c r="PGT27" s="209"/>
      <c r="PGU27" s="209"/>
      <c r="PGV27" s="209"/>
      <c r="PGW27" s="209"/>
      <c r="PGX27" s="209"/>
      <c r="PGY27" s="209"/>
      <c r="PGZ27" s="209"/>
      <c r="PHA27" s="209"/>
      <c r="PHB27" s="209"/>
      <c r="PHC27" s="209"/>
      <c r="PHD27" s="209"/>
      <c r="PHE27" s="209"/>
      <c r="PHF27" s="209"/>
      <c r="PHG27" s="209"/>
      <c r="PHH27" s="209"/>
      <c r="PHI27" s="209"/>
      <c r="PHJ27" s="209"/>
      <c r="PHK27" s="209"/>
      <c r="PHL27" s="209"/>
      <c r="PHM27" s="209"/>
      <c r="PHN27" s="209"/>
      <c r="PHO27" s="209"/>
      <c r="PHP27" s="209"/>
      <c r="PHQ27" s="209"/>
      <c r="PHR27" s="209"/>
      <c r="PHS27" s="209"/>
      <c r="PHT27" s="209"/>
      <c r="PHU27" s="209"/>
      <c r="PHV27" s="209"/>
      <c r="PHW27" s="209"/>
      <c r="PHX27" s="209"/>
      <c r="PHY27" s="209"/>
      <c r="PHZ27" s="209"/>
      <c r="PIA27" s="209"/>
      <c r="PIB27" s="209"/>
      <c r="PIC27" s="209"/>
      <c r="PID27" s="209"/>
      <c r="PIE27" s="209"/>
      <c r="PIF27" s="209"/>
      <c r="PIG27" s="209"/>
      <c r="PIH27" s="209"/>
      <c r="PII27" s="209"/>
      <c r="PIJ27" s="209"/>
      <c r="PIK27" s="209"/>
      <c r="PIL27" s="209"/>
      <c r="PIM27" s="209"/>
      <c r="PIN27" s="209"/>
      <c r="PIO27" s="209"/>
      <c r="PIP27" s="209"/>
      <c r="PIQ27" s="209"/>
      <c r="PIR27" s="209"/>
      <c r="PIS27" s="209"/>
      <c r="PIT27" s="209"/>
      <c r="PIU27" s="209"/>
      <c r="PIV27" s="209"/>
      <c r="PIW27" s="209"/>
      <c r="PIX27" s="209"/>
      <c r="PIY27" s="209"/>
      <c r="PIZ27" s="209"/>
      <c r="PJA27" s="209"/>
      <c r="PJB27" s="209"/>
      <c r="PJC27" s="209"/>
      <c r="PJD27" s="209"/>
      <c r="PJE27" s="209"/>
      <c r="PJF27" s="209"/>
      <c r="PJG27" s="209"/>
      <c r="PJH27" s="209"/>
      <c r="PJI27" s="209"/>
      <c r="PJJ27" s="209"/>
      <c r="PJK27" s="209"/>
      <c r="PJL27" s="209"/>
      <c r="PJM27" s="209"/>
      <c r="PJN27" s="209"/>
      <c r="PJO27" s="209"/>
      <c r="PJP27" s="209"/>
      <c r="PJQ27" s="209"/>
      <c r="PJR27" s="209"/>
      <c r="PJS27" s="209"/>
      <c r="PJT27" s="209"/>
      <c r="PJU27" s="209"/>
      <c r="PJV27" s="209"/>
      <c r="PJW27" s="209"/>
      <c r="PJX27" s="209"/>
      <c r="PJY27" s="209"/>
      <c r="PJZ27" s="209"/>
      <c r="PKA27" s="209"/>
      <c r="PKB27" s="209"/>
      <c r="PKC27" s="209"/>
      <c r="PKD27" s="209"/>
      <c r="PKE27" s="209"/>
      <c r="PKF27" s="209"/>
      <c r="PKG27" s="209"/>
      <c r="PKH27" s="209"/>
      <c r="PKI27" s="209"/>
      <c r="PKJ27" s="209"/>
      <c r="PKK27" s="209"/>
      <c r="PKL27" s="209"/>
      <c r="PKM27" s="209"/>
      <c r="PKN27" s="209"/>
      <c r="PKO27" s="209"/>
      <c r="PKP27" s="209"/>
      <c r="PKQ27" s="209"/>
      <c r="PKR27" s="209"/>
      <c r="PKS27" s="209"/>
      <c r="PKT27" s="209"/>
      <c r="PKU27" s="209"/>
      <c r="PKV27" s="209"/>
      <c r="PKW27" s="209"/>
      <c r="PKX27" s="209"/>
      <c r="PKY27" s="209"/>
      <c r="PKZ27" s="209"/>
      <c r="PLA27" s="209"/>
      <c r="PLB27" s="209"/>
      <c r="PLC27" s="209"/>
      <c r="PLD27" s="209"/>
      <c r="PLE27" s="209"/>
      <c r="PLF27" s="209"/>
      <c r="PLG27" s="209"/>
      <c r="PLH27" s="209"/>
      <c r="PLI27" s="209"/>
      <c r="PLJ27" s="209"/>
      <c r="PLK27" s="209"/>
      <c r="PLL27" s="209"/>
      <c r="PLM27" s="209"/>
      <c r="PLN27" s="209"/>
      <c r="PLO27" s="209"/>
      <c r="PLP27" s="209"/>
      <c r="PLQ27" s="209"/>
      <c r="PLR27" s="209"/>
      <c r="PLS27" s="209"/>
      <c r="PLT27" s="209"/>
      <c r="PLU27" s="209"/>
      <c r="PLV27" s="209"/>
      <c r="PLW27" s="209"/>
      <c r="PLX27" s="209"/>
      <c r="PLY27" s="209"/>
      <c r="PLZ27" s="209"/>
      <c r="PMA27" s="209"/>
      <c r="PMB27" s="209"/>
      <c r="PMC27" s="209"/>
      <c r="PMD27" s="209"/>
      <c r="PME27" s="209"/>
      <c r="PMF27" s="209"/>
      <c r="PMG27" s="209"/>
      <c r="PMH27" s="209"/>
      <c r="PMI27" s="209"/>
      <c r="PMJ27" s="209"/>
      <c r="PMK27" s="209"/>
      <c r="PML27" s="209"/>
      <c r="PMM27" s="209"/>
      <c r="PMN27" s="209"/>
      <c r="PMO27" s="209"/>
      <c r="PMP27" s="209"/>
      <c r="PMQ27" s="209"/>
      <c r="PMR27" s="209"/>
      <c r="PMS27" s="209"/>
      <c r="PMT27" s="209"/>
      <c r="PMU27" s="209"/>
      <c r="PMV27" s="209"/>
      <c r="PMW27" s="209"/>
      <c r="PMX27" s="209"/>
      <c r="PMY27" s="209"/>
      <c r="PMZ27" s="209"/>
      <c r="PNA27" s="209"/>
      <c r="PNB27" s="209"/>
      <c r="PNC27" s="209"/>
      <c r="PND27" s="209"/>
      <c r="PNE27" s="209"/>
      <c r="PNF27" s="209"/>
      <c r="PNG27" s="209"/>
      <c r="PNH27" s="209"/>
      <c r="PNI27" s="209"/>
      <c r="PNJ27" s="209"/>
      <c r="PNK27" s="209"/>
      <c r="PNL27" s="209"/>
      <c r="PNM27" s="209"/>
      <c r="PNN27" s="209"/>
      <c r="PNO27" s="209"/>
      <c r="PNP27" s="209"/>
      <c r="PNQ27" s="209"/>
      <c r="PNR27" s="209"/>
      <c r="PNS27" s="209"/>
      <c r="PNT27" s="209"/>
      <c r="PNU27" s="209"/>
      <c r="PNV27" s="209"/>
      <c r="PNW27" s="209"/>
      <c r="PNX27" s="209"/>
      <c r="PNY27" s="209"/>
      <c r="PNZ27" s="209"/>
      <c r="POA27" s="209"/>
      <c r="POB27" s="209"/>
      <c r="POC27" s="209"/>
      <c r="POD27" s="209"/>
      <c r="POE27" s="209"/>
      <c r="POF27" s="209"/>
      <c r="POG27" s="209"/>
      <c r="POH27" s="209"/>
      <c r="POI27" s="209"/>
      <c r="POJ27" s="209"/>
      <c r="POK27" s="209"/>
      <c r="POL27" s="209"/>
      <c r="POM27" s="209"/>
      <c r="PON27" s="209"/>
      <c r="POO27" s="209"/>
      <c r="POP27" s="209"/>
      <c r="POQ27" s="209"/>
      <c r="POR27" s="209"/>
      <c r="POS27" s="209"/>
      <c r="POT27" s="209"/>
      <c r="POU27" s="209"/>
      <c r="POV27" s="209"/>
      <c r="POW27" s="209"/>
      <c r="POX27" s="209"/>
      <c r="POY27" s="209"/>
      <c r="POZ27" s="209"/>
      <c r="PPA27" s="209"/>
      <c r="PPB27" s="209"/>
      <c r="PPC27" s="209"/>
      <c r="PPD27" s="209"/>
      <c r="PPE27" s="209"/>
      <c r="PPF27" s="209"/>
      <c r="PPG27" s="209"/>
      <c r="PPH27" s="209"/>
      <c r="PPI27" s="209"/>
      <c r="PPJ27" s="209"/>
      <c r="PPK27" s="209"/>
      <c r="PPL27" s="209"/>
      <c r="PPM27" s="209"/>
      <c r="PPN27" s="209"/>
      <c r="PPO27" s="209"/>
      <c r="PPP27" s="209"/>
      <c r="PPQ27" s="209"/>
      <c r="PPR27" s="209"/>
      <c r="PPS27" s="209"/>
      <c r="PPT27" s="209"/>
      <c r="PPU27" s="209"/>
      <c r="PPV27" s="209"/>
      <c r="PPW27" s="209"/>
      <c r="PPX27" s="209"/>
      <c r="PPY27" s="209"/>
      <c r="PPZ27" s="209"/>
      <c r="PQA27" s="209"/>
      <c r="PQB27" s="209"/>
      <c r="PQC27" s="209"/>
      <c r="PQD27" s="209"/>
      <c r="PQE27" s="209"/>
      <c r="PQF27" s="209"/>
      <c r="PQG27" s="209"/>
      <c r="PQH27" s="209"/>
      <c r="PQI27" s="209"/>
      <c r="PQJ27" s="209"/>
      <c r="PQK27" s="209"/>
      <c r="PQL27" s="209"/>
      <c r="PQM27" s="209"/>
      <c r="PQN27" s="209"/>
      <c r="PQO27" s="209"/>
      <c r="PQP27" s="209"/>
      <c r="PQQ27" s="209"/>
      <c r="PQR27" s="209"/>
      <c r="PQS27" s="209"/>
      <c r="PQT27" s="209"/>
      <c r="PQU27" s="209"/>
      <c r="PQV27" s="209"/>
      <c r="PQW27" s="209"/>
      <c r="PQX27" s="209"/>
      <c r="PQY27" s="209"/>
      <c r="PQZ27" s="209"/>
      <c r="PRA27" s="209"/>
      <c r="PRB27" s="209"/>
      <c r="PRC27" s="209"/>
      <c r="PRD27" s="209"/>
      <c r="PRE27" s="209"/>
      <c r="PRF27" s="209"/>
      <c r="PRG27" s="209"/>
      <c r="PRH27" s="209"/>
      <c r="PRI27" s="209"/>
      <c r="PRJ27" s="209"/>
      <c r="PRK27" s="209"/>
      <c r="PRL27" s="209"/>
      <c r="PRM27" s="209"/>
      <c r="PRN27" s="209"/>
      <c r="PRO27" s="209"/>
      <c r="PRP27" s="209"/>
      <c r="PRQ27" s="209"/>
      <c r="PRR27" s="209"/>
      <c r="PRS27" s="209"/>
      <c r="PRT27" s="209"/>
      <c r="PRU27" s="209"/>
      <c r="PRV27" s="209"/>
      <c r="PRW27" s="209"/>
      <c r="PRX27" s="209"/>
      <c r="PRY27" s="209"/>
      <c r="PRZ27" s="209"/>
      <c r="PSA27" s="209"/>
      <c r="PSB27" s="209"/>
      <c r="PSC27" s="209"/>
      <c r="PSD27" s="209"/>
      <c r="PSE27" s="209"/>
      <c r="PSF27" s="209"/>
      <c r="PSG27" s="209"/>
      <c r="PSH27" s="209"/>
      <c r="PSI27" s="209"/>
      <c r="PSJ27" s="209"/>
      <c r="PSK27" s="209"/>
      <c r="PSL27" s="209"/>
      <c r="PSM27" s="209"/>
      <c r="PSN27" s="209"/>
      <c r="PSO27" s="209"/>
      <c r="PSP27" s="209"/>
      <c r="PSQ27" s="209"/>
      <c r="PSR27" s="209"/>
      <c r="PSS27" s="209"/>
      <c r="PST27" s="209"/>
      <c r="PSU27" s="209"/>
      <c r="PSV27" s="209"/>
      <c r="PSW27" s="209"/>
      <c r="PSX27" s="209"/>
      <c r="PSY27" s="209"/>
      <c r="PSZ27" s="209"/>
      <c r="PTA27" s="209"/>
      <c r="PTB27" s="209"/>
      <c r="PTC27" s="209"/>
      <c r="PTD27" s="209"/>
      <c r="PTE27" s="209"/>
      <c r="PTF27" s="209"/>
      <c r="PTG27" s="209"/>
      <c r="PTH27" s="209"/>
      <c r="PTI27" s="209"/>
      <c r="PTJ27" s="209"/>
      <c r="PTK27" s="209"/>
      <c r="PTL27" s="209"/>
      <c r="PTM27" s="209"/>
      <c r="PTN27" s="209"/>
      <c r="PTO27" s="209"/>
      <c r="PTP27" s="209"/>
      <c r="PTQ27" s="209"/>
      <c r="PTR27" s="209"/>
      <c r="PTS27" s="209"/>
      <c r="PTT27" s="209"/>
      <c r="PTU27" s="209"/>
      <c r="PTV27" s="209"/>
      <c r="PTW27" s="209"/>
      <c r="PTX27" s="209"/>
      <c r="PTY27" s="209"/>
      <c r="PTZ27" s="209"/>
      <c r="PUA27" s="209"/>
      <c r="PUB27" s="209"/>
      <c r="PUC27" s="209"/>
      <c r="PUD27" s="209"/>
      <c r="PUE27" s="209"/>
      <c r="PUF27" s="209"/>
      <c r="PUG27" s="209"/>
      <c r="PUH27" s="209"/>
      <c r="PUI27" s="209"/>
      <c r="PUJ27" s="209"/>
      <c r="PUK27" s="209"/>
      <c r="PUL27" s="209"/>
      <c r="PUM27" s="209"/>
      <c r="PUN27" s="209"/>
      <c r="PUO27" s="209"/>
      <c r="PUP27" s="209"/>
      <c r="PUQ27" s="209"/>
      <c r="PUR27" s="209"/>
      <c r="PUS27" s="209"/>
      <c r="PUT27" s="209"/>
      <c r="PUU27" s="209"/>
      <c r="PUV27" s="209"/>
      <c r="PUW27" s="209"/>
      <c r="PUX27" s="209"/>
      <c r="PUY27" s="209"/>
      <c r="PUZ27" s="209"/>
      <c r="PVA27" s="209"/>
      <c r="PVB27" s="209"/>
      <c r="PVC27" s="209"/>
      <c r="PVD27" s="209"/>
      <c r="PVE27" s="209"/>
      <c r="PVF27" s="209"/>
      <c r="PVG27" s="209"/>
      <c r="PVH27" s="209"/>
      <c r="PVI27" s="209"/>
      <c r="PVJ27" s="209"/>
      <c r="PVK27" s="209"/>
      <c r="PVL27" s="209"/>
      <c r="PVM27" s="209"/>
      <c r="PVN27" s="209"/>
      <c r="PVO27" s="209"/>
      <c r="PVP27" s="209"/>
      <c r="PVQ27" s="209"/>
      <c r="PVR27" s="209"/>
      <c r="PVS27" s="209"/>
      <c r="PVT27" s="209"/>
      <c r="PVU27" s="209"/>
      <c r="PVV27" s="209"/>
      <c r="PVW27" s="209"/>
      <c r="PVX27" s="209"/>
      <c r="PVY27" s="209"/>
      <c r="PVZ27" s="209"/>
      <c r="PWA27" s="209"/>
      <c r="PWB27" s="209"/>
      <c r="PWC27" s="209"/>
      <c r="PWD27" s="209"/>
      <c r="PWE27" s="209"/>
      <c r="PWF27" s="209"/>
      <c r="PWG27" s="209"/>
      <c r="PWH27" s="209"/>
      <c r="PWI27" s="209"/>
      <c r="PWJ27" s="209"/>
      <c r="PWK27" s="209"/>
      <c r="PWL27" s="209"/>
      <c r="PWM27" s="209"/>
      <c r="PWN27" s="209"/>
      <c r="PWO27" s="209"/>
      <c r="PWP27" s="209"/>
      <c r="PWQ27" s="209"/>
      <c r="PWR27" s="209"/>
      <c r="PWS27" s="209"/>
      <c r="PWT27" s="209"/>
      <c r="PWU27" s="209"/>
      <c r="PWV27" s="209"/>
      <c r="PWW27" s="209"/>
      <c r="PWX27" s="209"/>
      <c r="PWY27" s="209"/>
      <c r="PWZ27" s="209"/>
      <c r="PXA27" s="209"/>
      <c r="PXB27" s="209"/>
      <c r="PXC27" s="209"/>
      <c r="PXD27" s="209"/>
      <c r="PXE27" s="209"/>
      <c r="PXF27" s="209"/>
      <c r="PXG27" s="209"/>
      <c r="PXH27" s="209"/>
      <c r="PXI27" s="209"/>
      <c r="PXJ27" s="209"/>
      <c r="PXK27" s="209"/>
      <c r="PXL27" s="209"/>
      <c r="PXM27" s="209"/>
      <c r="PXN27" s="209"/>
      <c r="PXO27" s="209"/>
      <c r="PXP27" s="209"/>
      <c r="PXQ27" s="209"/>
      <c r="PXR27" s="209"/>
      <c r="PXS27" s="209"/>
      <c r="PXT27" s="209"/>
      <c r="PXU27" s="209"/>
      <c r="PXV27" s="209"/>
      <c r="PXW27" s="209"/>
      <c r="PXX27" s="209"/>
      <c r="PXY27" s="209"/>
      <c r="PXZ27" s="209"/>
      <c r="PYA27" s="209"/>
      <c r="PYB27" s="209"/>
      <c r="PYC27" s="209"/>
      <c r="PYD27" s="209"/>
      <c r="PYE27" s="209"/>
      <c r="PYF27" s="209"/>
      <c r="PYG27" s="209"/>
      <c r="PYH27" s="209"/>
      <c r="PYI27" s="209"/>
      <c r="PYJ27" s="209"/>
      <c r="PYK27" s="209"/>
      <c r="PYL27" s="209"/>
      <c r="PYM27" s="209"/>
      <c r="PYN27" s="209"/>
      <c r="PYO27" s="209"/>
      <c r="PYP27" s="209"/>
      <c r="PYQ27" s="209"/>
      <c r="PYR27" s="209"/>
      <c r="PYS27" s="209"/>
      <c r="PYT27" s="209"/>
      <c r="PYU27" s="209"/>
      <c r="PYV27" s="209"/>
      <c r="PYW27" s="209"/>
      <c r="PYX27" s="209"/>
      <c r="PYY27" s="209"/>
      <c r="PYZ27" s="209"/>
      <c r="PZA27" s="209"/>
      <c r="PZB27" s="209"/>
      <c r="PZC27" s="209"/>
      <c r="PZD27" s="209"/>
      <c r="PZE27" s="209"/>
      <c r="PZF27" s="209"/>
      <c r="PZG27" s="209"/>
      <c r="PZH27" s="209"/>
      <c r="PZI27" s="209"/>
      <c r="PZJ27" s="209"/>
      <c r="PZK27" s="209"/>
      <c r="PZL27" s="209"/>
      <c r="PZM27" s="209"/>
      <c r="PZN27" s="209"/>
      <c r="PZO27" s="209"/>
      <c r="PZP27" s="209"/>
      <c r="PZQ27" s="209"/>
      <c r="PZR27" s="209"/>
      <c r="PZS27" s="209"/>
      <c r="PZT27" s="209"/>
      <c r="PZU27" s="209"/>
      <c r="PZV27" s="209"/>
      <c r="PZW27" s="209"/>
      <c r="PZX27" s="209"/>
      <c r="PZY27" s="209"/>
      <c r="PZZ27" s="209"/>
      <c r="QAA27" s="209"/>
      <c r="QAB27" s="209"/>
      <c r="QAC27" s="209"/>
      <c r="QAD27" s="209"/>
      <c r="QAE27" s="209"/>
      <c r="QAF27" s="209"/>
      <c r="QAG27" s="209"/>
      <c r="QAH27" s="209"/>
      <c r="QAI27" s="209"/>
      <c r="QAJ27" s="209"/>
      <c r="QAK27" s="209"/>
      <c r="QAL27" s="209"/>
      <c r="QAM27" s="209"/>
      <c r="QAN27" s="209"/>
      <c r="QAO27" s="209"/>
      <c r="QAP27" s="209"/>
      <c r="QAQ27" s="209"/>
      <c r="QAR27" s="209"/>
      <c r="QAS27" s="209"/>
      <c r="QAT27" s="209"/>
      <c r="QAU27" s="209"/>
      <c r="QAV27" s="209"/>
      <c r="QAW27" s="209"/>
      <c r="QAX27" s="209"/>
      <c r="QAY27" s="209"/>
      <c r="QAZ27" s="209"/>
      <c r="QBA27" s="209"/>
      <c r="QBB27" s="209"/>
      <c r="QBC27" s="209"/>
      <c r="QBD27" s="209"/>
      <c r="QBE27" s="209"/>
      <c r="QBF27" s="209"/>
      <c r="QBG27" s="209"/>
      <c r="QBH27" s="209"/>
      <c r="QBI27" s="209"/>
      <c r="QBJ27" s="209"/>
      <c r="QBK27" s="209"/>
      <c r="QBL27" s="209"/>
      <c r="QBM27" s="209"/>
      <c r="QBN27" s="209"/>
      <c r="QBO27" s="209"/>
      <c r="QBP27" s="209"/>
      <c r="QBQ27" s="209"/>
      <c r="QBR27" s="209"/>
      <c r="QBS27" s="209"/>
      <c r="QBT27" s="209"/>
      <c r="QBU27" s="209"/>
      <c r="QBV27" s="209"/>
      <c r="QBW27" s="209"/>
      <c r="QBX27" s="209"/>
      <c r="QBY27" s="209"/>
      <c r="QBZ27" s="209"/>
      <c r="QCA27" s="209"/>
      <c r="QCB27" s="209"/>
      <c r="QCC27" s="209"/>
      <c r="QCD27" s="209"/>
      <c r="QCE27" s="209"/>
      <c r="QCF27" s="209"/>
      <c r="QCG27" s="209"/>
      <c r="QCH27" s="209"/>
      <c r="QCI27" s="209"/>
      <c r="QCJ27" s="209"/>
      <c r="QCK27" s="209"/>
      <c r="QCL27" s="209"/>
      <c r="QCM27" s="209"/>
      <c r="QCN27" s="209"/>
      <c r="QCO27" s="209"/>
      <c r="QCP27" s="209"/>
      <c r="QCQ27" s="209"/>
      <c r="QCR27" s="209"/>
      <c r="QCS27" s="209"/>
      <c r="QCT27" s="209"/>
      <c r="QCU27" s="209"/>
      <c r="QCV27" s="209"/>
      <c r="QCW27" s="209"/>
      <c r="QCX27" s="209"/>
      <c r="QCY27" s="209"/>
      <c r="QCZ27" s="209"/>
      <c r="QDA27" s="209"/>
      <c r="QDB27" s="209"/>
      <c r="QDC27" s="209"/>
      <c r="QDD27" s="209"/>
      <c r="QDE27" s="209"/>
      <c r="QDF27" s="209"/>
      <c r="QDG27" s="209"/>
      <c r="QDH27" s="209"/>
      <c r="QDI27" s="209"/>
      <c r="QDJ27" s="209"/>
      <c r="QDK27" s="209"/>
      <c r="QDL27" s="209"/>
      <c r="QDM27" s="209"/>
      <c r="QDN27" s="209"/>
      <c r="QDO27" s="209"/>
      <c r="QDP27" s="209"/>
      <c r="QDQ27" s="209"/>
      <c r="QDR27" s="209"/>
      <c r="QDS27" s="209"/>
      <c r="QDT27" s="209"/>
      <c r="QDU27" s="209"/>
      <c r="QDV27" s="209"/>
      <c r="QDW27" s="209"/>
      <c r="QDX27" s="209"/>
      <c r="QDY27" s="209"/>
      <c r="QDZ27" s="209"/>
      <c r="QEA27" s="209"/>
      <c r="QEB27" s="209"/>
      <c r="QEC27" s="209"/>
      <c r="QED27" s="209"/>
      <c r="QEE27" s="209"/>
      <c r="QEF27" s="209"/>
      <c r="QEG27" s="209"/>
      <c r="QEH27" s="209"/>
      <c r="QEI27" s="209"/>
      <c r="QEJ27" s="209"/>
      <c r="QEK27" s="209"/>
      <c r="QEL27" s="209"/>
      <c r="QEM27" s="209"/>
      <c r="QEN27" s="209"/>
      <c r="QEO27" s="209"/>
      <c r="QEP27" s="209"/>
      <c r="QEQ27" s="209"/>
      <c r="QER27" s="209"/>
      <c r="QES27" s="209"/>
      <c r="QET27" s="209"/>
      <c r="QEU27" s="209"/>
      <c r="QEV27" s="209"/>
      <c r="QEW27" s="209"/>
      <c r="QEX27" s="209"/>
      <c r="QEY27" s="209"/>
      <c r="QEZ27" s="209"/>
      <c r="QFA27" s="209"/>
      <c r="QFB27" s="209"/>
      <c r="QFC27" s="209"/>
      <c r="QFD27" s="209"/>
      <c r="QFE27" s="209"/>
      <c r="QFF27" s="209"/>
      <c r="QFG27" s="209"/>
      <c r="QFH27" s="209"/>
      <c r="QFI27" s="209"/>
      <c r="QFJ27" s="209"/>
      <c r="QFK27" s="209"/>
      <c r="QFL27" s="209"/>
      <c r="QFM27" s="209"/>
      <c r="QFN27" s="209"/>
      <c r="QFO27" s="209"/>
      <c r="QFP27" s="209"/>
      <c r="QFQ27" s="209"/>
      <c r="QFR27" s="209"/>
      <c r="QFS27" s="209"/>
      <c r="QFT27" s="209"/>
      <c r="QFU27" s="209"/>
      <c r="QFV27" s="209"/>
      <c r="QFW27" s="209"/>
      <c r="QFX27" s="209"/>
      <c r="QFY27" s="209"/>
      <c r="QFZ27" s="209"/>
      <c r="QGA27" s="209"/>
      <c r="QGB27" s="209"/>
      <c r="QGC27" s="209"/>
      <c r="QGD27" s="209"/>
      <c r="QGE27" s="209"/>
      <c r="QGF27" s="209"/>
      <c r="QGG27" s="209"/>
      <c r="QGH27" s="209"/>
      <c r="QGI27" s="209"/>
      <c r="QGJ27" s="209"/>
      <c r="QGK27" s="209"/>
      <c r="QGL27" s="209"/>
      <c r="QGM27" s="209"/>
      <c r="QGN27" s="209"/>
      <c r="QGO27" s="209"/>
      <c r="QGP27" s="209"/>
      <c r="QGQ27" s="209"/>
      <c r="QGR27" s="209"/>
      <c r="QGS27" s="209"/>
      <c r="QGT27" s="209"/>
      <c r="QGU27" s="209"/>
      <c r="QGV27" s="209"/>
      <c r="QGW27" s="209"/>
      <c r="QGX27" s="209"/>
      <c r="QGY27" s="209"/>
      <c r="QGZ27" s="209"/>
      <c r="QHA27" s="209"/>
      <c r="QHB27" s="209"/>
      <c r="QHC27" s="209"/>
      <c r="QHD27" s="209"/>
      <c r="QHE27" s="209"/>
      <c r="QHF27" s="209"/>
      <c r="QHG27" s="209"/>
      <c r="QHH27" s="209"/>
      <c r="QHI27" s="209"/>
      <c r="QHJ27" s="209"/>
      <c r="QHK27" s="209"/>
      <c r="QHL27" s="209"/>
      <c r="QHM27" s="209"/>
      <c r="QHN27" s="209"/>
      <c r="QHO27" s="209"/>
      <c r="QHP27" s="209"/>
      <c r="QHQ27" s="209"/>
      <c r="QHR27" s="209"/>
      <c r="QHS27" s="209"/>
      <c r="QHT27" s="209"/>
      <c r="QHU27" s="209"/>
      <c r="QHV27" s="209"/>
      <c r="QHW27" s="209"/>
      <c r="QHX27" s="209"/>
      <c r="QHY27" s="209"/>
      <c r="QHZ27" s="209"/>
      <c r="QIA27" s="209"/>
      <c r="QIB27" s="209"/>
      <c r="QIC27" s="209"/>
      <c r="QID27" s="209"/>
      <c r="QIE27" s="209"/>
      <c r="QIF27" s="209"/>
      <c r="QIG27" s="209"/>
      <c r="QIH27" s="209"/>
      <c r="QII27" s="209"/>
      <c r="QIJ27" s="209"/>
      <c r="QIK27" s="209"/>
      <c r="QIL27" s="209"/>
      <c r="QIM27" s="209"/>
      <c r="QIN27" s="209"/>
      <c r="QIO27" s="209"/>
      <c r="QIP27" s="209"/>
      <c r="QIQ27" s="209"/>
      <c r="QIR27" s="209"/>
      <c r="QIS27" s="209"/>
      <c r="QIT27" s="209"/>
      <c r="QIU27" s="209"/>
      <c r="QIV27" s="209"/>
      <c r="QIW27" s="209"/>
      <c r="QIX27" s="209"/>
      <c r="QIY27" s="209"/>
      <c r="QIZ27" s="209"/>
      <c r="QJA27" s="209"/>
      <c r="QJB27" s="209"/>
      <c r="QJC27" s="209"/>
      <c r="QJD27" s="209"/>
      <c r="QJE27" s="209"/>
      <c r="QJF27" s="209"/>
      <c r="QJG27" s="209"/>
      <c r="QJH27" s="209"/>
      <c r="QJI27" s="209"/>
      <c r="QJJ27" s="209"/>
      <c r="QJK27" s="209"/>
      <c r="QJL27" s="209"/>
      <c r="QJM27" s="209"/>
      <c r="QJN27" s="209"/>
      <c r="QJO27" s="209"/>
      <c r="QJP27" s="209"/>
      <c r="QJQ27" s="209"/>
      <c r="QJR27" s="209"/>
      <c r="QJS27" s="209"/>
      <c r="QJT27" s="209"/>
      <c r="QJU27" s="209"/>
      <c r="QJV27" s="209"/>
      <c r="QJW27" s="209"/>
      <c r="QJX27" s="209"/>
      <c r="QJY27" s="209"/>
      <c r="QJZ27" s="209"/>
      <c r="QKA27" s="209"/>
      <c r="QKB27" s="209"/>
      <c r="QKC27" s="209"/>
      <c r="QKD27" s="209"/>
      <c r="QKE27" s="209"/>
      <c r="QKF27" s="209"/>
      <c r="QKG27" s="209"/>
      <c r="QKH27" s="209"/>
      <c r="QKI27" s="209"/>
      <c r="QKJ27" s="209"/>
      <c r="QKK27" s="209"/>
      <c r="QKL27" s="209"/>
      <c r="QKM27" s="209"/>
      <c r="QKN27" s="209"/>
      <c r="QKO27" s="209"/>
      <c r="QKP27" s="209"/>
      <c r="QKQ27" s="209"/>
      <c r="QKR27" s="209"/>
      <c r="QKS27" s="209"/>
      <c r="QKT27" s="209"/>
      <c r="QKU27" s="209"/>
      <c r="QKV27" s="209"/>
      <c r="QKW27" s="209"/>
      <c r="QKX27" s="209"/>
      <c r="QKY27" s="209"/>
      <c r="QKZ27" s="209"/>
      <c r="QLA27" s="209"/>
      <c r="QLB27" s="209"/>
      <c r="QLC27" s="209"/>
      <c r="QLD27" s="209"/>
      <c r="QLE27" s="209"/>
      <c r="QLF27" s="209"/>
      <c r="QLG27" s="209"/>
      <c r="QLH27" s="209"/>
      <c r="QLI27" s="209"/>
      <c r="QLJ27" s="209"/>
      <c r="QLK27" s="209"/>
      <c r="QLL27" s="209"/>
      <c r="QLM27" s="209"/>
      <c r="QLN27" s="209"/>
      <c r="QLO27" s="209"/>
      <c r="QLP27" s="209"/>
      <c r="QLQ27" s="209"/>
      <c r="QLR27" s="209"/>
      <c r="QLS27" s="209"/>
      <c r="QLT27" s="209"/>
      <c r="QLU27" s="209"/>
      <c r="QLV27" s="209"/>
      <c r="QLW27" s="209"/>
      <c r="QLX27" s="209"/>
      <c r="QLY27" s="209"/>
      <c r="QLZ27" s="209"/>
      <c r="QMA27" s="209"/>
      <c r="QMB27" s="209"/>
      <c r="QMC27" s="209"/>
      <c r="QMD27" s="209"/>
      <c r="QME27" s="209"/>
      <c r="QMF27" s="209"/>
      <c r="QMG27" s="209"/>
      <c r="QMH27" s="209"/>
      <c r="QMI27" s="209"/>
      <c r="QMJ27" s="209"/>
      <c r="QMK27" s="209"/>
      <c r="QML27" s="209"/>
      <c r="QMM27" s="209"/>
      <c r="QMN27" s="209"/>
      <c r="QMO27" s="209"/>
      <c r="QMP27" s="209"/>
      <c r="QMQ27" s="209"/>
      <c r="QMR27" s="209"/>
      <c r="QMS27" s="209"/>
      <c r="QMT27" s="209"/>
      <c r="QMU27" s="209"/>
      <c r="QMV27" s="209"/>
      <c r="QMW27" s="209"/>
      <c r="QMX27" s="209"/>
      <c r="QMY27" s="209"/>
      <c r="QMZ27" s="209"/>
      <c r="QNA27" s="209"/>
      <c r="QNB27" s="209"/>
      <c r="QNC27" s="209"/>
      <c r="QND27" s="209"/>
      <c r="QNE27" s="209"/>
      <c r="QNF27" s="209"/>
      <c r="QNG27" s="209"/>
      <c r="QNH27" s="209"/>
      <c r="QNI27" s="209"/>
      <c r="QNJ27" s="209"/>
      <c r="QNK27" s="209"/>
      <c r="QNL27" s="209"/>
      <c r="QNM27" s="209"/>
      <c r="QNN27" s="209"/>
      <c r="QNO27" s="209"/>
      <c r="QNP27" s="209"/>
      <c r="QNQ27" s="209"/>
      <c r="QNR27" s="209"/>
      <c r="QNS27" s="209"/>
      <c r="QNT27" s="209"/>
      <c r="QNU27" s="209"/>
      <c r="QNV27" s="209"/>
      <c r="QNW27" s="209"/>
      <c r="QNX27" s="209"/>
      <c r="QNY27" s="209"/>
      <c r="QNZ27" s="209"/>
      <c r="QOA27" s="209"/>
      <c r="QOB27" s="209"/>
      <c r="QOC27" s="209"/>
      <c r="QOD27" s="209"/>
      <c r="QOE27" s="209"/>
      <c r="QOF27" s="209"/>
      <c r="QOG27" s="209"/>
      <c r="QOH27" s="209"/>
      <c r="QOI27" s="209"/>
      <c r="QOJ27" s="209"/>
      <c r="QOK27" s="209"/>
      <c r="QOL27" s="209"/>
      <c r="QOM27" s="209"/>
      <c r="QON27" s="209"/>
      <c r="QOO27" s="209"/>
      <c r="QOP27" s="209"/>
      <c r="QOQ27" s="209"/>
      <c r="QOR27" s="209"/>
      <c r="QOS27" s="209"/>
      <c r="QOT27" s="209"/>
      <c r="QOU27" s="209"/>
      <c r="QOV27" s="209"/>
      <c r="QOW27" s="209"/>
      <c r="QOX27" s="209"/>
      <c r="QOY27" s="209"/>
      <c r="QOZ27" s="209"/>
      <c r="QPA27" s="209"/>
      <c r="QPB27" s="209"/>
      <c r="QPC27" s="209"/>
      <c r="QPD27" s="209"/>
      <c r="QPE27" s="209"/>
      <c r="QPF27" s="209"/>
      <c r="QPG27" s="209"/>
      <c r="QPH27" s="209"/>
      <c r="QPI27" s="209"/>
      <c r="QPJ27" s="209"/>
      <c r="QPK27" s="209"/>
      <c r="QPL27" s="209"/>
      <c r="QPM27" s="209"/>
      <c r="QPN27" s="209"/>
      <c r="QPO27" s="209"/>
      <c r="QPP27" s="209"/>
      <c r="QPQ27" s="209"/>
      <c r="QPR27" s="209"/>
      <c r="QPS27" s="209"/>
      <c r="QPT27" s="209"/>
      <c r="QPU27" s="209"/>
      <c r="QPV27" s="209"/>
      <c r="QPW27" s="209"/>
      <c r="QPX27" s="209"/>
      <c r="QPY27" s="209"/>
      <c r="QPZ27" s="209"/>
      <c r="QQA27" s="209"/>
      <c r="QQB27" s="209"/>
      <c r="QQC27" s="209"/>
      <c r="QQD27" s="209"/>
      <c r="QQE27" s="209"/>
      <c r="QQF27" s="209"/>
      <c r="QQG27" s="209"/>
      <c r="QQH27" s="209"/>
      <c r="QQI27" s="209"/>
      <c r="QQJ27" s="209"/>
      <c r="QQK27" s="209"/>
      <c r="QQL27" s="209"/>
      <c r="QQM27" s="209"/>
      <c r="QQN27" s="209"/>
      <c r="QQO27" s="209"/>
      <c r="QQP27" s="209"/>
      <c r="QQQ27" s="209"/>
      <c r="QQR27" s="209"/>
      <c r="QQS27" s="209"/>
      <c r="QQT27" s="209"/>
      <c r="QQU27" s="209"/>
      <c r="QQV27" s="209"/>
      <c r="QQW27" s="209"/>
      <c r="QQX27" s="209"/>
      <c r="QQY27" s="209"/>
      <c r="QQZ27" s="209"/>
      <c r="QRA27" s="209"/>
      <c r="QRB27" s="209"/>
      <c r="QRC27" s="209"/>
      <c r="QRD27" s="209"/>
      <c r="QRE27" s="209"/>
      <c r="QRF27" s="209"/>
      <c r="QRG27" s="209"/>
      <c r="QRH27" s="209"/>
      <c r="QRI27" s="209"/>
      <c r="QRJ27" s="209"/>
      <c r="QRK27" s="209"/>
      <c r="QRL27" s="209"/>
      <c r="QRM27" s="209"/>
      <c r="QRN27" s="209"/>
      <c r="QRO27" s="209"/>
      <c r="QRP27" s="209"/>
      <c r="QRQ27" s="209"/>
      <c r="QRR27" s="209"/>
      <c r="QRS27" s="209"/>
      <c r="QRT27" s="209"/>
      <c r="QRU27" s="209"/>
      <c r="QRV27" s="209"/>
      <c r="QRW27" s="209"/>
      <c r="QRX27" s="209"/>
      <c r="QRY27" s="209"/>
      <c r="QRZ27" s="209"/>
      <c r="QSA27" s="209"/>
      <c r="QSB27" s="209"/>
      <c r="QSC27" s="209"/>
      <c r="QSD27" s="209"/>
      <c r="QSE27" s="209"/>
      <c r="QSF27" s="209"/>
      <c r="QSG27" s="209"/>
      <c r="QSH27" s="209"/>
      <c r="QSI27" s="209"/>
      <c r="QSJ27" s="209"/>
      <c r="QSK27" s="209"/>
      <c r="QSL27" s="209"/>
      <c r="QSM27" s="209"/>
      <c r="QSN27" s="209"/>
      <c r="QSO27" s="209"/>
      <c r="QSP27" s="209"/>
      <c r="QSQ27" s="209"/>
      <c r="QSR27" s="209"/>
      <c r="QSS27" s="209"/>
      <c r="QST27" s="209"/>
      <c r="QSU27" s="209"/>
      <c r="QSV27" s="209"/>
      <c r="QSW27" s="209"/>
      <c r="QSX27" s="209"/>
      <c r="QSY27" s="209"/>
      <c r="QSZ27" s="209"/>
      <c r="QTA27" s="209"/>
      <c r="QTB27" s="209"/>
      <c r="QTC27" s="209"/>
      <c r="QTD27" s="209"/>
      <c r="QTE27" s="209"/>
      <c r="QTF27" s="209"/>
      <c r="QTG27" s="209"/>
      <c r="QTH27" s="209"/>
      <c r="QTI27" s="209"/>
      <c r="QTJ27" s="209"/>
      <c r="QTK27" s="209"/>
      <c r="QTL27" s="209"/>
      <c r="QTM27" s="209"/>
      <c r="QTN27" s="209"/>
      <c r="QTO27" s="209"/>
      <c r="QTP27" s="209"/>
      <c r="QTQ27" s="209"/>
      <c r="QTR27" s="209"/>
      <c r="QTS27" s="209"/>
      <c r="QTT27" s="209"/>
      <c r="QTU27" s="209"/>
      <c r="QTV27" s="209"/>
      <c r="QTW27" s="209"/>
      <c r="QTX27" s="209"/>
      <c r="QTY27" s="209"/>
      <c r="QTZ27" s="209"/>
      <c r="QUA27" s="209"/>
      <c r="QUB27" s="209"/>
      <c r="QUC27" s="209"/>
      <c r="QUD27" s="209"/>
      <c r="QUE27" s="209"/>
      <c r="QUF27" s="209"/>
      <c r="QUG27" s="209"/>
      <c r="QUH27" s="209"/>
      <c r="QUI27" s="209"/>
      <c r="QUJ27" s="209"/>
      <c r="QUK27" s="209"/>
      <c r="QUL27" s="209"/>
      <c r="QUM27" s="209"/>
      <c r="QUN27" s="209"/>
      <c r="QUO27" s="209"/>
      <c r="QUP27" s="209"/>
      <c r="QUQ27" s="209"/>
      <c r="QUR27" s="209"/>
      <c r="QUS27" s="209"/>
      <c r="QUT27" s="209"/>
      <c r="QUU27" s="209"/>
      <c r="QUV27" s="209"/>
      <c r="QUW27" s="209"/>
      <c r="QUX27" s="209"/>
      <c r="QUY27" s="209"/>
      <c r="QUZ27" s="209"/>
      <c r="QVA27" s="209"/>
      <c r="QVB27" s="209"/>
      <c r="QVC27" s="209"/>
      <c r="QVD27" s="209"/>
      <c r="QVE27" s="209"/>
      <c r="QVF27" s="209"/>
      <c r="QVG27" s="209"/>
      <c r="QVH27" s="209"/>
      <c r="QVI27" s="209"/>
      <c r="QVJ27" s="209"/>
      <c r="QVK27" s="209"/>
      <c r="QVL27" s="209"/>
      <c r="QVM27" s="209"/>
      <c r="QVN27" s="209"/>
      <c r="QVO27" s="209"/>
      <c r="QVP27" s="209"/>
      <c r="QVQ27" s="209"/>
      <c r="QVR27" s="209"/>
      <c r="QVS27" s="209"/>
      <c r="QVT27" s="209"/>
      <c r="QVU27" s="209"/>
      <c r="QVV27" s="209"/>
      <c r="QVW27" s="209"/>
      <c r="QVX27" s="209"/>
      <c r="QVY27" s="209"/>
      <c r="QVZ27" s="209"/>
      <c r="QWA27" s="209"/>
      <c r="QWB27" s="209"/>
      <c r="QWC27" s="209"/>
      <c r="QWD27" s="209"/>
      <c r="QWE27" s="209"/>
      <c r="QWF27" s="209"/>
      <c r="QWG27" s="209"/>
      <c r="QWH27" s="209"/>
      <c r="QWI27" s="209"/>
      <c r="QWJ27" s="209"/>
      <c r="QWK27" s="209"/>
      <c r="QWL27" s="209"/>
      <c r="QWM27" s="209"/>
      <c r="QWN27" s="209"/>
      <c r="QWO27" s="209"/>
      <c r="QWP27" s="209"/>
      <c r="QWQ27" s="209"/>
      <c r="QWR27" s="209"/>
      <c r="QWS27" s="209"/>
      <c r="QWT27" s="209"/>
      <c r="QWU27" s="209"/>
      <c r="QWV27" s="209"/>
      <c r="QWW27" s="209"/>
      <c r="QWX27" s="209"/>
      <c r="QWY27" s="209"/>
      <c r="QWZ27" s="209"/>
      <c r="QXA27" s="209"/>
      <c r="QXB27" s="209"/>
      <c r="QXC27" s="209"/>
      <c r="QXD27" s="209"/>
      <c r="QXE27" s="209"/>
      <c r="QXF27" s="209"/>
      <c r="QXG27" s="209"/>
      <c r="QXH27" s="209"/>
      <c r="QXI27" s="209"/>
      <c r="QXJ27" s="209"/>
      <c r="QXK27" s="209"/>
      <c r="QXL27" s="209"/>
      <c r="QXM27" s="209"/>
      <c r="QXN27" s="209"/>
      <c r="QXO27" s="209"/>
      <c r="QXP27" s="209"/>
      <c r="QXQ27" s="209"/>
      <c r="QXR27" s="209"/>
      <c r="QXS27" s="209"/>
      <c r="QXT27" s="209"/>
      <c r="QXU27" s="209"/>
      <c r="QXV27" s="209"/>
      <c r="QXW27" s="209"/>
      <c r="QXX27" s="209"/>
      <c r="QXY27" s="209"/>
      <c r="QXZ27" s="209"/>
      <c r="QYA27" s="209"/>
      <c r="QYB27" s="209"/>
      <c r="QYC27" s="209"/>
      <c r="QYD27" s="209"/>
      <c r="QYE27" s="209"/>
      <c r="QYF27" s="209"/>
      <c r="QYG27" s="209"/>
      <c r="QYH27" s="209"/>
      <c r="QYI27" s="209"/>
      <c r="QYJ27" s="209"/>
      <c r="QYK27" s="209"/>
      <c r="QYL27" s="209"/>
      <c r="QYM27" s="209"/>
      <c r="QYN27" s="209"/>
      <c r="QYO27" s="209"/>
      <c r="QYP27" s="209"/>
      <c r="QYQ27" s="209"/>
      <c r="QYR27" s="209"/>
      <c r="QYS27" s="209"/>
      <c r="QYT27" s="209"/>
      <c r="QYU27" s="209"/>
      <c r="QYV27" s="209"/>
      <c r="QYW27" s="209"/>
      <c r="QYX27" s="209"/>
      <c r="QYY27" s="209"/>
      <c r="QYZ27" s="209"/>
      <c r="QZA27" s="209"/>
      <c r="QZB27" s="209"/>
      <c r="QZC27" s="209"/>
      <c r="QZD27" s="209"/>
      <c r="QZE27" s="209"/>
      <c r="QZF27" s="209"/>
      <c r="QZG27" s="209"/>
      <c r="QZH27" s="209"/>
      <c r="QZI27" s="209"/>
      <c r="QZJ27" s="209"/>
      <c r="QZK27" s="209"/>
      <c r="QZL27" s="209"/>
      <c r="QZM27" s="209"/>
      <c r="QZN27" s="209"/>
      <c r="QZO27" s="209"/>
      <c r="QZP27" s="209"/>
      <c r="QZQ27" s="209"/>
      <c r="QZR27" s="209"/>
      <c r="QZS27" s="209"/>
      <c r="QZT27" s="209"/>
      <c r="QZU27" s="209"/>
      <c r="QZV27" s="209"/>
      <c r="QZW27" s="209"/>
      <c r="QZX27" s="209"/>
      <c r="QZY27" s="209"/>
      <c r="QZZ27" s="209"/>
      <c r="RAA27" s="209"/>
      <c r="RAB27" s="209"/>
      <c r="RAC27" s="209"/>
      <c r="RAD27" s="209"/>
      <c r="RAE27" s="209"/>
      <c r="RAF27" s="209"/>
      <c r="RAG27" s="209"/>
      <c r="RAH27" s="209"/>
      <c r="RAI27" s="209"/>
      <c r="RAJ27" s="209"/>
      <c r="RAK27" s="209"/>
      <c r="RAL27" s="209"/>
      <c r="RAM27" s="209"/>
      <c r="RAN27" s="209"/>
      <c r="RAO27" s="209"/>
      <c r="RAP27" s="209"/>
      <c r="RAQ27" s="209"/>
      <c r="RAR27" s="209"/>
      <c r="RAS27" s="209"/>
      <c r="RAT27" s="209"/>
      <c r="RAU27" s="209"/>
      <c r="RAV27" s="209"/>
      <c r="RAW27" s="209"/>
      <c r="RAX27" s="209"/>
      <c r="RAY27" s="209"/>
      <c r="RAZ27" s="209"/>
      <c r="RBA27" s="209"/>
      <c r="RBB27" s="209"/>
      <c r="RBC27" s="209"/>
      <c r="RBD27" s="209"/>
      <c r="RBE27" s="209"/>
      <c r="RBF27" s="209"/>
      <c r="RBG27" s="209"/>
      <c r="RBH27" s="209"/>
      <c r="RBI27" s="209"/>
      <c r="RBJ27" s="209"/>
      <c r="RBK27" s="209"/>
      <c r="RBL27" s="209"/>
      <c r="RBM27" s="209"/>
      <c r="RBN27" s="209"/>
      <c r="RBO27" s="209"/>
      <c r="RBP27" s="209"/>
      <c r="RBQ27" s="209"/>
      <c r="RBR27" s="209"/>
      <c r="RBS27" s="209"/>
      <c r="RBT27" s="209"/>
      <c r="RBU27" s="209"/>
      <c r="RBV27" s="209"/>
      <c r="RBW27" s="209"/>
      <c r="RBX27" s="209"/>
      <c r="RBY27" s="209"/>
      <c r="RBZ27" s="209"/>
      <c r="RCA27" s="209"/>
      <c r="RCB27" s="209"/>
      <c r="RCC27" s="209"/>
      <c r="RCD27" s="209"/>
      <c r="RCE27" s="209"/>
      <c r="RCF27" s="209"/>
      <c r="RCG27" s="209"/>
      <c r="RCH27" s="209"/>
      <c r="RCI27" s="209"/>
      <c r="RCJ27" s="209"/>
      <c r="RCK27" s="209"/>
      <c r="RCL27" s="209"/>
      <c r="RCM27" s="209"/>
      <c r="RCN27" s="209"/>
      <c r="RCO27" s="209"/>
      <c r="RCP27" s="209"/>
      <c r="RCQ27" s="209"/>
      <c r="RCR27" s="209"/>
      <c r="RCS27" s="209"/>
      <c r="RCT27" s="209"/>
      <c r="RCU27" s="209"/>
      <c r="RCV27" s="209"/>
      <c r="RCW27" s="209"/>
      <c r="RCX27" s="209"/>
      <c r="RCY27" s="209"/>
      <c r="RCZ27" s="209"/>
      <c r="RDA27" s="209"/>
      <c r="RDB27" s="209"/>
      <c r="RDC27" s="209"/>
      <c r="RDD27" s="209"/>
      <c r="RDE27" s="209"/>
      <c r="RDF27" s="209"/>
      <c r="RDG27" s="209"/>
      <c r="RDH27" s="209"/>
      <c r="RDI27" s="209"/>
      <c r="RDJ27" s="209"/>
      <c r="RDK27" s="209"/>
      <c r="RDL27" s="209"/>
      <c r="RDM27" s="209"/>
      <c r="RDN27" s="209"/>
      <c r="RDO27" s="209"/>
      <c r="RDP27" s="209"/>
      <c r="RDQ27" s="209"/>
      <c r="RDR27" s="209"/>
      <c r="RDS27" s="209"/>
      <c r="RDT27" s="209"/>
      <c r="RDU27" s="209"/>
      <c r="RDV27" s="209"/>
      <c r="RDW27" s="209"/>
      <c r="RDX27" s="209"/>
      <c r="RDY27" s="209"/>
      <c r="RDZ27" s="209"/>
      <c r="REA27" s="209"/>
      <c r="REB27" s="209"/>
      <c r="REC27" s="209"/>
      <c r="RED27" s="209"/>
      <c r="REE27" s="209"/>
      <c r="REF27" s="209"/>
      <c r="REG27" s="209"/>
      <c r="REH27" s="209"/>
      <c r="REI27" s="209"/>
      <c r="REJ27" s="209"/>
      <c r="REK27" s="209"/>
      <c r="REL27" s="209"/>
      <c r="REM27" s="209"/>
      <c r="REN27" s="209"/>
      <c r="REO27" s="209"/>
      <c r="REP27" s="209"/>
      <c r="REQ27" s="209"/>
      <c r="RER27" s="209"/>
      <c r="RES27" s="209"/>
      <c r="RET27" s="209"/>
      <c r="REU27" s="209"/>
      <c r="REV27" s="209"/>
      <c r="REW27" s="209"/>
      <c r="REX27" s="209"/>
      <c r="REY27" s="209"/>
      <c r="REZ27" s="209"/>
      <c r="RFA27" s="209"/>
      <c r="RFB27" s="209"/>
      <c r="RFC27" s="209"/>
      <c r="RFD27" s="209"/>
      <c r="RFE27" s="209"/>
      <c r="RFF27" s="209"/>
      <c r="RFG27" s="209"/>
      <c r="RFH27" s="209"/>
      <c r="RFI27" s="209"/>
      <c r="RFJ27" s="209"/>
      <c r="RFK27" s="209"/>
      <c r="RFL27" s="209"/>
      <c r="RFM27" s="209"/>
      <c r="RFN27" s="209"/>
      <c r="RFO27" s="209"/>
      <c r="RFP27" s="209"/>
      <c r="RFQ27" s="209"/>
      <c r="RFR27" s="209"/>
      <c r="RFS27" s="209"/>
      <c r="RFT27" s="209"/>
      <c r="RFU27" s="209"/>
      <c r="RFV27" s="209"/>
      <c r="RFW27" s="209"/>
      <c r="RFX27" s="209"/>
      <c r="RFY27" s="209"/>
      <c r="RFZ27" s="209"/>
      <c r="RGA27" s="209"/>
      <c r="RGB27" s="209"/>
      <c r="RGC27" s="209"/>
      <c r="RGD27" s="209"/>
      <c r="RGE27" s="209"/>
      <c r="RGF27" s="209"/>
      <c r="RGG27" s="209"/>
      <c r="RGH27" s="209"/>
      <c r="RGI27" s="209"/>
      <c r="RGJ27" s="209"/>
      <c r="RGK27" s="209"/>
      <c r="RGL27" s="209"/>
      <c r="RGM27" s="209"/>
      <c r="RGN27" s="209"/>
      <c r="RGO27" s="209"/>
      <c r="RGP27" s="209"/>
      <c r="RGQ27" s="209"/>
      <c r="RGR27" s="209"/>
      <c r="RGS27" s="209"/>
      <c r="RGT27" s="209"/>
      <c r="RGU27" s="209"/>
      <c r="RGV27" s="209"/>
      <c r="RGW27" s="209"/>
      <c r="RGX27" s="209"/>
      <c r="RGY27" s="209"/>
      <c r="RGZ27" s="209"/>
      <c r="RHA27" s="209"/>
      <c r="RHB27" s="209"/>
      <c r="RHC27" s="209"/>
      <c r="RHD27" s="209"/>
      <c r="RHE27" s="209"/>
      <c r="RHF27" s="209"/>
      <c r="RHG27" s="209"/>
      <c r="RHH27" s="209"/>
      <c r="RHI27" s="209"/>
      <c r="RHJ27" s="209"/>
      <c r="RHK27" s="209"/>
      <c r="RHL27" s="209"/>
      <c r="RHM27" s="209"/>
      <c r="RHN27" s="209"/>
      <c r="RHO27" s="209"/>
      <c r="RHP27" s="209"/>
      <c r="RHQ27" s="209"/>
      <c r="RHR27" s="209"/>
      <c r="RHS27" s="209"/>
      <c r="RHT27" s="209"/>
      <c r="RHU27" s="209"/>
      <c r="RHV27" s="209"/>
      <c r="RHW27" s="209"/>
      <c r="RHX27" s="209"/>
      <c r="RHY27" s="209"/>
      <c r="RHZ27" s="209"/>
      <c r="RIA27" s="209"/>
      <c r="RIB27" s="209"/>
      <c r="RIC27" s="209"/>
      <c r="RID27" s="209"/>
      <c r="RIE27" s="209"/>
      <c r="RIF27" s="209"/>
      <c r="RIG27" s="209"/>
      <c r="RIH27" s="209"/>
      <c r="RII27" s="209"/>
      <c r="RIJ27" s="209"/>
      <c r="RIK27" s="209"/>
      <c r="RIL27" s="209"/>
      <c r="RIM27" s="209"/>
      <c r="RIN27" s="209"/>
      <c r="RIO27" s="209"/>
      <c r="RIP27" s="209"/>
      <c r="RIQ27" s="209"/>
      <c r="RIR27" s="209"/>
      <c r="RIS27" s="209"/>
      <c r="RIT27" s="209"/>
      <c r="RIU27" s="209"/>
      <c r="RIV27" s="209"/>
      <c r="RIW27" s="209"/>
      <c r="RIX27" s="209"/>
      <c r="RIY27" s="209"/>
      <c r="RIZ27" s="209"/>
      <c r="RJA27" s="209"/>
      <c r="RJB27" s="209"/>
      <c r="RJC27" s="209"/>
      <c r="RJD27" s="209"/>
      <c r="RJE27" s="209"/>
      <c r="RJF27" s="209"/>
      <c r="RJG27" s="209"/>
      <c r="RJH27" s="209"/>
      <c r="RJI27" s="209"/>
      <c r="RJJ27" s="209"/>
      <c r="RJK27" s="209"/>
      <c r="RJL27" s="209"/>
      <c r="RJM27" s="209"/>
      <c r="RJN27" s="209"/>
      <c r="RJO27" s="209"/>
      <c r="RJP27" s="209"/>
      <c r="RJQ27" s="209"/>
      <c r="RJR27" s="209"/>
      <c r="RJS27" s="209"/>
      <c r="RJT27" s="209"/>
      <c r="RJU27" s="209"/>
      <c r="RJV27" s="209"/>
      <c r="RJW27" s="209"/>
      <c r="RJX27" s="209"/>
      <c r="RJY27" s="209"/>
      <c r="RJZ27" s="209"/>
      <c r="RKA27" s="209"/>
      <c r="RKB27" s="209"/>
      <c r="RKC27" s="209"/>
      <c r="RKD27" s="209"/>
      <c r="RKE27" s="209"/>
      <c r="RKF27" s="209"/>
      <c r="RKG27" s="209"/>
      <c r="RKH27" s="209"/>
      <c r="RKI27" s="209"/>
      <c r="RKJ27" s="209"/>
      <c r="RKK27" s="209"/>
      <c r="RKL27" s="209"/>
      <c r="RKM27" s="209"/>
      <c r="RKN27" s="209"/>
      <c r="RKO27" s="209"/>
      <c r="RKP27" s="209"/>
      <c r="RKQ27" s="209"/>
      <c r="RKR27" s="209"/>
      <c r="RKS27" s="209"/>
      <c r="RKT27" s="209"/>
      <c r="RKU27" s="209"/>
      <c r="RKV27" s="209"/>
      <c r="RKW27" s="209"/>
      <c r="RKX27" s="209"/>
      <c r="RKY27" s="209"/>
      <c r="RKZ27" s="209"/>
      <c r="RLA27" s="209"/>
      <c r="RLB27" s="209"/>
      <c r="RLC27" s="209"/>
      <c r="RLD27" s="209"/>
      <c r="RLE27" s="209"/>
      <c r="RLF27" s="209"/>
      <c r="RLG27" s="209"/>
      <c r="RLH27" s="209"/>
      <c r="RLI27" s="209"/>
      <c r="RLJ27" s="209"/>
      <c r="RLK27" s="209"/>
      <c r="RLL27" s="209"/>
      <c r="RLM27" s="209"/>
      <c r="RLN27" s="209"/>
      <c r="RLO27" s="209"/>
      <c r="RLP27" s="209"/>
      <c r="RLQ27" s="209"/>
      <c r="RLR27" s="209"/>
      <c r="RLS27" s="209"/>
      <c r="RLT27" s="209"/>
      <c r="RLU27" s="209"/>
      <c r="RLV27" s="209"/>
      <c r="RLW27" s="209"/>
      <c r="RLX27" s="209"/>
      <c r="RLY27" s="209"/>
      <c r="RLZ27" s="209"/>
      <c r="RMA27" s="209"/>
      <c r="RMB27" s="209"/>
      <c r="RMC27" s="209"/>
      <c r="RMD27" s="209"/>
      <c r="RME27" s="209"/>
      <c r="RMF27" s="209"/>
      <c r="RMG27" s="209"/>
      <c r="RMH27" s="209"/>
      <c r="RMI27" s="209"/>
      <c r="RMJ27" s="209"/>
      <c r="RMK27" s="209"/>
      <c r="RML27" s="209"/>
      <c r="RMM27" s="209"/>
      <c r="RMN27" s="209"/>
      <c r="RMO27" s="209"/>
      <c r="RMP27" s="209"/>
      <c r="RMQ27" s="209"/>
      <c r="RMR27" s="209"/>
      <c r="RMS27" s="209"/>
      <c r="RMT27" s="209"/>
      <c r="RMU27" s="209"/>
      <c r="RMV27" s="209"/>
      <c r="RMW27" s="209"/>
      <c r="RMX27" s="209"/>
      <c r="RMY27" s="209"/>
      <c r="RMZ27" s="209"/>
      <c r="RNA27" s="209"/>
      <c r="RNB27" s="209"/>
      <c r="RNC27" s="209"/>
      <c r="RND27" s="209"/>
      <c r="RNE27" s="209"/>
      <c r="RNF27" s="209"/>
      <c r="RNG27" s="209"/>
      <c r="RNH27" s="209"/>
      <c r="RNI27" s="209"/>
      <c r="RNJ27" s="209"/>
      <c r="RNK27" s="209"/>
      <c r="RNL27" s="209"/>
      <c r="RNM27" s="209"/>
      <c r="RNN27" s="209"/>
      <c r="RNO27" s="209"/>
      <c r="RNP27" s="209"/>
      <c r="RNQ27" s="209"/>
      <c r="RNR27" s="209"/>
      <c r="RNS27" s="209"/>
      <c r="RNT27" s="209"/>
      <c r="RNU27" s="209"/>
      <c r="RNV27" s="209"/>
      <c r="RNW27" s="209"/>
      <c r="RNX27" s="209"/>
      <c r="RNY27" s="209"/>
      <c r="RNZ27" s="209"/>
      <c r="ROA27" s="209"/>
      <c r="ROB27" s="209"/>
      <c r="ROC27" s="209"/>
      <c r="ROD27" s="209"/>
      <c r="ROE27" s="209"/>
      <c r="ROF27" s="209"/>
      <c r="ROG27" s="209"/>
      <c r="ROH27" s="209"/>
      <c r="ROI27" s="209"/>
      <c r="ROJ27" s="209"/>
      <c r="ROK27" s="209"/>
      <c r="ROL27" s="209"/>
      <c r="ROM27" s="209"/>
      <c r="RON27" s="209"/>
      <c r="ROO27" s="209"/>
      <c r="ROP27" s="209"/>
      <c r="ROQ27" s="209"/>
      <c r="ROR27" s="209"/>
      <c r="ROS27" s="209"/>
      <c r="ROT27" s="209"/>
      <c r="ROU27" s="209"/>
      <c r="ROV27" s="209"/>
      <c r="ROW27" s="209"/>
      <c r="ROX27" s="209"/>
      <c r="ROY27" s="209"/>
      <c r="ROZ27" s="209"/>
      <c r="RPA27" s="209"/>
      <c r="RPB27" s="209"/>
      <c r="RPC27" s="209"/>
      <c r="RPD27" s="209"/>
      <c r="RPE27" s="209"/>
      <c r="RPF27" s="209"/>
      <c r="RPG27" s="209"/>
      <c r="RPH27" s="209"/>
      <c r="RPI27" s="209"/>
      <c r="RPJ27" s="209"/>
      <c r="RPK27" s="209"/>
      <c r="RPL27" s="209"/>
      <c r="RPM27" s="209"/>
      <c r="RPN27" s="209"/>
      <c r="RPO27" s="209"/>
      <c r="RPP27" s="209"/>
      <c r="RPQ27" s="209"/>
      <c r="RPR27" s="209"/>
      <c r="RPS27" s="209"/>
      <c r="RPT27" s="209"/>
      <c r="RPU27" s="209"/>
      <c r="RPV27" s="209"/>
      <c r="RPW27" s="209"/>
      <c r="RPX27" s="209"/>
      <c r="RPY27" s="209"/>
      <c r="RPZ27" s="209"/>
      <c r="RQA27" s="209"/>
      <c r="RQB27" s="209"/>
      <c r="RQC27" s="209"/>
      <c r="RQD27" s="209"/>
      <c r="RQE27" s="209"/>
      <c r="RQF27" s="209"/>
      <c r="RQG27" s="209"/>
      <c r="RQH27" s="209"/>
      <c r="RQI27" s="209"/>
      <c r="RQJ27" s="209"/>
      <c r="RQK27" s="209"/>
      <c r="RQL27" s="209"/>
      <c r="RQM27" s="209"/>
      <c r="RQN27" s="209"/>
      <c r="RQO27" s="209"/>
      <c r="RQP27" s="209"/>
      <c r="RQQ27" s="209"/>
      <c r="RQR27" s="209"/>
      <c r="RQS27" s="209"/>
      <c r="RQT27" s="209"/>
      <c r="RQU27" s="209"/>
      <c r="RQV27" s="209"/>
      <c r="RQW27" s="209"/>
      <c r="RQX27" s="209"/>
      <c r="RQY27" s="209"/>
      <c r="RQZ27" s="209"/>
      <c r="RRA27" s="209"/>
      <c r="RRB27" s="209"/>
      <c r="RRC27" s="209"/>
      <c r="RRD27" s="209"/>
      <c r="RRE27" s="209"/>
      <c r="RRF27" s="209"/>
      <c r="RRG27" s="209"/>
      <c r="RRH27" s="209"/>
      <c r="RRI27" s="209"/>
      <c r="RRJ27" s="209"/>
      <c r="RRK27" s="209"/>
      <c r="RRL27" s="209"/>
      <c r="RRM27" s="209"/>
      <c r="RRN27" s="209"/>
      <c r="RRO27" s="209"/>
      <c r="RRP27" s="209"/>
      <c r="RRQ27" s="209"/>
      <c r="RRR27" s="209"/>
      <c r="RRS27" s="209"/>
      <c r="RRT27" s="209"/>
      <c r="RRU27" s="209"/>
      <c r="RRV27" s="209"/>
      <c r="RRW27" s="209"/>
      <c r="RRX27" s="209"/>
      <c r="RRY27" s="209"/>
      <c r="RRZ27" s="209"/>
      <c r="RSA27" s="209"/>
      <c r="RSB27" s="209"/>
      <c r="RSC27" s="209"/>
      <c r="RSD27" s="209"/>
      <c r="RSE27" s="209"/>
      <c r="RSF27" s="209"/>
      <c r="RSG27" s="209"/>
      <c r="RSH27" s="209"/>
      <c r="RSI27" s="209"/>
      <c r="RSJ27" s="209"/>
      <c r="RSK27" s="209"/>
      <c r="RSL27" s="209"/>
      <c r="RSM27" s="209"/>
      <c r="RSN27" s="209"/>
      <c r="RSO27" s="209"/>
      <c r="RSP27" s="209"/>
      <c r="RSQ27" s="209"/>
      <c r="RSR27" s="209"/>
      <c r="RSS27" s="209"/>
      <c r="RST27" s="209"/>
      <c r="RSU27" s="209"/>
      <c r="RSV27" s="209"/>
      <c r="RSW27" s="209"/>
      <c r="RSX27" s="209"/>
      <c r="RSY27" s="209"/>
      <c r="RSZ27" s="209"/>
      <c r="RTA27" s="209"/>
      <c r="RTB27" s="209"/>
      <c r="RTC27" s="209"/>
      <c r="RTD27" s="209"/>
      <c r="RTE27" s="209"/>
      <c r="RTF27" s="209"/>
      <c r="RTG27" s="209"/>
      <c r="RTH27" s="209"/>
      <c r="RTI27" s="209"/>
      <c r="RTJ27" s="209"/>
      <c r="RTK27" s="209"/>
      <c r="RTL27" s="209"/>
      <c r="RTM27" s="209"/>
      <c r="RTN27" s="209"/>
      <c r="RTO27" s="209"/>
      <c r="RTP27" s="209"/>
      <c r="RTQ27" s="209"/>
      <c r="RTR27" s="209"/>
      <c r="RTS27" s="209"/>
      <c r="RTT27" s="209"/>
      <c r="RTU27" s="209"/>
      <c r="RTV27" s="209"/>
      <c r="RTW27" s="209"/>
      <c r="RTX27" s="209"/>
      <c r="RTY27" s="209"/>
      <c r="RTZ27" s="209"/>
      <c r="RUA27" s="209"/>
      <c r="RUB27" s="209"/>
      <c r="RUC27" s="209"/>
      <c r="RUD27" s="209"/>
      <c r="RUE27" s="209"/>
      <c r="RUF27" s="209"/>
      <c r="RUG27" s="209"/>
      <c r="RUH27" s="209"/>
      <c r="RUI27" s="209"/>
      <c r="RUJ27" s="209"/>
      <c r="RUK27" s="209"/>
      <c r="RUL27" s="209"/>
      <c r="RUM27" s="209"/>
      <c r="RUN27" s="209"/>
      <c r="RUO27" s="209"/>
      <c r="RUP27" s="209"/>
      <c r="RUQ27" s="209"/>
      <c r="RUR27" s="209"/>
      <c r="RUS27" s="209"/>
      <c r="RUT27" s="209"/>
      <c r="RUU27" s="209"/>
      <c r="RUV27" s="209"/>
      <c r="RUW27" s="209"/>
      <c r="RUX27" s="209"/>
      <c r="RUY27" s="209"/>
      <c r="RUZ27" s="209"/>
      <c r="RVA27" s="209"/>
      <c r="RVB27" s="209"/>
      <c r="RVC27" s="209"/>
      <c r="RVD27" s="209"/>
      <c r="RVE27" s="209"/>
      <c r="RVF27" s="209"/>
      <c r="RVG27" s="209"/>
      <c r="RVH27" s="209"/>
      <c r="RVI27" s="209"/>
      <c r="RVJ27" s="209"/>
      <c r="RVK27" s="209"/>
      <c r="RVL27" s="209"/>
      <c r="RVM27" s="209"/>
      <c r="RVN27" s="209"/>
      <c r="RVO27" s="209"/>
      <c r="RVP27" s="209"/>
      <c r="RVQ27" s="209"/>
      <c r="RVR27" s="209"/>
      <c r="RVS27" s="209"/>
      <c r="RVT27" s="209"/>
      <c r="RVU27" s="209"/>
      <c r="RVV27" s="209"/>
      <c r="RVW27" s="209"/>
      <c r="RVX27" s="209"/>
      <c r="RVY27" s="209"/>
      <c r="RVZ27" s="209"/>
      <c r="RWA27" s="209"/>
      <c r="RWB27" s="209"/>
      <c r="RWC27" s="209"/>
      <c r="RWD27" s="209"/>
      <c r="RWE27" s="209"/>
      <c r="RWF27" s="209"/>
      <c r="RWG27" s="209"/>
      <c r="RWH27" s="209"/>
      <c r="RWI27" s="209"/>
      <c r="RWJ27" s="209"/>
      <c r="RWK27" s="209"/>
      <c r="RWL27" s="209"/>
      <c r="RWM27" s="209"/>
      <c r="RWN27" s="209"/>
      <c r="RWO27" s="209"/>
      <c r="RWP27" s="209"/>
      <c r="RWQ27" s="209"/>
      <c r="RWR27" s="209"/>
      <c r="RWS27" s="209"/>
      <c r="RWT27" s="209"/>
      <c r="RWU27" s="209"/>
      <c r="RWV27" s="209"/>
      <c r="RWW27" s="209"/>
      <c r="RWX27" s="209"/>
      <c r="RWY27" s="209"/>
      <c r="RWZ27" s="209"/>
      <c r="RXA27" s="209"/>
      <c r="RXB27" s="209"/>
      <c r="RXC27" s="209"/>
      <c r="RXD27" s="209"/>
      <c r="RXE27" s="209"/>
      <c r="RXF27" s="209"/>
      <c r="RXG27" s="209"/>
      <c r="RXH27" s="209"/>
      <c r="RXI27" s="209"/>
      <c r="RXJ27" s="209"/>
      <c r="RXK27" s="209"/>
      <c r="RXL27" s="209"/>
      <c r="RXM27" s="209"/>
      <c r="RXN27" s="209"/>
      <c r="RXO27" s="209"/>
      <c r="RXP27" s="209"/>
      <c r="RXQ27" s="209"/>
      <c r="RXR27" s="209"/>
      <c r="RXS27" s="209"/>
      <c r="RXT27" s="209"/>
      <c r="RXU27" s="209"/>
      <c r="RXV27" s="209"/>
      <c r="RXW27" s="209"/>
      <c r="RXX27" s="209"/>
      <c r="RXY27" s="209"/>
      <c r="RXZ27" s="209"/>
      <c r="RYA27" s="209"/>
      <c r="RYB27" s="209"/>
      <c r="RYC27" s="209"/>
      <c r="RYD27" s="209"/>
      <c r="RYE27" s="209"/>
      <c r="RYF27" s="209"/>
      <c r="RYG27" s="209"/>
      <c r="RYH27" s="209"/>
      <c r="RYI27" s="209"/>
      <c r="RYJ27" s="209"/>
      <c r="RYK27" s="209"/>
      <c r="RYL27" s="209"/>
      <c r="RYM27" s="209"/>
      <c r="RYN27" s="209"/>
      <c r="RYO27" s="209"/>
      <c r="RYP27" s="209"/>
      <c r="RYQ27" s="209"/>
      <c r="RYR27" s="209"/>
      <c r="RYS27" s="209"/>
      <c r="RYT27" s="209"/>
      <c r="RYU27" s="209"/>
      <c r="RYV27" s="209"/>
      <c r="RYW27" s="209"/>
      <c r="RYX27" s="209"/>
      <c r="RYY27" s="209"/>
      <c r="RYZ27" s="209"/>
      <c r="RZA27" s="209"/>
      <c r="RZB27" s="209"/>
      <c r="RZC27" s="209"/>
      <c r="RZD27" s="209"/>
      <c r="RZE27" s="209"/>
      <c r="RZF27" s="209"/>
      <c r="RZG27" s="209"/>
      <c r="RZH27" s="209"/>
      <c r="RZI27" s="209"/>
      <c r="RZJ27" s="209"/>
      <c r="RZK27" s="209"/>
      <c r="RZL27" s="209"/>
      <c r="RZM27" s="209"/>
      <c r="RZN27" s="209"/>
      <c r="RZO27" s="209"/>
      <c r="RZP27" s="209"/>
      <c r="RZQ27" s="209"/>
      <c r="RZR27" s="209"/>
      <c r="RZS27" s="209"/>
      <c r="RZT27" s="209"/>
      <c r="RZU27" s="209"/>
      <c r="RZV27" s="209"/>
      <c r="RZW27" s="209"/>
      <c r="RZX27" s="209"/>
      <c r="RZY27" s="209"/>
      <c r="RZZ27" s="209"/>
      <c r="SAA27" s="209"/>
      <c r="SAB27" s="209"/>
      <c r="SAC27" s="209"/>
      <c r="SAD27" s="209"/>
      <c r="SAE27" s="209"/>
      <c r="SAF27" s="209"/>
      <c r="SAG27" s="209"/>
      <c r="SAH27" s="209"/>
      <c r="SAI27" s="209"/>
      <c r="SAJ27" s="209"/>
      <c r="SAK27" s="209"/>
      <c r="SAL27" s="209"/>
      <c r="SAM27" s="209"/>
      <c r="SAN27" s="209"/>
      <c r="SAO27" s="209"/>
      <c r="SAP27" s="209"/>
      <c r="SAQ27" s="209"/>
      <c r="SAR27" s="209"/>
      <c r="SAS27" s="209"/>
      <c r="SAT27" s="209"/>
      <c r="SAU27" s="209"/>
      <c r="SAV27" s="209"/>
      <c r="SAW27" s="209"/>
      <c r="SAX27" s="209"/>
      <c r="SAY27" s="209"/>
      <c r="SAZ27" s="209"/>
      <c r="SBA27" s="209"/>
      <c r="SBB27" s="209"/>
      <c r="SBC27" s="209"/>
      <c r="SBD27" s="209"/>
      <c r="SBE27" s="209"/>
      <c r="SBF27" s="209"/>
      <c r="SBG27" s="209"/>
      <c r="SBH27" s="209"/>
      <c r="SBI27" s="209"/>
      <c r="SBJ27" s="209"/>
      <c r="SBK27" s="209"/>
      <c r="SBL27" s="209"/>
      <c r="SBM27" s="209"/>
      <c r="SBN27" s="209"/>
      <c r="SBO27" s="209"/>
      <c r="SBP27" s="209"/>
      <c r="SBQ27" s="209"/>
      <c r="SBR27" s="209"/>
      <c r="SBS27" s="209"/>
      <c r="SBT27" s="209"/>
      <c r="SBU27" s="209"/>
      <c r="SBV27" s="209"/>
      <c r="SBW27" s="209"/>
      <c r="SBX27" s="209"/>
      <c r="SBY27" s="209"/>
      <c r="SBZ27" s="209"/>
      <c r="SCA27" s="209"/>
      <c r="SCB27" s="209"/>
      <c r="SCC27" s="209"/>
      <c r="SCD27" s="209"/>
      <c r="SCE27" s="209"/>
      <c r="SCF27" s="209"/>
      <c r="SCG27" s="209"/>
      <c r="SCH27" s="209"/>
      <c r="SCI27" s="209"/>
      <c r="SCJ27" s="209"/>
      <c r="SCK27" s="209"/>
      <c r="SCL27" s="209"/>
      <c r="SCM27" s="209"/>
      <c r="SCN27" s="209"/>
      <c r="SCO27" s="209"/>
      <c r="SCP27" s="209"/>
      <c r="SCQ27" s="209"/>
      <c r="SCR27" s="209"/>
      <c r="SCS27" s="209"/>
      <c r="SCT27" s="209"/>
      <c r="SCU27" s="209"/>
      <c r="SCV27" s="209"/>
      <c r="SCW27" s="209"/>
      <c r="SCX27" s="209"/>
      <c r="SCY27" s="209"/>
      <c r="SCZ27" s="209"/>
      <c r="SDA27" s="209"/>
      <c r="SDB27" s="209"/>
      <c r="SDC27" s="209"/>
      <c r="SDD27" s="209"/>
      <c r="SDE27" s="209"/>
      <c r="SDF27" s="209"/>
      <c r="SDG27" s="209"/>
      <c r="SDH27" s="209"/>
      <c r="SDI27" s="209"/>
      <c r="SDJ27" s="209"/>
      <c r="SDK27" s="209"/>
      <c r="SDL27" s="209"/>
      <c r="SDM27" s="209"/>
      <c r="SDN27" s="209"/>
      <c r="SDO27" s="209"/>
      <c r="SDP27" s="209"/>
      <c r="SDQ27" s="209"/>
      <c r="SDR27" s="209"/>
      <c r="SDS27" s="209"/>
      <c r="SDT27" s="209"/>
      <c r="SDU27" s="209"/>
      <c r="SDV27" s="209"/>
      <c r="SDW27" s="209"/>
      <c r="SDX27" s="209"/>
      <c r="SDY27" s="209"/>
      <c r="SDZ27" s="209"/>
      <c r="SEA27" s="209"/>
      <c r="SEB27" s="209"/>
      <c r="SEC27" s="209"/>
      <c r="SED27" s="209"/>
      <c r="SEE27" s="209"/>
      <c r="SEF27" s="209"/>
      <c r="SEG27" s="209"/>
      <c r="SEH27" s="209"/>
      <c r="SEI27" s="209"/>
      <c r="SEJ27" s="209"/>
      <c r="SEK27" s="209"/>
      <c r="SEL27" s="209"/>
      <c r="SEM27" s="209"/>
      <c r="SEN27" s="209"/>
      <c r="SEO27" s="209"/>
      <c r="SEP27" s="209"/>
      <c r="SEQ27" s="209"/>
      <c r="SER27" s="209"/>
      <c r="SES27" s="209"/>
      <c r="SET27" s="209"/>
      <c r="SEU27" s="209"/>
      <c r="SEV27" s="209"/>
      <c r="SEW27" s="209"/>
      <c r="SEX27" s="209"/>
      <c r="SEY27" s="209"/>
      <c r="SEZ27" s="209"/>
      <c r="SFA27" s="209"/>
      <c r="SFB27" s="209"/>
      <c r="SFC27" s="209"/>
      <c r="SFD27" s="209"/>
      <c r="SFE27" s="209"/>
      <c r="SFF27" s="209"/>
      <c r="SFG27" s="209"/>
      <c r="SFH27" s="209"/>
      <c r="SFI27" s="209"/>
      <c r="SFJ27" s="209"/>
      <c r="SFK27" s="209"/>
      <c r="SFL27" s="209"/>
      <c r="SFM27" s="209"/>
      <c r="SFN27" s="209"/>
      <c r="SFO27" s="209"/>
      <c r="SFP27" s="209"/>
      <c r="SFQ27" s="209"/>
      <c r="SFR27" s="209"/>
      <c r="SFS27" s="209"/>
      <c r="SFT27" s="209"/>
      <c r="SFU27" s="209"/>
      <c r="SFV27" s="209"/>
      <c r="SFW27" s="209"/>
      <c r="SFX27" s="209"/>
      <c r="SFY27" s="209"/>
      <c r="SFZ27" s="209"/>
      <c r="SGA27" s="209"/>
      <c r="SGB27" s="209"/>
      <c r="SGC27" s="209"/>
      <c r="SGD27" s="209"/>
      <c r="SGE27" s="209"/>
      <c r="SGF27" s="209"/>
      <c r="SGG27" s="209"/>
      <c r="SGH27" s="209"/>
      <c r="SGI27" s="209"/>
      <c r="SGJ27" s="209"/>
      <c r="SGK27" s="209"/>
      <c r="SGL27" s="209"/>
      <c r="SGM27" s="209"/>
      <c r="SGN27" s="209"/>
      <c r="SGO27" s="209"/>
      <c r="SGP27" s="209"/>
      <c r="SGQ27" s="209"/>
      <c r="SGR27" s="209"/>
      <c r="SGS27" s="209"/>
      <c r="SGT27" s="209"/>
      <c r="SGU27" s="209"/>
      <c r="SGV27" s="209"/>
      <c r="SGW27" s="209"/>
      <c r="SGX27" s="209"/>
      <c r="SGY27" s="209"/>
      <c r="SGZ27" s="209"/>
      <c r="SHA27" s="209"/>
      <c r="SHB27" s="209"/>
      <c r="SHC27" s="209"/>
      <c r="SHD27" s="209"/>
      <c r="SHE27" s="209"/>
      <c r="SHF27" s="209"/>
      <c r="SHG27" s="209"/>
      <c r="SHH27" s="209"/>
      <c r="SHI27" s="209"/>
      <c r="SHJ27" s="209"/>
      <c r="SHK27" s="209"/>
      <c r="SHL27" s="209"/>
      <c r="SHM27" s="209"/>
      <c r="SHN27" s="209"/>
      <c r="SHO27" s="209"/>
      <c r="SHP27" s="209"/>
      <c r="SHQ27" s="209"/>
      <c r="SHR27" s="209"/>
      <c r="SHS27" s="209"/>
      <c r="SHT27" s="209"/>
      <c r="SHU27" s="209"/>
      <c r="SHV27" s="209"/>
      <c r="SHW27" s="209"/>
      <c r="SHX27" s="209"/>
      <c r="SHY27" s="209"/>
      <c r="SHZ27" s="209"/>
      <c r="SIA27" s="209"/>
      <c r="SIB27" s="209"/>
      <c r="SIC27" s="209"/>
      <c r="SID27" s="209"/>
      <c r="SIE27" s="209"/>
      <c r="SIF27" s="209"/>
      <c r="SIG27" s="209"/>
      <c r="SIH27" s="209"/>
      <c r="SII27" s="209"/>
      <c r="SIJ27" s="209"/>
      <c r="SIK27" s="209"/>
      <c r="SIL27" s="209"/>
      <c r="SIM27" s="209"/>
      <c r="SIN27" s="209"/>
      <c r="SIO27" s="209"/>
      <c r="SIP27" s="209"/>
      <c r="SIQ27" s="209"/>
      <c r="SIR27" s="209"/>
      <c r="SIS27" s="209"/>
      <c r="SIT27" s="209"/>
      <c r="SIU27" s="209"/>
      <c r="SIV27" s="209"/>
      <c r="SIW27" s="209"/>
      <c r="SIX27" s="209"/>
      <c r="SIY27" s="209"/>
      <c r="SIZ27" s="209"/>
      <c r="SJA27" s="209"/>
      <c r="SJB27" s="209"/>
      <c r="SJC27" s="209"/>
      <c r="SJD27" s="209"/>
      <c r="SJE27" s="209"/>
      <c r="SJF27" s="209"/>
      <c r="SJG27" s="209"/>
      <c r="SJH27" s="209"/>
      <c r="SJI27" s="209"/>
      <c r="SJJ27" s="209"/>
      <c r="SJK27" s="209"/>
      <c r="SJL27" s="209"/>
      <c r="SJM27" s="209"/>
      <c r="SJN27" s="209"/>
      <c r="SJO27" s="209"/>
      <c r="SJP27" s="209"/>
      <c r="SJQ27" s="209"/>
      <c r="SJR27" s="209"/>
      <c r="SJS27" s="209"/>
      <c r="SJT27" s="209"/>
      <c r="SJU27" s="209"/>
      <c r="SJV27" s="209"/>
      <c r="SJW27" s="209"/>
      <c r="SJX27" s="209"/>
      <c r="SJY27" s="209"/>
      <c r="SJZ27" s="209"/>
      <c r="SKA27" s="209"/>
      <c r="SKB27" s="209"/>
      <c r="SKC27" s="209"/>
      <c r="SKD27" s="209"/>
      <c r="SKE27" s="209"/>
      <c r="SKF27" s="209"/>
      <c r="SKG27" s="209"/>
      <c r="SKH27" s="209"/>
      <c r="SKI27" s="209"/>
      <c r="SKJ27" s="209"/>
      <c r="SKK27" s="209"/>
      <c r="SKL27" s="209"/>
      <c r="SKM27" s="209"/>
      <c r="SKN27" s="209"/>
      <c r="SKO27" s="209"/>
      <c r="SKP27" s="209"/>
      <c r="SKQ27" s="209"/>
      <c r="SKR27" s="209"/>
      <c r="SKS27" s="209"/>
      <c r="SKT27" s="209"/>
      <c r="SKU27" s="209"/>
      <c r="SKV27" s="209"/>
      <c r="SKW27" s="209"/>
      <c r="SKX27" s="209"/>
      <c r="SKY27" s="209"/>
      <c r="SKZ27" s="209"/>
      <c r="SLA27" s="209"/>
      <c r="SLB27" s="209"/>
      <c r="SLC27" s="209"/>
      <c r="SLD27" s="209"/>
      <c r="SLE27" s="209"/>
      <c r="SLF27" s="209"/>
      <c r="SLG27" s="209"/>
      <c r="SLH27" s="209"/>
      <c r="SLI27" s="209"/>
      <c r="SLJ27" s="209"/>
      <c r="SLK27" s="209"/>
      <c r="SLL27" s="209"/>
      <c r="SLM27" s="209"/>
      <c r="SLN27" s="209"/>
      <c r="SLO27" s="209"/>
      <c r="SLP27" s="209"/>
      <c r="SLQ27" s="209"/>
      <c r="SLR27" s="209"/>
      <c r="SLS27" s="209"/>
      <c r="SLT27" s="209"/>
      <c r="SLU27" s="209"/>
      <c r="SLV27" s="209"/>
      <c r="SLW27" s="209"/>
      <c r="SLX27" s="209"/>
      <c r="SLY27" s="209"/>
      <c r="SLZ27" s="209"/>
      <c r="SMA27" s="209"/>
      <c r="SMB27" s="209"/>
      <c r="SMC27" s="209"/>
      <c r="SMD27" s="209"/>
      <c r="SME27" s="209"/>
      <c r="SMF27" s="209"/>
      <c r="SMG27" s="209"/>
      <c r="SMH27" s="209"/>
      <c r="SMI27" s="209"/>
      <c r="SMJ27" s="209"/>
      <c r="SMK27" s="209"/>
      <c r="SML27" s="209"/>
      <c r="SMM27" s="209"/>
      <c r="SMN27" s="209"/>
      <c r="SMO27" s="209"/>
      <c r="SMP27" s="209"/>
      <c r="SMQ27" s="209"/>
      <c r="SMR27" s="209"/>
      <c r="SMS27" s="209"/>
      <c r="SMT27" s="209"/>
      <c r="SMU27" s="209"/>
      <c r="SMV27" s="209"/>
      <c r="SMW27" s="209"/>
      <c r="SMX27" s="209"/>
      <c r="SMY27" s="209"/>
      <c r="SMZ27" s="209"/>
      <c r="SNA27" s="209"/>
      <c r="SNB27" s="209"/>
      <c r="SNC27" s="209"/>
      <c r="SND27" s="209"/>
      <c r="SNE27" s="209"/>
      <c r="SNF27" s="209"/>
      <c r="SNG27" s="209"/>
      <c r="SNH27" s="209"/>
      <c r="SNI27" s="209"/>
      <c r="SNJ27" s="209"/>
      <c r="SNK27" s="209"/>
      <c r="SNL27" s="209"/>
      <c r="SNM27" s="209"/>
      <c r="SNN27" s="209"/>
      <c r="SNO27" s="209"/>
      <c r="SNP27" s="209"/>
      <c r="SNQ27" s="209"/>
      <c r="SNR27" s="209"/>
      <c r="SNS27" s="209"/>
      <c r="SNT27" s="209"/>
      <c r="SNU27" s="209"/>
      <c r="SNV27" s="209"/>
      <c r="SNW27" s="209"/>
      <c r="SNX27" s="209"/>
      <c r="SNY27" s="209"/>
      <c r="SNZ27" s="209"/>
      <c r="SOA27" s="209"/>
      <c r="SOB27" s="209"/>
      <c r="SOC27" s="209"/>
      <c r="SOD27" s="209"/>
      <c r="SOE27" s="209"/>
      <c r="SOF27" s="209"/>
      <c r="SOG27" s="209"/>
      <c r="SOH27" s="209"/>
      <c r="SOI27" s="209"/>
      <c r="SOJ27" s="209"/>
      <c r="SOK27" s="209"/>
      <c r="SOL27" s="209"/>
      <c r="SOM27" s="209"/>
      <c r="SON27" s="209"/>
      <c r="SOO27" s="209"/>
      <c r="SOP27" s="209"/>
      <c r="SOQ27" s="209"/>
      <c r="SOR27" s="209"/>
      <c r="SOS27" s="209"/>
      <c r="SOT27" s="209"/>
      <c r="SOU27" s="209"/>
      <c r="SOV27" s="209"/>
      <c r="SOW27" s="209"/>
      <c r="SOX27" s="209"/>
      <c r="SOY27" s="209"/>
      <c r="SOZ27" s="209"/>
      <c r="SPA27" s="209"/>
      <c r="SPB27" s="209"/>
      <c r="SPC27" s="209"/>
      <c r="SPD27" s="209"/>
      <c r="SPE27" s="209"/>
      <c r="SPF27" s="209"/>
      <c r="SPG27" s="209"/>
      <c r="SPH27" s="209"/>
      <c r="SPI27" s="209"/>
      <c r="SPJ27" s="209"/>
      <c r="SPK27" s="209"/>
      <c r="SPL27" s="209"/>
      <c r="SPM27" s="209"/>
      <c r="SPN27" s="209"/>
      <c r="SPO27" s="209"/>
      <c r="SPP27" s="209"/>
      <c r="SPQ27" s="209"/>
      <c r="SPR27" s="209"/>
      <c r="SPS27" s="209"/>
      <c r="SPT27" s="209"/>
      <c r="SPU27" s="209"/>
      <c r="SPV27" s="209"/>
      <c r="SPW27" s="209"/>
      <c r="SPX27" s="209"/>
      <c r="SPY27" s="209"/>
      <c r="SPZ27" s="209"/>
      <c r="SQA27" s="209"/>
      <c r="SQB27" s="209"/>
      <c r="SQC27" s="209"/>
      <c r="SQD27" s="209"/>
      <c r="SQE27" s="209"/>
      <c r="SQF27" s="209"/>
      <c r="SQG27" s="209"/>
      <c r="SQH27" s="209"/>
      <c r="SQI27" s="209"/>
      <c r="SQJ27" s="209"/>
      <c r="SQK27" s="209"/>
      <c r="SQL27" s="209"/>
      <c r="SQM27" s="209"/>
      <c r="SQN27" s="209"/>
      <c r="SQO27" s="209"/>
      <c r="SQP27" s="209"/>
      <c r="SQQ27" s="209"/>
      <c r="SQR27" s="209"/>
      <c r="SQS27" s="209"/>
      <c r="SQT27" s="209"/>
      <c r="SQU27" s="209"/>
      <c r="SQV27" s="209"/>
      <c r="SQW27" s="209"/>
      <c r="SQX27" s="209"/>
      <c r="SQY27" s="209"/>
      <c r="SQZ27" s="209"/>
      <c r="SRA27" s="209"/>
      <c r="SRB27" s="209"/>
      <c r="SRC27" s="209"/>
      <c r="SRD27" s="209"/>
      <c r="SRE27" s="209"/>
      <c r="SRF27" s="209"/>
      <c r="SRG27" s="209"/>
      <c r="SRH27" s="209"/>
      <c r="SRI27" s="209"/>
      <c r="SRJ27" s="209"/>
      <c r="SRK27" s="209"/>
      <c r="SRL27" s="209"/>
      <c r="SRM27" s="209"/>
      <c r="SRN27" s="209"/>
      <c r="SRO27" s="209"/>
      <c r="SRP27" s="209"/>
      <c r="SRQ27" s="209"/>
      <c r="SRR27" s="209"/>
      <c r="SRS27" s="209"/>
      <c r="SRT27" s="209"/>
      <c r="SRU27" s="209"/>
      <c r="SRV27" s="209"/>
      <c r="SRW27" s="209"/>
      <c r="SRX27" s="209"/>
      <c r="SRY27" s="209"/>
      <c r="SRZ27" s="209"/>
      <c r="SSA27" s="209"/>
      <c r="SSB27" s="209"/>
      <c r="SSC27" s="209"/>
      <c r="SSD27" s="209"/>
      <c r="SSE27" s="209"/>
      <c r="SSF27" s="209"/>
      <c r="SSG27" s="209"/>
      <c r="SSH27" s="209"/>
      <c r="SSI27" s="209"/>
      <c r="SSJ27" s="209"/>
      <c r="SSK27" s="209"/>
      <c r="SSL27" s="209"/>
      <c r="SSM27" s="209"/>
      <c r="SSN27" s="209"/>
      <c r="SSO27" s="209"/>
      <c r="SSP27" s="209"/>
      <c r="SSQ27" s="209"/>
      <c r="SSR27" s="209"/>
      <c r="SSS27" s="209"/>
      <c r="SST27" s="209"/>
      <c r="SSU27" s="209"/>
      <c r="SSV27" s="209"/>
      <c r="SSW27" s="209"/>
      <c r="SSX27" s="209"/>
      <c r="SSY27" s="209"/>
      <c r="SSZ27" s="209"/>
      <c r="STA27" s="209"/>
      <c r="STB27" s="209"/>
      <c r="STC27" s="209"/>
      <c r="STD27" s="209"/>
      <c r="STE27" s="209"/>
      <c r="STF27" s="209"/>
      <c r="STG27" s="209"/>
      <c r="STH27" s="209"/>
      <c r="STI27" s="209"/>
      <c r="STJ27" s="209"/>
      <c r="STK27" s="209"/>
      <c r="STL27" s="209"/>
      <c r="STM27" s="209"/>
      <c r="STN27" s="209"/>
      <c r="STO27" s="209"/>
      <c r="STP27" s="209"/>
      <c r="STQ27" s="209"/>
      <c r="STR27" s="209"/>
      <c r="STS27" s="209"/>
      <c r="STT27" s="209"/>
      <c r="STU27" s="209"/>
      <c r="STV27" s="209"/>
      <c r="STW27" s="209"/>
      <c r="STX27" s="209"/>
      <c r="STY27" s="209"/>
      <c r="STZ27" s="209"/>
      <c r="SUA27" s="209"/>
      <c r="SUB27" s="209"/>
      <c r="SUC27" s="209"/>
      <c r="SUD27" s="209"/>
      <c r="SUE27" s="209"/>
      <c r="SUF27" s="209"/>
      <c r="SUG27" s="209"/>
      <c r="SUH27" s="209"/>
      <c r="SUI27" s="209"/>
      <c r="SUJ27" s="209"/>
      <c r="SUK27" s="209"/>
      <c r="SUL27" s="209"/>
      <c r="SUM27" s="209"/>
      <c r="SUN27" s="209"/>
      <c r="SUO27" s="209"/>
      <c r="SUP27" s="209"/>
      <c r="SUQ27" s="209"/>
      <c r="SUR27" s="209"/>
      <c r="SUS27" s="209"/>
      <c r="SUT27" s="209"/>
      <c r="SUU27" s="209"/>
      <c r="SUV27" s="209"/>
      <c r="SUW27" s="209"/>
      <c r="SUX27" s="209"/>
      <c r="SUY27" s="209"/>
      <c r="SUZ27" s="209"/>
      <c r="SVA27" s="209"/>
      <c r="SVB27" s="209"/>
      <c r="SVC27" s="209"/>
      <c r="SVD27" s="209"/>
      <c r="SVE27" s="209"/>
      <c r="SVF27" s="209"/>
      <c r="SVG27" s="209"/>
      <c r="SVH27" s="209"/>
      <c r="SVI27" s="209"/>
      <c r="SVJ27" s="209"/>
      <c r="SVK27" s="209"/>
      <c r="SVL27" s="209"/>
      <c r="SVM27" s="209"/>
      <c r="SVN27" s="209"/>
      <c r="SVO27" s="209"/>
      <c r="SVP27" s="209"/>
      <c r="SVQ27" s="209"/>
      <c r="SVR27" s="209"/>
      <c r="SVS27" s="209"/>
      <c r="SVT27" s="209"/>
      <c r="SVU27" s="209"/>
      <c r="SVV27" s="209"/>
      <c r="SVW27" s="209"/>
      <c r="SVX27" s="209"/>
      <c r="SVY27" s="209"/>
      <c r="SVZ27" s="209"/>
      <c r="SWA27" s="209"/>
      <c r="SWB27" s="209"/>
      <c r="SWC27" s="209"/>
      <c r="SWD27" s="209"/>
      <c r="SWE27" s="209"/>
      <c r="SWF27" s="209"/>
      <c r="SWG27" s="209"/>
      <c r="SWH27" s="209"/>
      <c r="SWI27" s="209"/>
      <c r="SWJ27" s="209"/>
      <c r="SWK27" s="209"/>
      <c r="SWL27" s="209"/>
      <c r="SWM27" s="209"/>
      <c r="SWN27" s="209"/>
      <c r="SWO27" s="209"/>
      <c r="SWP27" s="209"/>
      <c r="SWQ27" s="209"/>
      <c r="SWR27" s="209"/>
      <c r="SWS27" s="209"/>
      <c r="SWT27" s="209"/>
      <c r="SWU27" s="209"/>
      <c r="SWV27" s="209"/>
      <c r="SWW27" s="209"/>
      <c r="SWX27" s="209"/>
      <c r="SWY27" s="209"/>
      <c r="SWZ27" s="209"/>
      <c r="SXA27" s="209"/>
      <c r="SXB27" s="209"/>
      <c r="SXC27" s="209"/>
      <c r="SXD27" s="209"/>
      <c r="SXE27" s="209"/>
      <c r="SXF27" s="209"/>
      <c r="SXG27" s="209"/>
      <c r="SXH27" s="209"/>
      <c r="SXI27" s="209"/>
      <c r="SXJ27" s="209"/>
      <c r="SXK27" s="209"/>
      <c r="SXL27" s="209"/>
      <c r="SXM27" s="209"/>
      <c r="SXN27" s="209"/>
      <c r="SXO27" s="209"/>
      <c r="SXP27" s="209"/>
      <c r="SXQ27" s="209"/>
      <c r="SXR27" s="209"/>
      <c r="SXS27" s="209"/>
      <c r="SXT27" s="209"/>
      <c r="SXU27" s="209"/>
      <c r="SXV27" s="209"/>
      <c r="SXW27" s="209"/>
      <c r="SXX27" s="209"/>
      <c r="SXY27" s="209"/>
      <c r="SXZ27" s="209"/>
      <c r="SYA27" s="209"/>
      <c r="SYB27" s="209"/>
      <c r="SYC27" s="209"/>
      <c r="SYD27" s="209"/>
      <c r="SYE27" s="209"/>
      <c r="SYF27" s="209"/>
      <c r="SYG27" s="209"/>
      <c r="SYH27" s="209"/>
      <c r="SYI27" s="209"/>
      <c r="SYJ27" s="209"/>
      <c r="SYK27" s="209"/>
      <c r="SYL27" s="209"/>
      <c r="SYM27" s="209"/>
      <c r="SYN27" s="209"/>
      <c r="SYO27" s="209"/>
      <c r="SYP27" s="209"/>
      <c r="SYQ27" s="209"/>
      <c r="SYR27" s="209"/>
      <c r="SYS27" s="209"/>
      <c r="SYT27" s="209"/>
      <c r="SYU27" s="209"/>
      <c r="SYV27" s="209"/>
      <c r="SYW27" s="209"/>
      <c r="SYX27" s="209"/>
      <c r="SYY27" s="209"/>
      <c r="SYZ27" s="209"/>
      <c r="SZA27" s="209"/>
      <c r="SZB27" s="209"/>
      <c r="SZC27" s="209"/>
      <c r="SZD27" s="209"/>
      <c r="SZE27" s="209"/>
      <c r="SZF27" s="209"/>
      <c r="SZG27" s="209"/>
      <c r="SZH27" s="209"/>
      <c r="SZI27" s="209"/>
      <c r="SZJ27" s="209"/>
      <c r="SZK27" s="209"/>
      <c r="SZL27" s="209"/>
      <c r="SZM27" s="209"/>
      <c r="SZN27" s="209"/>
      <c r="SZO27" s="209"/>
      <c r="SZP27" s="209"/>
      <c r="SZQ27" s="209"/>
      <c r="SZR27" s="209"/>
      <c r="SZS27" s="209"/>
      <c r="SZT27" s="209"/>
      <c r="SZU27" s="209"/>
      <c r="SZV27" s="209"/>
      <c r="SZW27" s="209"/>
      <c r="SZX27" s="209"/>
      <c r="SZY27" s="209"/>
      <c r="SZZ27" s="209"/>
      <c r="TAA27" s="209"/>
      <c r="TAB27" s="209"/>
      <c r="TAC27" s="209"/>
      <c r="TAD27" s="209"/>
      <c r="TAE27" s="209"/>
      <c r="TAF27" s="209"/>
      <c r="TAG27" s="209"/>
      <c r="TAH27" s="209"/>
      <c r="TAI27" s="209"/>
      <c r="TAJ27" s="209"/>
      <c r="TAK27" s="209"/>
      <c r="TAL27" s="209"/>
      <c r="TAM27" s="209"/>
      <c r="TAN27" s="209"/>
      <c r="TAO27" s="209"/>
      <c r="TAP27" s="209"/>
      <c r="TAQ27" s="209"/>
      <c r="TAR27" s="209"/>
      <c r="TAS27" s="209"/>
      <c r="TAT27" s="209"/>
      <c r="TAU27" s="209"/>
      <c r="TAV27" s="209"/>
      <c r="TAW27" s="209"/>
      <c r="TAX27" s="209"/>
      <c r="TAY27" s="209"/>
      <c r="TAZ27" s="209"/>
      <c r="TBA27" s="209"/>
      <c r="TBB27" s="209"/>
      <c r="TBC27" s="209"/>
      <c r="TBD27" s="209"/>
      <c r="TBE27" s="209"/>
      <c r="TBF27" s="209"/>
      <c r="TBG27" s="209"/>
      <c r="TBH27" s="209"/>
      <c r="TBI27" s="209"/>
      <c r="TBJ27" s="209"/>
      <c r="TBK27" s="209"/>
      <c r="TBL27" s="209"/>
      <c r="TBM27" s="209"/>
      <c r="TBN27" s="209"/>
      <c r="TBO27" s="209"/>
      <c r="TBP27" s="209"/>
      <c r="TBQ27" s="209"/>
      <c r="TBR27" s="209"/>
      <c r="TBS27" s="209"/>
      <c r="TBT27" s="209"/>
      <c r="TBU27" s="209"/>
      <c r="TBV27" s="209"/>
      <c r="TBW27" s="209"/>
      <c r="TBX27" s="209"/>
      <c r="TBY27" s="209"/>
      <c r="TBZ27" s="209"/>
      <c r="TCA27" s="209"/>
      <c r="TCB27" s="209"/>
      <c r="TCC27" s="209"/>
      <c r="TCD27" s="209"/>
      <c r="TCE27" s="209"/>
      <c r="TCF27" s="209"/>
      <c r="TCG27" s="209"/>
      <c r="TCH27" s="209"/>
      <c r="TCI27" s="209"/>
      <c r="TCJ27" s="209"/>
      <c r="TCK27" s="209"/>
      <c r="TCL27" s="209"/>
      <c r="TCM27" s="209"/>
      <c r="TCN27" s="209"/>
      <c r="TCO27" s="209"/>
      <c r="TCP27" s="209"/>
      <c r="TCQ27" s="209"/>
      <c r="TCR27" s="209"/>
      <c r="TCS27" s="209"/>
      <c r="TCT27" s="209"/>
      <c r="TCU27" s="209"/>
      <c r="TCV27" s="209"/>
      <c r="TCW27" s="209"/>
      <c r="TCX27" s="209"/>
      <c r="TCY27" s="209"/>
      <c r="TCZ27" s="209"/>
      <c r="TDA27" s="209"/>
      <c r="TDB27" s="209"/>
      <c r="TDC27" s="209"/>
      <c r="TDD27" s="209"/>
      <c r="TDE27" s="209"/>
      <c r="TDF27" s="209"/>
      <c r="TDG27" s="209"/>
      <c r="TDH27" s="209"/>
      <c r="TDI27" s="209"/>
      <c r="TDJ27" s="209"/>
      <c r="TDK27" s="209"/>
      <c r="TDL27" s="209"/>
      <c r="TDM27" s="209"/>
      <c r="TDN27" s="209"/>
      <c r="TDO27" s="209"/>
      <c r="TDP27" s="209"/>
      <c r="TDQ27" s="209"/>
      <c r="TDR27" s="209"/>
      <c r="TDS27" s="209"/>
      <c r="TDT27" s="209"/>
      <c r="TDU27" s="209"/>
      <c r="TDV27" s="209"/>
      <c r="TDW27" s="209"/>
      <c r="TDX27" s="209"/>
      <c r="TDY27" s="209"/>
      <c r="TDZ27" s="209"/>
      <c r="TEA27" s="209"/>
      <c r="TEB27" s="209"/>
      <c r="TEC27" s="209"/>
      <c r="TED27" s="209"/>
      <c r="TEE27" s="209"/>
      <c r="TEF27" s="209"/>
      <c r="TEG27" s="209"/>
      <c r="TEH27" s="209"/>
      <c r="TEI27" s="209"/>
      <c r="TEJ27" s="209"/>
      <c r="TEK27" s="209"/>
      <c r="TEL27" s="209"/>
      <c r="TEM27" s="209"/>
      <c r="TEN27" s="209"/>
      <c r="TEO27" s="209"/>
      <c r="TEP27" s="209"/>
      <c r="TEQ27" s="209"/>
      <c r="TER27" s="209"/>
      <c r="TES27" s="209"/>
      <c r="TET27" s="209"/>
      <c r="TEU27" s="209"/>
      <c r="TEV27" s="209"/>
      <c r="TEW27" s="209"/>
      <c r="TEX27" s="209"/>
      <c r="TEY27" s="209"/>
      <c r="TEZ27" s="209"/>
      <c r="TFA27" s="209"/>
      <c r="TFB27" s="209"/>
      <c r="TFC27" s="209"/>
      <c r="TFD27" s="209"/>
      <c r="TFE27" s="209"/>
      <c r="TFF27" s="209"/>
      <c r="TFG27" s="209"/>
      <c r="TFH27" s="209"/>
      <c r="TFI27" s="209"/>
      <c r="TFJ27" s="209"/>
      <c r="TFK27" s="209"/>
      <c r="TFL27" s="209"/>
      <c r="TFM27" s="209"/>
      <c r="TFN27" s="209"/>
      <c r="TFO27" s="209"/>
      <c r="TFP27" s="209"/>
      <c r="TFQ27" s="209"/>
      <c r="TFR27" s="209"/>
      <c r="TFS27" s="209"/>
      <c r="TFT27" s="209"/>
      <c r="TFU27" s="209"/>
      <c r="TFV27" s="209"/>
      <c r="TFW27" s="209"/>
      <c r="TFX27" s="209"/>
      <c r="TFY27" s="209"/>
      <c r="TFZ27" s="209"/>
      <c r="TGA27" s="209"/>
      <c r="TGB27" s="209"/>
      <c r="TGC27" s="209"/>
      <c r="TGD27" s="209"/>
      <c r="TGE27" s="209"/>
      <c r="TGF27" s="209"/>
      <c r="TGG27" s="209"/>
      <c r="TGH27" s="209"/>
      <c r="TGI27" s="209"/>
      <c r="TGJ27" s="209"/>
      <c r="TGK27" s="209"/>
      <c r="TGL27" s="209"/>
      <c r="TGM27" s="209"/>
      <c r="TGN27" s="209"/>
      <c r="TGO27" s="209"/>
      <c r="TGP27" s="209"/>
      <c r="TGQ27" s="209"/>
      <c r="TGR27" s="209"/>
      <c r="TGS27" s="209"/>
      <c r="TGT27" s="209"/>
      <c r="TGU27" s="209"/>
      <c r="TGV27" s="209"/>
      <c r="TGW27" s="209"/>
      <c r="TGX27" s="209"/>
      <c r="TGY27" s="209"/>
      <c r="TGZ27" s="209"/>
      <c r="THA27" s="209"/>
      <c r="THB27" s="209"/>
      <c r="THC27" s="209"/>
      <c r="THD27" s="209"/>
      <c r="THE27" s="209"/>
      <c r="THF27" s="209"/>
      <c r="THG27" s="209"/>
      <c r="THH27" s="209"/>
      <c r="THI27" s="209"/>
      <c r="THJ27" s="209"/>
      <c r="THK27" s="209"/>
      <c r="THL27" s="209"/>
      <c r="THM27" s="209"/>
      <c r="THN27" s="209"/>
      <c r="THO27" s="209"/>
      <c r="THP27" s="209"/>
      <c r="THQ27" s="209"/>
      <c r="THR27" s="209"/>
      <c r="THS27" s="209"/>
      <c r="THT27" s="209"/>
      <c r="THU27" s="209"/>
      <c r="THV27" s="209"/>
      <c r="THW27" s="209"/>
      <c r="THX27" s="209"/>
      <c r="THY27" s="209"/>
      <c r="THZ27" s="209"/>
      <c r="TIA27" s="209"/>
      <c r="TIB27" s="209"/>
      <c r="TIC27" s="209"/>
      <c r="TID27" s="209"/>
      <c r="TIE27" s="209"/>
      <c r="TIF27" s="209"/>
      <c r="TIG27" s="209"/>
      <c r="TIH27" s="209"/>
      <c r="TII27" s="209"/>
      <c r="TIJ27" s="209"/>
      <c r="TIK27" s="209"/>
      <c r="TIL27" s="209"/>
      <c r="TIM27" s="209"/>
      <c r="TIN27" s="209"/>
      <c r="TIO27" s="209"/>
      <c r="TIP27" s="209"/>
      <c r="TIQ27" s="209"/>
      <c r="TIR27" s="209"/>
      <c r="TIS27" s="209"/>
      <c r="TIT27" s="209"/>
      <c r="TIU27" s="209"/>
      <c r="TIV27" s="209"/>
      <c r="TIW27" s="209"/>
      <c r="TIX27" s="209"/>
      <c r="TIY27" s="209"/>
      <c r="TIZ27" s="209"/>
      <c r="TJA27" s="209"/>
      <c r="TJB27" s="209"/>
      <c r="TJC27" s="209"/>
      <c r="TJD27" s="209"/>
      <c r="TJE27" s="209"/>
      <c r="TJF27" s="209"/>
      <c r="TJG27" s="209"/>
      <c r="TJH27" s="209"/>
      <c r="TJI27" s="209"/>
      <c r="TJJ27" s="209"/>
      <c r="TJK27" s="209"/>
      <c r="TJL27" s="209"/>
      <c r="TJM27" s="209"/>
      <c r="TJN27" s="209"/>
      <c r="TJO27" s="209"/>
      <c r="TJP27" s="209"/>
      <c r="TJQ27" s="209"/>
      <c r="TJR27" s="209"/>
      <c r="TJS27" s="209"/>
      <c r="TJT27" s="209"/>
      <c r="TJU27" s="209"/>
      <c r="TJV27" s="209"/>
      <c r="TJW27" s="209"/>
      <c r="TJX27" s="209"/>
      <c r="TJY27" s="209"/>
      <c r="TJZ27" s="209"/>
      <c r="TKA27" s="209"/>
      <c r="TKB27" s="209"/>
      <c r="TKC27" s="209"/>
      <c r="TKD27" s="209"/>
      <c r="TKE27" s="209"/>
      <c r="TKF27" s="209"/>
      <c r="TKG27" s="209"/>
      <c r="TKH27" s="209"/>
      <c r="TKI27" s="209"/>
      <c r="TKJ27" s="209"/>
      <c r="TKK27" s="209"/>
      <c r="TKL27" s="209"/>
      <c r="TKM27" s="209"/>
      <c r="TKN27" s="209"/>
      <c r="TKO27" s="209"/>
      <c r="TKP27" s="209"/>
      <c r="TKQ27" s="209"/>
      <c r="TKR27" s="209"/>
      <c r="TKS27" s="209"/>
      <c r="TKT27" s="209"/>
      <c r="TKU27" s="209"/>
      <c r="TKV27" s="209"/>
      <c r="TKW27" s="209"/>
      <c r="TKX27" s="209"/>
      <c r="TKY27" s="209"/>
      <c r="TKZ27" s="209"/>
      <c r="TLA27" s="209"/>
      <c r="TLB27" s="209"/>
      <c r="TLC27" s="209"/>
      <c r="TLD27" s="209"/>
      <c r="TLE27" s="209"/>
      <c r="TLF27" s="209"/>
      <c r="TLG27" s="209"/>
      <c r="TLH27" s="209"/>
      <c r="TLI27" s="209"/>
      <c r="TLJ27" s="209"/>
      <c r="TLK27" s="209"/>
      <c r="TLL27" s="209"/>
      <c r="TLM27" s="209"/>
      <c r="TLN27" s="209"/>
      <c r="TLO27" s="209"/>
      <c r="TLP27" s="209"/>
      <c r="TLQ27" s="209"/>
      <c r="TLR27" s="209"/>
      <c r="TLS27" s="209"/>
      <c r="TLT27" s="209"/>
      <c r="TLU27" s="209"/>
      <c r="TLV27" s="209"/>
      <c r="TLW27" s="209"/>
      <c r="TLX27" s="209"/>
      <c r="TLY27" s="209"/>
      <c r="TLZ27" s="209"/>
      <c r="TMA27" s="209"/>
      <c r="TMB27" s="209"/>
      <c r="TMC27" s="209"/>
      <c r="TMD27" s="209"/>
      <c r="TME27" s="209"/>
      <c r="TMF27" s="209"/>
      <c r="TMG27" s="209"/>
      <c r="TMH27" s="209"/>
      <c r="TMI27" s="209"/>
      <c r="TMJ27" s="209"/>
      <c r="TMK27" s="209"/>
      <c r="TML27" s="209"/>
      <c r="TMM27" s="209"/>
      <c r="TMN27" s="209"/>
      <c r="TMO27" s="209"/>
      <c r="TMP27" s="209"/>
      <c r="TMQ27" s="209"/>
      <c r="TMR27" s="209"/>
      <c r="TMS27" s="209"/>
      <c r="TMT27" s="209"/>
      <c r="TMU27" s="209"/>
      <c r="TMV27" s="209"/>
      <c r="TMW27" s="209"/>
      <c r="TMX27" s="209"/>
      <c r="TMY27" s="209"/>
      <c r="TMZ27" s="209"/>
      <c r="TNA27" s="209"/>
      <c r="TNB27" s="209"/>
      <c r="TNC27" s="209"/>
      <c r="TND27" s="209"/>
      <c r="TNE27" s="209"/>
      <c r="TNF27" s="209"/>
      <c r="TNG27" s="209"/>
      <c r="TNH27" s="209"/>
      <c r="TNI27" s="209"/>
      <c r="TNJ27" s="209"/>
      <c r="TNK27" s="209"/>
      <c r="TNL27" s="209"/>
      <c r="TNM27" s="209"/>
      <c r="TNN27" s="209"/>
      <c r="TNO27" s="209"/>
      <c r="TNP27" s="209"/>
      <c r="TNQ27" s="209"/>
      <c r="TNR27" s="209"/>
      <c r="TNS27" s="209"/>
      <c r="TNT27" s="209"/>
      <c r="TNU27" s="209"/>
      <c r="TNV27" s="209"/>
      <c r="TNW27" s="209"/>
      <c r="TNX27" s="209"/>
      <c r="TNY27" s="209"/>
      <c r="TNZ27" s="209"/>
      <c r="TOA27" s="209"/>
      <c r="TOB27" s="209"/>
      <c r="TOC27" s="209"/>
      <c r="TOD27" s="209"/>
      <c r="TOE27" s="209"/>
      <c r="TOF27" s="209"/>
      <c r="TOG27" s="209"/>
      <c r="TOH27" s="209"/>
      <c r="TOI27" s="209"/>
      <c r="TOJ27" s="209"/>
      <c r="TOK27" s="209"/>
      <c r="TOL27" s="209"/>
      <c r="TOM27" s="209"/>
      <c r="TON27" s="209"/>
      <c r="TOO27" s="209"/>
      <c r="TOP27" s="209"/>
      <c r="TOQ27" s="209"/>
      <c r="TOR27" s="209"/>
      <c r="TOS27" s="209"/>
      <c r="TOT27" s="209"/>
      <c r="TOU27" s="209"/>
      <c r="TOV27" s="209"/>
      <c r="TOW27" s="209"/>
      <c r="TOX27" s="209"/>
      <c r="TOY27" s="209"/>
      <c r="TOZ27" s="209"/>
      <c r="TPA27" s="209"/>
      <c r="TPB27" s="209"/>
      <c r="TPC27" s="209"/>
      <c r="TPD27" s="209"/>
      <c r="TPE27" s="209"/>
      <c r="TPF27" s="209"/>
      <c r="TPG27" s="209"/>
      <c r="TPH27" s="209"/>
      <c r="TPI27" s="209"/>
      <c r="TPJ27" s="209"/>
      <c r="TPK27" s="209"/>
      <c r="TPL27" s="209"/>
      <c r="TPM27" s="209"/>
      <c r="TPN27" s="209"/>
      <c r="TPO27" s="209"/>
      <c r="TPP27" s="209"/>
      <c r="TPQ27" s="209"/>
      <c r="TPR27" s="209"/>
      <c r="TPS27" s="209"/>
      <c r="TPT27" s="209"/>
      <c r="TPU27" s="209"/>
      <c r="TPV27" s="209"/>
      <c r="TPW27" s="209"/>
      <c r="TPX27" s="209"/>
      <c r="TPY27" s="209"/>
      <c r="TPZ27" s="209"/>
      <c r="TQA27" s="209"/>
      <c r="TQB27" s="209"/>
      <c r="TQC27" s="209"/>
      <c r="TQD27" s="209"/>
      <c r="TQE27" s="209"/>
      <c r="TQF27" s="209"/>
      <c r="TQG27" s="209"/>
      <c r="TQH27" s="209"/>
      <c r="TQI27" s="209"/>
      <c r="TQJ27" s="209"/>
      <c r="TQK27" s="209"/>
      <c r="TQL27" s="209"/>
      <c r="TQM27" s="209"/>
      <c r="TQN27" s="209"/>
      <c r="TQO27" s="209"/>
      <c r="TQP27" s="209"/>
      <c r="TQQ27" s="209"/>
      <c r="TQR27" s="209"/>
      <c r="TQS27" s="209"/>
      <c r="TQT27" s="209"/>
      <c r="TQU27" s="209"/>
      <c r="TQV27" s="209"/>
      <c r="TQW27" s="209"/>
      <c r="TQX27" s="209"/>
      <c r="TQY27" s="209"/>
      <c r="TQZ27" s="209"/>
      <c r="TRA27" s="209"/>
      <c r="TRB27" s="209"/>
      <c r="TRC27" s="209"/>
      <c r="TRD27" s="209"/>
      <c r="TRE27" s="209"/>
      <c r="TRF27" s="209"/>
      <c r="TRG27" s="209"/>
      <c r="TRH27" s="209"/>
      <c r="TRI27" s="209"/>
      <c r="TRJ27" s="209"/>
      <c r="TRK27" s="209"/>
      <c r="TRL27" s="209"/>
      <c r="TRM27" s="209"/>
      <c r="TRN27" s="209"/>
      <c r="TRO27" s="209"/>
      <c r="TRP27" s="209"/>
      <c r="TRQ27" s="209"/>
      <c r="TRR27" s="209"/>
      <c r="TRS27" s="209"/>
      <c r="TRT27" s="209"/>
      <c r="TRU27" s="209"/>
      <c r="TRV27" s="209"/>
      <c r="TRW27" s="209"/>
      <c r="TRX27" s="209"/>
      <c r="TRY27" s="209"/>
      <c r="TRZ27" s="209"/>
      <c r="TSA27" s="209"/>
      <c r="TSB27" s="209"/>
      <c r="TSC27" s="209"/>
      <c r="TSD27" s="209"/>
      <c r="TSE27" s="209"/>
      <c r="TSF27" s="209"/>
      <c r="TSG27" s="209"/>
      <c r="TSH27" s="209"/>
      <c r="TSI27" s="209"/>
      <c r="TSJ27" s="209"/>
      <c r="TSK27" s="209"/>
      <c r="TSL27" s="209"/>
      <c r="TSM27" s="209"/>
      <c r="TSN27" s="209"/>
      <c r="TSO27" s="209"/>
      <c r="TSP27" s="209"/>
      <c r="TSQ27" s="209"/>
      <c r="TSR27" s="209"/>
      <c r="TSS27" s="209"/>
      <c r="TST27" s="209"/>
      <c r="TSU27" s="209"/>
      <c r="TSV27" s="209"/>
      <c r="TSW27" s="209"/>
      <c r="TSX27" s="209"/>
      <c r="TSY27" s="209"/>
      <c r="TSZ27" s="209"/>
      <c r="TTA27" s="209"/>
      <c r="TTB27" s="209"/>
      <c r="TTC27" s="209"/>
      <c r="TTD27" s="209"/>
      <c r="TTE27" s="209"/>
      <c r="TTF27" s="209"/>
      <c r="TTG27" s="209"/>
      <c r="TTH27" s="209"/>
      <c r="TTI27" s="209"/>
      <c r="TTJ27" s="209"/>
      <c r="TTK27" s="209"/>
      <c r="TTL27" s="209"/>
      <c r="TTM27" s="209"/>
      <c r="TTN27" s="209"/>
      <c r="TTO27" s="209"/>
      <c r="TTP27" s="209"/>
      <c r="TTQ27" s="209"/>
      <c r="TTR27" s="209"/>
      <c r="TTS27" s="209"/>
      <c r="TTT27" s="209"/>
      <c r="TTU27" s="209"/>
      <c r="TTV27" s="209"/>
      <c r="TTW27" s="209"/>
      <c r="TTX27" s="209"/>
      <c r="TTY27" s="209"/>
      <c r="TTZ27" s="209"/>
      <c r="TUA27" s="209"/>
      <c r="TUB27" s="209"/>
      <c r="TUC27" s="209"/>
      <c r="TUD27" s="209"/>
      <c r="TUE27" s="209"/>
      <c r="TUF27" s="209"/>
      <c r="TUG27" s="209"/>
      <c r="TUH27" s="209"/>
      <c r="TUI27" s="209"/>
      <c r="TUJ27" s="209"/>
      <c r="TUK27" s="209"/>
      <c r="TUL27" s="209"/>
      <c r="TUM27" s="209"/>
      <c r="TUN27" s="209"/>
      <c r="TUO27" s="209"/>
      <c r="TUP27" s="209"/>
      <c r="TUQ27" s="209"/>
      <c r="TUR27" s="209"/>
      <c r="TUS27" s="209"/>
      <c r="TUT27" s="209"/>
      <c r="TUU27" s="209"/>
      <c r="TUV27" s="209"/>
      <c r="TUW27" s="209"/>
      <c r="TUX27" s="209"/>
      <c r="TUY27" s="209"/>
      <c r="TUZ27" s="209"/>
      <c r="TVA27" s="209"/>
      <c r="TVB27" s="209"/>
      <c r="TVC27" s="209"/>
      <c r="TVD27" s="209"/>
      <c r="TVE27" s="209"/>
      <c r="TVF27" s="209"/>
      <c r="TVG27" s="209"/>
      <c r="TVH27" s="209"/>
      <c r="TVI27" s="209"/>
      <c r="TVJ27" s="209"/>
      <c r="TVK27" s="209"/>
      <c r="TVL27" s="209"/>
      <c r="TVM27" s="209"/>
      <c r="TVN27" s="209"/>
      <c r="TVO27" s="209"/>
      <c r="TVP27" s="209"/>
      <c r="TVQ27" s="209"/>
      <c r="TVR27" s="209"/>
      <c r="TVS27" s="209"/>
      <c r="TVT27" s="209"/>
      <c r="TVU27" s="209"/>
      <c r="TVV27" s="209"/>
      <c r="TVW27" s="209"/>
      <c r="TVX27" s="209"/>
      <c r="TVY27" s="209"/>
      <c r="TVZ27" s="209"/>
      <c r="TWA27" s="209"/>
      <c r="TWB27" s="209"/>
      <c r="TWC27" s="209"/>
      <c r="TWD27" s="209"/>
      <c r="TWE27" s="209"/>
      <c r="TWF27" s="209"/>
      <c r="TWG27" s="209"/>
      <c r="TWH27" s="209"/>
      <c r="TWI27" s="209"/>
      <c r="TWJ27" s="209"/>
      <c r="TWK27" s="209"/>
      <c r="TWL27" s="209"/>
      <c r="TWM27" s="209"/>
      <c r="TWN27" s="209"/>
      <c r="TWO27" s="209"/>
      <c r="TWP27" s="209"/>
      <c r="TWQ27" s="209"/>
      <c r="TWR27" s="209"/>
      <c r="TWS27" s="209"/>
      <c r="TWT27" s="209"/>
      <c r="TWU27" s="209"/>
      <c r="TWV27" s="209"/>
      <c r="TWW27" s="209"/>
      <c r="TWX27" s="209"/>
      <c r="TWY27" s="209"/>
      <c r="TWZ27" s="209"/>
      <c r="TXA27" s="209"/>
      <c r="TXB27" s="209"/>
      <c r="TXC27" s="209"/>
      <c r="TXD27" s="209"/>
      <c r="TXE27" s="209"/>
      <c r="TXF27" s="209"/>
      <c r="TXG27" s="209"/>
      <c r="TXH27" s="209"/>
      <c r="TXI27" s="209"/>
      <c r="TXJ27" s="209"/>
      <c r="TXK27" s="209"/>
      <c r="TXL27" s="209"/>
      <c r="TXM27" s="209"/>
      <c r="TXN27" s="209"/>
      <c r="TXO27" s="209"/>
      <c r="TXP27" s="209"/>
      <c r="TXQ27" s="209"/>
      <c r="TXR27" s="209"/>
      <c r="TXS27" s="209"/>
      <c r="TXT27" s="209"/>
      <c r="TXU27" s="209"/>
      <c r="TXV27" s="209"/>
      <c r="TXW27" s="209"/>
      <c r="TXX27" s="209"/>
      <c r="TXY27" s="209"/>
      <c r="TXZ27" s="209"/>
      <c r="TYA27" s="209"/>
      <c r="TYB27" s="209"/>
      <c r="TYC27" s="209"/>
      <c r="TYD27" s="209"/>
      <c r="TYE27" s="209"/>
      <c r="TYF27" s="209"/>
      <c r="TYG27" s="209"/>
      <c r="TYH27" s="209"/>
      <c r="TYI27" s="209"/>
      <c r="TYJ27" s="209"/>
      <c r="TYK27" s="209"/>
      <c r="TYL27" s="209"/>
      <c r="TYM27" s="209"/>
      <c r="TYN27" s="209"/>
      <c r="TYO27" s="209"/>
      <c r="TYP27" s="209"/>
      <c r="TYQ27" s="209"/>
      <c r="TYR27" s="209"/>
      <c r="TYS27" s="209"/>
      <c r="TYT27" s="209"/>
      <c r="TYU27" s="209"/>
      <c r="TYV27" s="209"/>
      <c r="TYW27" s="209"/>
      <c r="TYX27" s="209"/>
      <c r="TYY27" s="209"/>
      <c r="TYZ27" s="209"/>
      <c r="TZA27" s="209"/>
      <c r="TZB27" s="209"/>
      <c r="TZC27" s="209"/>
      <c r="TZD27" s="209"/>
      <c r="TZE27" s="209"/>
      <c r="TZF27" s="209"/>
      <c r="TZG27" s="209"/>
      <c r="TZH27" s="209"/>
      <c r="TZI27" s="209"/>
      <c r="TZJ27" s="209"/>
      <c r="TZK27" s="209"/>
      <c r="TZL27" s="209"/>
      <c r="TZM27" s="209"/>
      <c r="TZN27" s="209"/>
      <c r="TZO27" s="209"/>
      <c r="TZP27" s="209"/>
      <c r="TZQ27" s="209"/>
      <c r="TZR27" s="209"/>
      <c r="TZS27" s="209"/>
      <c r="TZT27" s="209"/>
      <c r="TZU27" s="209"/>
      <c r="TZV27" s="209"/>
      <c r="TZW27" s="209"/>
      <c r="TZX27" s="209"/>
      <c r="TZY27" s="209"/>
      <c r="TZZ27" s="209"/>
      <c r="UAA27" s="209"/>
      <c r="UAB27" s="209"/>
      <c r="UAC27" s="209"/>
      <c r="UAD27" s="209"/>
      <c r="UAE27" s="209"/>
      <c r="UAF27" s="209"/>
      <c r="UAG27" s="209"/>
      <c r="UAH27" s="209"/>
      <c r="UAI27" s="209"/>
      <c r="UAJ27" s="209"/>
      <c r="UAK27" s="209"/>
      <c r="UAL27" s="209"/>
      <c r="UAM27" s="209"/>
      <c r="UAN27" s="209"/>
      <c r="UAO27" s="209"/>
      <c r="UAP27" s="209"/>
      <c r="UAQ27" s="209"/>
      <c r="UAR27" s="209"/>
      <c r="UAS27" s="209"/>
      <c r="UAT27" s="209"/>
      <c r="UAU27" s="209"/>
      <c r="UAV27" s="209"/>
      <c r="UAW27" s="209"/>
      <c r="UAX27" s="209"/>
      <c r="UAY27" s="209"/>
      <c r="UAZ27" s="209"/>
      <c r="UBA27" s="209"/>
      <c r="UBB27" s="209"/>
      <c r="UBC27" s="209"/>
      <c r="UBD27" s="209"/>
      <c r="UBE27" s="209"/>
      <c r="UBF27" s="209"/>
      <c r="UBG27" s="209"/>
      <c r="UBH27" s="209"/>
      <c r="UBI27" s="209"/>
      <c r="UBJ27" s="209"/>
      <c r="UBK27" s="209"/>
      <c r="UBL27" s="209"/>
      <c r="UBM27" s="209"/>
      <c r="UBN27" s="209"/>
      <c r="UBO27" s="209"/>
      <c r="UBP27" s="209"/>
      <c r="UBQ27" s="209"/>
      <c r="UBR27" s="209"/>
      <c r="UBS27" s="209"/>
      <c r="UBT27" s="209"/>
      <c r="UBU27" s="209"/>
      <c r="UBV27" s="209"/>
      <c r="UBW27" s="209"/>
      <c r="UBX27" s="209"/>
      <c r="UBY27" s="209"/>
      <c r="UBZ27" s="209"/>
      <c r="UCA27" s="209"/>
      <c r="UCB27" s="209"/>
      <c r="UCC27" s="209"/>
      <c r="UCD27" s="209"/>
      <c r="UCE27" s="209"/>
      <c r="UCF27" s="209"/>
      <c r="UCG27" s="209"/>
      <c r="UCH27" s="209"/>
      <c r="UCI27" s="209"/>
      <c r="UCJ27" s="209"/>
      <c r="UCK27" s="209"/>
      <c r="UCL27" s="209"/>
      <c r="UCM27" s="209"/>
      <c r="UCN27" s="209"/>
      <c r="UCO27" s="209"/>
      <c r="UCP27" s="209"/>
      <c r="UCQ27" s="209"/>
      <c r="UCR27" s="209"/>
      <c r="UCS27" s="209"/>
      <c r="UCT27" s="209"/>
      <c r="UCU27" s="209"/>
      <c r="UCV27" s="209"/>
      <c r="UCW27" s="209"/>
      <c r="UCX27" s="209"/>
      <c r="UCY27" s="209"/>
      <c r="UCZ27" s="209"/>
      <c r="UDA27" s="209"/>
      <c r="UDB27" s="209"/>
      <c r="UDC27" s="209"/>
      <c r="UDD27" s="209"/>
      <c r="UDE27" s="209"/>
      <c r="UDF27" s="209"/>
      <c r="UDG27" s="209"/>
      <c r="UDH27" s="209"/>
      <c r="UDI27" s="209"/>
      <c r="UDJ27" s="209"/>
      <c r="UDK27" s="209"/>
      <c r="UDL27" s="209"/>
      <c r="UDM27" s="209"/>
      <c r="UDN27" s="209"/>
      <c r="UDO27" s="209"/>
      <c r="UDP27" s="209"/>
      <c r="UDQ27" s="209"/>
      <c r="UDR27" s="209"/>
      <c r="UDS27" s="209"/>
      <c r="UDT27" s="209"/>
      <c r="UDU27" s="209"/>
      <c r="UDV27" s="209"/>
      <c r="UDW27" s="209"/>
      <c r="UDX27" s="209"/>
      <c r="UDY27" s="209"/>
      <c r="UDZ27" s="209"/>
      <c r="UEA27" s="209"/>
      <c r="UEB27" s="209"/>
      <c r="UEC27" s="209"/>
      <c r="UED27" s="209"/>
      <c r="UEE27" s="209"/>
      <c r="UEF27" s="209"/>
      <c r="UEG27" s="209"/>
      <c r="UEH27" s="209"/>
      <c r="UEI27" s="209"/>
      <c r="UEJ27" s="209"/>
      <c r="UEK27" s="209"/>
      <c r="UEL27" s="209"/>
      <c r="UEM27" s="209"/>
      <c r="UEN27" s="209"/>
      <c r="UEO27" s="209"/>
      <c r="UEP27" s="209"/>
      <c r="UEQ27" s="209"/>
      <c r="UER27" s="209"/>
      <c r="UES27" s="209"/>
      <c r="UET27" s="209"/>
      <c r="UEU27" s="209"/>
      <c r="UEV27" s="209"/>
      <c r="UEW27" s="209"/>
      <c r="UEX27" s="209"/>
      <c r="UEY27" s="209"/>
      <c r="UEZ27" s="209"/>
      <c r="UFA27" s="209"/>
      <c r="UFB27" s="209"/>
      <c r="UFC27" s="209"/>
      <c r="UFD27" s="209"/>
      <c r="UFE27" s="209"/>
      <c r="UFF27" s="209"/>
      <c r="UFG27" s="209"/>
      <c r="UFH27" s="209"/>
      <c r="UFI27" s="209"/>
      <c r="UFJ27" s="209"/>
      <c r="UFK27" s="209"/>
      <c r="UFL27" s="209"/>
      <c r="UFM27" s="209"/>
      <c r="UFN27" s="209"/>
      <c r="UFO27" s="209"/>
      <c r="UFP27" s="209"/>
      <c r="UFQ27" s="209"/>
      <c r="UFR27" s="209"/>
      <c r="UFS27" s="209"/>
      <c r="UFT27" s="209"/>
      <c r="UFU27" s="209"/>
      <c r="UFV27" s="209"/>
      <c r="UFW27" s="209"/>
      <c r="UFX27" s="209"/>
      <c r="UFY27" s="209"/>
      <c r="UFZ27" s="209"/>
      <c r="UGA27" s="209"/>
      <c r="UGB27" s="209"/>
      <c r="UGC27" s="209"/>
      <c r="UGD27" s="209"/>
      <c r="UGE27" s="209"/>
      <c r="UGF27" s="209"/>
      <c r="UGG27" s="209"/>
      <c r="UGH27" s="209"/>
      <c r="UGI27" s="209"/>
      <c r="UGJ27" s="209"/>
      <c r="UGK27" s="209"/>
      <c r="UGL27" s="209"/>
      <c r="UGM27" s="209"/>
      <c r="UGN27" s="209"/>
      <c r="UGO27" s="209"/>
      <c r="UGP27" s="209"/>
      <c r="UGQ27" s="209"/>
      <c r="UGR27" s="209"/>
      <c r="UGS27" s="209"/>
      <c r="UGT27" s="209"/>
      <c r="UGU27" s="209"/>
      <c r="UGV27" s="209"/>
      <c r="UGW27" s="209"/>
      <c r="UGX27" s="209"/>
      <c r="UGY27" s="209"/>
      <c r="UGZ27" s="209"/>
      <c r="UHA27" s="209"/>
      <c r="UHB27" s="209"/>
      <c r="UHC27" s="209"/>
      <c r="UHD27" s="209"/>
      <c r="UHE27" s="209"/>
      <c r="UHF27" s="209"/>
      <c r="UHG27" s="209"/>
      <c r="UHH27" s="209"/>
      <c r="UHI27" s="209"/>
      <c r="UHJ27" s="209"/>
      <c r="UHK27" s="209"/>
      <c r="UHL27" s="209"/>
      <c r="UHM27" s="209"/>
      <c r="UHN27" s="209"/>
      <c r="UHO27" s="209"/>
      <c r="UHP27" s="209"/>
      <c r="UHQ27" s="209"/>
      <c r="UHR27" s="209"/>
      <c r="UHS27" s="209"/>
      <c r="UHT27" s="209"/>
      <c r="UHU27" s="209"/>
      <c r="UHV27" s="209"/>
      <c r="UHW27" s="209"/>
      <c r="UHX27" s="209"/>
      <c r="UHY27" s="209"/>
      <c r="UHZ27" s="209"/>
      <c r="UIA27" s="209"/>
      <c r="UIB27" s="209"/>
      <c r="UIC27" s="209"/>
      <c r="UID27" s="209"/>
      <c r="UIE27" s="209"/>
      <c r="UIF27" s="209"/>
      <c r="UIG27" s="209"/>
      <c r="UIH27" s="209"/>
      <c r="UII27" s="209"/>
      <c r="UIJ27" s="209"/>
      <c r="UIK27" s="209"/>
      <c r="UIL27" s="209"/>
      <c r="UIM27" s="209"/>
      <c r="UIN27" s="209"/>
      <c r="UIO27" s="209"/>
      <c r="UIP27" s="209"/>
      <c r="UIQ27" s="209"/>
      <c r="UIR27" s="209"/>
      <c r="UIS27" s="209"/>
      <c r="UIT27" s="209"/>
      <c r="UIU27" s="209"/>
      <c r="UIV27" s="209"/>
      <c r="UIW27" s="209"/>
      <c r="UIX27" s="209"/>
      <c r="UIY27" s="209"/>
      <c r="UIZ27" s="209"/>
      <c r="UJA27" s="209"/>
      <c r="UJB27" s="209"/>
      <c r="UJC27" s="209"/>
      <c r="UJD27" s="209"/>
      <c r="UJE27" s="209"/>
      <c r="UJF27" s="209"/>
      <c r="UJG27" s="209"/>
      <c r="UJH27" s="209"/>
      <c r="UJI27" s="209"/>
      <c r="UJJ27" s="209"/>
      <c r="UJK27" s="209"/>
      <c r="UJL27" s="209"/>
      <c r="UJM27" s="209"/>
      <c r="UJN27" s="209"/>
      <c r="UJO27" s="209"/>
      <c r="UJP27" s="209"/>
      <c r="UJQ27" s="209"/>
      <c r="UJR27" s="209"/>
      <c r="UJS27" s="209"/>
      <c r="UJT27" s="209"/>
      <c r="UJU27" s="209"/>
      <c r="UJV27" s="209"/>
      <c r="UJW27" s="209"/>
      <c r="UJX27" s="209"/>
      <c r="UJY27" s="209"/>
      <c r="UJZ27" s="209"/>
      <c r="UKA27" s="209"/>
      <c r="UKB27" s="209"/>
      <c r="UKC27" s="209"/>
      <c r="UKD27" s="209"/>
      <c r="UKE27" s="209"/>
      <c r="UKF27" s="209"/>
      <c r="UKG27" s="209"/>
      <c r="UKH27" s="209"/>
      <c r="UKI27" s="209"/>
      <c r="UKJ27" s="209"/>
      <c r="UKK27" s="209"/>
      <c r="UKL27" s="209"/>
      <c r="UKM27" s="209"/>
      <c r="UKN27" s="209"/>
      <c r="UKO27" s="209"/>
      <c r="UKP27" s="209"/>
      <c r="UKQ27" s="209"/>
      <c r="UKR27" s="209"/>
      <c r="UKS27" s="209"/>
      <c r="UKT27" s="209"/>
      <c r="UKU27" s="209"/>
      <c r="UKV27" s="209"/>
      <c r="UKW27" s="209"/>
      <c r="UKX27" s="209"/>
      <c r="UKY27" s="209"/>
      <c r="UKZ27" s="209"/>
      <c r="ULA27" s="209"/>
      <c r="ULB27" s="209"/>
      <c r="ULC27" s="209"/>
      <c r="ULD27" s="209"/>
      <c r="ULE27" s="209"/>
      <c r="ULF27" s="209"/>
      <c r="ULG27" s="209"/>
      <c r="ULH27" s="209"/>
      <c r="ULI27" s="209"/>
      <c r="ULJ27" s="209"/>
      <c r="ULK27" s="209"/>
      <c r="ULL27" s="209"/>
      <c r="ULM27" s="209"/>
      <c r="ULN27" s="209"/>
      <c r="ULO27" s="209"/>
      <c r="ULP27" s="209"/>
      <c r="ULQ27" s="209"/>
      <c r="ULR27" s="209"/>
      <c r="ULS27" s="209"/>
      <c r="ULT27" s="209"/>
      <c r="ULU27" s="209"/>
      <c r="ULV27" s="209"/>
      <c r="ULW27" s="209"/>
      <c r="ULX27" s="209"/>
      <c r="ULY27" s="209"/>
      <c r="ULZ27" s="209"/>
      <c r="UMA27" s="209"/>
      <c r="UMB27" s="209"/>
      <c r="UMC27" s="209"/>
      <c r="UMD27" s="209"/>
      <c r="UME27" s="209"/>
      <c r="UMF27" s="209"/>
      <c r="UMG27" s="209"/>
      <c r="UMH27" s="209"/>
      <c r="UMI27" s="209"/>
      <c r="UMJ27" s="209"/>
      <c r="UMK27" s="209"/>
      <c r="UML27" s="209"/>
      <c r="UMM27" s="209"/>
      <c r="UMN27" s="209"/>
      <c r="UMO27" s="209"/>
      <c r="UMP27" s="209"/>
      <c r="UMQ27" s="209"/>
      <c r="UMR27" s="209"/>
      <c r="UMS27" s="209"/>
      <c r="UMT27" s="209"/>
      <c r="UMU27" s="209"/>
      <c r="UMV27" s="209"/>
      <c r="UMW27" s="209"/>
      <c r="UMX27" s="209"/>
      <c r="UMY27" s="209"/>
      <c r="UMZ27" s="209"/>
      <c r="UNA27" s="209"/>
      <c r="UNB27" s="209"/>
      <c r="UNC27" s="209"/>
      <c r="UND27" s="209"/>
      <c r="UNE27" s="209"/>
      <c r="UNF27" s="209"/>
      <c r="UNG27" s="209"/>
      <c r="UNH27" s="209"/>
      <c r="UNI27" s="209"/>
      <c r="UNJ27" s="209"/>
      <c r="UNK27" s="209"/>
      <c r="UNL27" s="209"/>
      <c r="UNM27" s="209"/>
      <c r="UNN27" s="209"/>
      <c r="UNO27" s="209"/>
      <c r="UNP27" s="209"/>
      <c r="UNQ27" s="209"/>
      <c r="UNR27" s="209"/>
      <c r="UNS27" s="209"/>
      <c r="UNT27" s="209"/>
      <c r="UNU27" s="209"/>
      <c r="UNV27" s="209"/>
      <c r="UNW27" s="209"/>
      <c r="UNX27" s="209"/>
      <c r="UNY27" s="209"/>
      <c r="UNZ27" s="209"/>
      <c r="UOA27" s="209"/>
      <c r="UOB27" s="209"/>
      <c r="UOC27" s="209"/>
      <c r="UOD27" s="209"/>
      <c r="UOE27" s="209"/>
      <c r="UOF27" s="209"/>
      <c r="UOG27" s="209"/>
      <c r="UOH27" s="209"/>
      <c r="UOI27" s="209"/>
      <c r="UOJ27" s="209"/>
      <c r="UOK27" s="209"/>
      <c r="UOL27" s="209"/>
      <c r="UOM27" s="209"/>
      <c r="UON27" s="209"/>
      <c r="UOO27" s="209"/>
      <c r="UOP27" s="209"/>
      <c r="UOQ27" s="209"/>
      <c r="UOR27" s="209"/>
      <c r="UOS27" s="209"/>
      <c r="UOT27" s="209"/>
      <c r="UOU27" s="209"/>
      <c r="UOV27" s="209"/>
      <c r="UOW27" s="209"/>
      <c r="UOX27" s="209"/>
      <c r="UOY27" s="209"/>
      <c r="UOZ27" s="209"/>
      <c r="UPA27" s="209"/>
      <c r="UPB27" s="209"/>
      <c r="UPC27" s="209"/>
      <c r="UPD27" s="209"/>
      <c r="UPE27" s="209"/>
      <c r="UPF27" s="209"/>
      <c r="UPG27" s="209"/>
      <c r="UPH27" s="209"/>
      <c r="UPI27" s="209"/>
      <c r="UPJ27" s="209"/>
      <c r="UPK27" s="209"/>
      <c r="UPL27" s="209"/>
      <c r="UPM27" s="209"/>
      <c r="UPN27" s="209"/>
      <c r="UPO27" s="209"/>
      <c r="UPP27" s="209"/>
      <c r="UPQ27" s="209"/>
      <c r="UPR27" s="209"/>
      <c r="UPS27" s="209"/>
      <c r="UPT27" s="209"/>
      <c r="UPU27" s="209"/>
      <c r="UPV27" s="209"/>
      <c r="UPW27" s="209"/>
      <c r="UPX27" s="209"/>
      <c r="UPY27" s="209"/>
      <c r="UPZ27" s="209"/>
      <c r="UQA27" s="209"/>
      <c r="UQB27" s="209"/>
      <c r="UQC27" s="209"/>
      <c r="UQD27" s="209"/>
      <c r="UQE27" s="209"/>
      <c r="UQF27" s="209"/>
      <c r="UQG27" s="209"/>
      <c r="UQH27" s="209"/>
      <c r="UQI27" s="209"/>
      <c r="UQJ27" s="209"/>
      <c r="UQK27" s="209"/>
      <c r="UQL27" s="209"/>
      <c r="UQM27" s="209"/>
      <c r="UQN27" s="209"/>
      <c r="UQO27" s="209"/>
      <c r="UQP27" s="209"/>
      <c r="UQQ27" s="209"/>
      <c r="UQR27" s="209"/>
      <c r="UQS27" s="209"/>
      <c r="UQT27" s="209"/>
      <c r="UQU27" s="209"/>
      <c r="UQV27" s="209"/>
      <c r="UQW27" s="209"/>
      <c r="UQX27" s="209"/>
      <c r="UQY27" s="209"/>
      <c r="UQZ27" s="209"/>
      <c r="URA27" s="209"/>
      <c r="URB27" s="209"/>
      <c r="URC27" s="209"/>
      <c r="URD27" s="209"/>
      <c r="URE27" s="209"/>
      <c r="URF27" s="209"/>
      <c r="URG27" s="209"/>
      <c r="URH27" s="209"/>
      <c r="URI27" s="209"/>
      <c r="URJ27" s="209"/>
      <c r="URK27" s="209"/>
      <c r="URL27" s="209"/>
      <c r="URM27" s="209"/>
      <c r="URN27" s="209"/>
      <c r="URO27" s="209"/>
      <c r="URP27" s="209"/>
      <c r="URQ27" s="209"/>
      <c r="URR27" s="209"/>
      <c r="URS27" s="209"/>
      <c r="URT27" s="209"/>
      <c r="URU27" s="209"/>
      <c r="URV27" s="209"/>
      <c r="URW27" s="209"/>
      <c r="URX27" s="209"/>
      <c r="URY27" s="209"/>
      <c r="URZ27" s="209"/>
      <c r="USA27" s="209"/>
      <c r="USB27" s="209"/>
      <c r="USC27" s="209"/>
      <c r="USD27" s="209"/>
      <c r="USE27" s="209"/>
      <c r="USF27" s="209"/>
      <c r="USG27" s="209"/>
      <c r="USH27" s="209"/>
      <c r="USI27" s="209"/>
      <c r="USJ27" s="209"/>
      <c r="USK27" s="209"/>
      <c r="USL27" s="209"/>
      <c r="USM27" s="209"/>
      <c r="USN27" s="209"/>
      <c r="USO27" s="209"/>
      <c r="USP27" s="209"/>
      <c r="USQ27" s="209"/>
      <c r="USR27" s="209"/>
      <c r="USS27" s="209"/>
      <c r="UST27" s="209"/>
      <c r="USU27" s="209"/>
      <c r="USV27" s="209"/>
      <c r="USW27" s="209"/>
      <c r="USX27" s="209"/>
      <c r="USY27" s="209"/>
      <c r="USZ27" s="209"/>
      <c r="UTA27" s="209"/>
      <c r="UTB27" s="209"/>
      <c r="UTC27" s="209"/>
      <c r="UTD27" s="209"/>
      <c r="UTE27" s="209"/>
      <c r="UTF27" s="209"/>
      <c r="UTG27" s="209"/>
      <c r="UTH27" s="209"/>
      <c r="UTI27" s="209"/>
      <c r="UTJ27" s="209"/>
      <c r="UTK27" s="209"/>
      <c r="UTL27" s="209"/>
      <c r="UTM27" s="209"/>
      <c r="UTN27" s="209"/>
      <c r="UTO27" s="209"/>
      <c r="UTP27" s="209"/>
      <c r="UTQ27" s="209"/>
      <c r="UTR27" s="209"/>
      <c r="UTS27" s="209"/>
      <c r="UTT27" s="209"/>
      <c r="UTU27" s="209"/>
      <c r="UTV27" s="209"/>
      <c r="UTW27" s="209"/>
      <c r="UTX27" s="209"/>
      <c r="UTY27" s="209"/>
      <c r="UTZ27" s="209"/>
      <c r="UUA27" s="209"/>
      <c r="UUB27" s="209"/>
      <c r="UUC27" s="209"/>
      <c r="UUD27" s="209"/>
      <c r="UUE27" s="209"/>
      <c r="UUF27" s="209"/>
      <c r="UUG27" s="209"/>
      <c r="UUH27" s="209"/>
      <c r="UUI27" s="209"/>
      <c r="UUJ27" s="209"/>
      <c r="UUK27" s="209"/>
      <c r="UUL27" s="209"/>
      <c r="UUM27" s="209"/>
      <c r="UUN27" s="209"/>
      <c r="UUO27" s="209"/>
      <c r="UUP27" s="209"/>
      <c r="UUQ27" s="209"/>
      <c r="UUR27" s="209"/>
      <c r="UUS27" s="209"/>
      <c r="UUT27" s="209"/>
      <c r="UUU27" s="209"/>
      <c r="UUV27" s="209"/>
      <c r="UUW27" s="209"/>
      <c r="UUX27" s="209"/>
      <c r="UUY27" s="209"/>
      <c r="UUZ27" s="209"/>
      <c r="UVA27" s="209"/>
      <c r="UVB27" s="209"/>
      <c r="UVC27" s="209"/>
      <c r="UVD27" s="209"/>
      <c r="UVE27" s="209"/>
      <c r="UVF27" s="209"/>
      <c r="UVG27" s="209"/>
      <c r="UVH27" s="209"/>
      <c r="UVI27" s="209"/>
      <c r="UVJ27" s="209"/>
      <c r="UVK27" s="209"/>
      <c r="UVL27" s="209"/>
      <c r="UVM27" s="209"/>
      <c r="UVN27" s="209"/>
      <c r="UVO27" s="209"/>
      <c r="UVP27" s="209"/>
      <c r="UVQ27" s="209"/>
      <c r="UVR27" s="209"/>
      <c r="UVS27" s="209"/>
      <c r="UVT27" s="209"/>
      <c r="UVU27" s="209"/>
      <c r="UVV27" s="209"/>
      <c r="UVW27" s="209"/>
      <c r="UVX27" s="209"/>
      <c r="UVY27" s="209"/>
      <c r="UVZ27" s="209"/>
      <c r="UWA27" s="209"/>
      <c r="UWB27" s="209"/>
      <c r="UWC27" s="209"/>
      <c r="UWD27" s="209"/>
      <c r="UWE27" s="209"/>
      <c r="UWF27" s="209"/>
      <c r="UWG27" s="209"/>
      <c r="UWH27" s="209"/>
      <c r="UWI27" s="209"/>
      <c r="UWJ27" s="209"/>
      <c r="UWK27" s="209"/>
      <c r="UWL27" s="209"/>
      <c r="UWM27" s="209"/>
      <c r="UWN27" s="209"/>
      <c r="UWO27" s="209"/>
      <c r="UWP27" s="209"/>
      <c r="UWQ27" s="209"/>
      <c r="UWR27" s="209"/>
      <c r="UWS27" s="209"/>
      <c r="UWT27" s="209"/>
      <c r="UWU27" s="209"/>
      <c r="UWV27" s="209"/>
      <c r="UWW27" s="209"/>
      <c r="UWX27" s="209"/>
      <c r="UWY27" s="209"/>
      <c r="UWZ27" s="209"/>
      <c r="UXA27" s="209"/>
      <c r="UXB27" s="209"/>
      <c r="UXC27" s="209"/>
      <c r="UXD27" s="209"/>
      <c r="UXE27" s="209"/>
      <c r="UXF27" s="209"/>
      <c r="UXG27" s="209"/>
      <c r="UXH27" s="209"/>
      <c r="UXI27" s="209"/>
      <c r="UXJ27" s="209"/>
      <c r="UXK27" s="209"/>
      <c r="UXL27" s="209"/>
      <c r="UXM27" s="209"/>
      <c r="UXN27" s="209"/>
      <c r="UXO27" s="209"/>
      <c r="UXP27" s="209"/>
      <c r="UXQ27" s="209"/>
      <c r="UXR27" s="209"/>
      <c r="UXS27" s="209"/>
      <c r="UXT27" s="209"/>
      <c r="UXU27" s="209"/>
      <c r="UXV27" s="209"/>
      <c r="UXW27" s="209"/>
      <c r="UXX27" s="209"/>
      <c r="UXY27" s="209"/>
      <c r="UXZ27" s="209"/>
      <c r="UYA27" s="209"/>
      <c r="UYB27" s="209"/>
      <c r="UYC27" s="209"/>
      <c r="UYD27" s="209"/>
      <c r="UYE27" s="209"/>
      <c r="UYF27" s="209"/>
      <c r="UYG27" s="209"/>
      <c r="UYH27" s="209"/>
      <c r="UYI27" s="209"/>
      <c r="UYJ27" s="209"/>
      <c r="UYK27" s="209"/>
      <c r="UYL27" s="209"/>
      <c r="UYM27" s="209"/>
      <c r="UYN27" s="209"/>
      <c r="UYO27" s="209"/>
      <c r="UYP27" s="209"/>
      <c r="UYQ27" s="209"/>
      <c r="UYR27" s="209"/>
      <c r="UYS27" s="209"/>
      <c r="UYT27" s="209"/>
      <c r="UYU27" s="209"/>
      <c r="UYV27" s="209"/>
      <c r="UYW27" s="209"/>
      <c r="UYX27" s="209"/>
      <c r="UYY27" s="209"/>
      <c r="UYZ27" s="209"/>
      <c r="UZA27" s="209"/>
      <c r="UZB27" s="209"/>
      <c r="UZC27" s="209"/>
      <c r="UZD27" s="209"/>
      <c r="UZE27" s="209"/>
      <c r="UZF27" s="209"/>
      <c r="UZG27" s="209"/>
      <c r="UZH27" s="209"/>
      <c r="UZI27" s="209"/>
      <c r="UZJ27" s="209"/>
      <c r="UZK27" s="209"/>
      <c r="UZL27" s="209"/>
      <c r="UZM27" s="209"/>
      <c r="UZN27" s="209"/>
      <c r="UZO27" s="209"/>
      <c r="UZP27" s="209"/>
      <c r="UZQ27" s="209"/>
      <c r="UZR27" s="209"/>
      <c r="UZS27" s="209"/>
      <c r="UZT27" s="209"/>
      <c r="UZU27" s="209"/>
      <c r="UZV27" s="209"/>
      <c r="UZW27" s="209"/>
      <c r="UZX27" s="209"/>
      <c r="UZY27" s="209"/>
      <c r="UZZ27" s="209"/>
      <c r="VAA27" s="209"/>
      <c r="VAB27" s="209"/>
      <c r="VAC27" s="209"/>
      <c r="VAD27" s="209"/>
      <c r="VAE27" s="209"/>
      <c r="VAF27" s="209"/>
      <c r="VAG27" s="209"/>
      <c r="VAH27" s="209"/>
      <c r="VAI27" s="209"/>
      <c r="VAJ27" s="209"/>
      <c r="VAK27" s="209"/>
      <c r="VAL27" s="209"/>
      <c r="VAM27" s="209"/>
      <c r="VAN27" s="209"/>
      <c r="VAO27" s="209"/>
      <c r="VAP27" s="209"/>
      <c r="VAQ27" s="209"/>
      <c r="VAR27" s="209"/>
      <c r="VAS27" s="209"/>
      <c r="VAT27" s="209"/>
      <c r="VAU27" s="209"/>
      <c r="VAV27" s="209"/>
      <c r="VAW27" s="209"/>
      <c r="VAX27" s="209"/>
      <c r="VAY27" s="209"/>
      <c r="VAZ27" s="209"/>
      <c r="VBA27" s="209"/>
      <c r="VBB27" s="209"/>
      <c r="VBC27" s="209"/>
      <c r="VBD27" s="209"/>
      <c r="VBE27" s="209"/>
      <c r="VBF27" s="209"/>
      <c r="VBG27" s="209"/>
      <c r="VBH27" s="209"/>
      <c r="VBI27" s="209"/>
      <c r="VBJ27" s="209"/>
      <c r="VBK27" s="209"/>
      <c r="VBL27" s="209"/>
      <c r="VBM27" s="209"/>
      <c r="VBN27" s="209"/>
      <c r="VBO27" s="209"/>
      <c r="VBP27" s="209"/>
      <c r="VBQ27" s="209"/>
      <c r="VBR27" s="209"/>
      <c r="VBS27" s="209"/>
      <c r="VBT27" s="209"/>
      <c r="VBU27" s="209"/>
      <c r="VBV27" s="209"/>
      <c r="VBW27" s="209"/>
      <c r="VBX27" s="209"/>
      <c r="VBY27" s="209"/>
      <c r="VBZ27" s="209"/>
      <c r="VCA27" s="209"/>
      <c r="VCB27" s="209"/>
      <c r="VCC27" s="209"/>
      <c r="VCD27" s="209"/>
      <c r="VCE27" s="209"/>
      <c r="VCF27" s="209"/>
      <c r="VCG27" s="209"/>
      <c r="VCH27" s="209"/>
      <c r="VCI27" s="209"/>
      <c r="VCJ27" s="209"/>
      <c r="VCK27" s="209"/>
      <c r="VCL27" s="209"/>
      <c r="VCM27" s="209"/>
      <c r="VCN27" s="209"/>
      <c r="VCO27" s="209"/>
      <c r="VCP27" s="209"/>
      <c r="VCQ27" s="209"/>
      <c r="VCR27" s="209"/>
      <c r="VCS27" s="209"/>
      <c r="VCT27" s="209"/>
      <c r="VCU27" s="209"/>
      <c r="VCV27" s="209"/>
      <c r="VCW27" s="209"/>
      <c r="VCX27" s="209"/>
      <c r="VCY27" s="209"/>
      <c r="VCZ27" s="209"/>
      <c r="VDA27" s="209"/>
      <c r="VDB27" s="209"/>
      <c r="VDC27" s="209"/>
      <c r="VDD27" s="209"/>
      <c r="VDE27" s="209"/>
      <c r="VDF27" s="209"/>
      <c r="VDG27" s="209"/>
      <c r="VDH27" s="209"/>
      <c r="VDI27" s="209"/>
      <c r="VDJ27" s="209"/>
      <c r="VDK27" s="209"/>
      <c r="VDL27" s="209"/>
      <c r="VDM27" s="209"/>
      <c r="VDN27" s="209"/>
      <c r="VDO27" s="209"/>
      <c r="VDP27" s="209"/>
      <c r="VDQ27" s="209"/>
      <c r="VDR27" s="209"/>
      <c r="VDS27" s="209"/>
      <c r="VDT27" s="209"/>
      <c r="VDU27" s="209"/>
      <c r="VDV27" s="209"/>
      <c r="VDW27" s="209"/>
      <c r="VDX27" s="209"/>
      <c r="VDY27" s="209"/>
      <c r="VDZ27" s="209"/>
      <c r="VEA27" s="209"/>
      <c r="VEB27" s="209"/>
      <c r="VEC27" s="209"/>
      <c r="VED27" s="209"/>
      <c r="VEE27" s="209"/>
      <c r="VEF27" s="209"/>
      <c r="VEG27" s="209"/>
      <c r="VEH27" s="209"/>
      <c r="VEI27" s="209"/>
      <c r="VEJ27" s="209"/>
      <c r="VEK27" s="209"/>
      <c r="VEL27" s="209"/>
      <c r="VEM27" s="209"/>
      <c r="VEN27" s="209"/>
      <c r="VEO27" s="209"/>
      <c r="VEP27" s="209"/>
      <c r="VEQ27" s="209"/>
      <c r="VER27" s="209"/>
      <c r="VES27" s="209"/>
      <c r="VET27" s="209"/>
      <c r="VEU27" s="209"/>
      <c r="VEV27" s="209"/>
      <c r="VEW27" s="209"/>
      <c r="VEX27" s="209"/>
      <c r="VEY27" s="209"/>
      <c r="VEZ27" s="209"/>
      <c r="VFA27" s="209"/>
      <c r="VFB27" s="209"/>
      <c r="VFC27" s="209"/>
      <c r="VFD27" s="209"/>
      <c r="VFE27" s="209"/>
      <c r="VFF27" s="209"/>
      <c r="VFG27" s="209"/>
      <c r="VFH27" s="209"/>
      <c r="VFI27" s="209"/>
      <c r="VFJ27" s="209"/>
      <c r="VFK27" s="209"/>
      <c r="VFL27" s="209"/>
      <c r="VFM27" s="209"/>
      <c r="VFN27" s="209"/>
      <c r="VFO27" s="209"/>
      <c r="VFP27" s="209"/>
      <c r="VFQ27" s="209"/>
      <c r="VFR27" s="209"/>
      <c r="VFS27" s="209"/>
      <c r="VFT27" s="209"/>
      <c r="VFU27" s="209"/>
      <c r="VFV27" s="209"/>
      <c r="VFW27" s="209"/>
      <c r="VFX27" s="209"/>
      <c r="VFY27" s="209"/>
      <c r="VFZ27" s="209"/>
      <c r="VGA27" s="209"/>
      <c r="VGB27" s="209"/>
      <c r="VGC27" s="209"/>
      <c r="VGD27" s="209"/>
      <c r="VGE27" s="209"/>
      <c r="VGF27" s="209"/>
      <c r="VGG27" s="209"/>
      <c r="VGH27" s="209"/>
      <c r="VGI27" s="209"/>
      <c r="VGJ27" s="209"/>
      <c r="VGK27" s="209"/>
      <c r="VGL27" s="209"/>
      <c r="VGM27" s="209"/>
      <c r="VGN27" s="209"/>
      <c r="VGO27" s="209"/>
      <c r="VGP27" s="209"/>
      <c r="VGQ27" s="209"/>
      <c r="VGR27" s="209"/>
      <c r="VGS27" s="209"/>
      <c r="VGT27" s="209"/>
      <c r="VGU27" s="209"/>
      <c r="VGV27" s="209"/>
      <c r="VGW27" s="209"/>
      <c r="VGX27" s="209"/>
      <c r="VGY27" s="209"/>
      <c r="VGZ27" s="209"/>
      <c r="VHA27" s="209"/>
      <c r="VHB27" s="209"/>
      <c r="VHC27" s="209"/>
      <c r="VHD27" s="209"/>
      <c r="VHE27" s="209"/>
      <c r="VHF27" s="209"/>
      <c r="VHG27" s="209"/>
      <c r="VHH27" s="209"/>
      <c r="VHI27" s="209"/>
      <c r="VHJ27" s="209"/>
      <c r="VHK27" s="209"/>
      <c r="VHL27" s="209"/>
      <c r="VHM27" s="209"/>
      <c r="VHN27" s="209"/>
      <c r="VHO27" s="209"/>
      <c r="VHP27" s="209"/>
      <c r="VHQ27" s="209"/>
      <c r="VHR27" s="209"/>
      <c r="VHS27" s="209"/>
      <c r="VHT27" s="209"/>
      <c r="VHU27" s="209"/>
      <c r="VHV27" s="209"/>
      <c r="VHW27" s="209"/>
      <c r="VHX27" s="209"/>
      <c r="VHY27" s="209"/>
      <c r="VHZ27" s="209"/>
      <c r="VIA27" s="209"/>
      <c r="VIB27" s="209"/>
      <c r="VIC27" s="209"/>
      <c r="VID27" s="209"/>
      <c r="VIE27" s="209"/>
      <c r="VIF27" s="209"/>
      <c r="VIG27" s="209"/>
      <c r="VIH27" s="209"/>
      <c r="VII27" s="209"/>
      <c r="VIJ27" s="209"/>
      <c r="VIK27" s="209"/>
      <c r="VIL27" s="209"/>
      <c r="VIM27" s="209"/>
      <c r="VIN27" s="209"/>
      <c r="VIO27" s="209"/>
      <c r="VIP27" s="209"/>
      <c r="VIQ27" s="209"/>
      <c r="VIR27" s="209"/>
      <c r="VIS27" s="209"/>
      <c r="VIT27" s="209"/>
      <c r="VIU27" s="209"/>
      <c r="VIV27" s="209"/>
      <c r="VIW27" s="209"/>
      <c r="VIX27" s="209"/>
      <c r="VIY27" s="209"/>
      <c r="VIZ27" s="209"/>
      <c r="VJA27" s="209"/>
      <c r="VJB27" s="209"/>
      <c r="VJC27" s="209"/>
      <c r="VJD27" s="209"/>
      <c r="VJE27" s="209"/>
      <c r="VJF27" s="209"/>
      <c r="VJG27" s="209"/>
      <c r="VJH27" s="209"/>
      <c r="VJI27" s="209"/>
      <c r="VJJ27" s="209"/>
      <c r="VJK27" s="209"/>
      <c r="VJL27" s="209"/>
      <c r="VJM27" s="209"/>
      <c r="VJN27" s="209"/>
      <c r="VJO27" s="209"/>
      <c r="VJP27" s="209"/>
      <c r="VJQ27" s="209"/>
      <c r="VJR27" s="209"/>
      <c r="VJS27" s="209"/>
      <c r="VJT27" s="209"/>
      <c r="VJU27" s="209"/>
      <c r="VJV27" s="209"/>
      <c r="VJW27" s="209"/>
      <c r="VJX27" s="209"/>
      <c r="VJY27" s="209"/>
      <c r="VJZ27" s="209"/>
      <c r="VKA27" s="209"/>
      <c r="VKB27" s="209"/>
      <c r="VKC27" s="209"/>
      <c r="VKD27" s="209"/>
      <c r="VKE27" s="209"/>
      <c r="VKF27" s="209"/>
      <c r="VKG27" s="209"/>
      <c r="VKH27" s="209"/>
      <c r="VKI27" s="209"/>
      <c r="VKJ27" s="209"/>
      <c r="VKK27" s="209"/>
      <c r="VKL27" s="209"/>
      <c r="VKM27" s="209"/>
      <c r="VKN27" s="209"/>
      <c r="VKO27" s="209"/>
      <c r="VKP27" s="209"/>
      <c r="VKQ27" s="209"/>
      <c r="VKR27" s="209"/>
      <c r="VKS27" s="209"/>
      <c r="VKT27" s="209"/>
      <c r="VKU27" s="209"/>
      <c r="VKV27" s="209"/>
      <c r="VKW27" s="209"/>
      <c r="VKX27" s="209"/>
      <c r="VKY27" s="209"/>
      <c r="VKZ27" s="209"/>
      <c r="VLA27" s="209"/>
      <c r="VLB27" s="209"/>
      <c r="VLC27" s="209"/>
      <c r="VLD27" s="209"/>
      <c r="VLE27" s="209"/>
      <c r="VLF27" s="209"/>
      <c r="VLG27" s="209"/>
      <c r="VLH27" s="209"/>
      <c r="VLI27" s="209"/>
      <c r="VLJ27" s="209"/>
      <c r="VLK27" s="209"/>
      <c r="VLL27" s="209"/>
      <c r="VLM27" s="209"/>
      <c r="VLN27" s="209"/>
      <c r="VLO27" s="209"/>
      <c r="VLP27" s="209"/>
      <c r="VLQ27" s="209"/>
      <c r="VLR27" s="209"/>
      <c r="VLS27" s="209"/>
      <c r="VLT27" s="209"/>
      <c r="VLU27" s="209"/>
      <c r="VLV27" s="209"/>
      <c r="VLW27" s="209"/>
      <c r="VLX27" s="209"/>
      <c r="VLY27" s="209"/>
      <c r="VLZ27" s="209"/>
      <c r="VMA27" s="209"/>
      <c r="VMB27" s="209"/>
      <c r="VMC27" s="209"/>
      <c r="VMD27" s="209"/>
      <c r="VME27" s="209"/>
      <c r="VMF27" s="209"/>
      <c r="VMG27" s="209"/>
      <c r="VMH27" s="209"/>
      <c r="VMI27" s="209"/>
      <c r="VMJ27" s="209"/>
      <c r="VMK27" s="209"/>
      <c r="VML27" s="209"/>
      <c r="VMM27" s="209"/>
      <c r="VMN27" s="209"/>
      <c r="VMO27" s="209"/>
      <c r="VMP27" s="209"/>
      <c r="VMQ27" s="209"/>
      <c r="VMR27" s="209"/>
      <c r="VMS27" s="209"/>
      <c r="VMT27" s="209"/>
      <c r="VMU27" s="209"/>
      <c r="VMV27" s="209"/>
      <c r="VMW27" s="209"/>
      <c r="VMX27" s="209"/>
      <c r="VMY27" s="209"/>
      <c r="VMZ27" s="209"/>
      <c r="VNA27" s="209"/>
      <c r="VNB27" s="209"/>
      <c r="VNC27" s="209"/>
      <c r="VND27" s="209"/>
      <c r="VNE27" s="209"/>
      <c r="VNF27" s="209"/>
      <c r="VNG27" s="209"/>
      <c r="VNH27" s="209"/>
      <c r="VNI27" s="209"/>
      <c r="VNJ27" s="209"/>
      <c r="VNK27" s="209"/>
      <c r="VNL27" s="209"/>
      <c r="VNM27" s="209"/>
      <c r="VNN27" s="209"/>
      <c r="VNO27" s="209"/>
      <c r="VNP27" s="209"/>
      <c r="VNQ27" s="209"/>
      <c r="VNR27" s="209"/>
      <c r="VNS27" s="209"/>
      <c r="VNT27" s="209"/>
      <c r="VNU27" s="209"/>
      <c r="VNV27" s="209"/>
      <c r="VNW27" s="209"/>
      <c r="VNX27" s="209"/>
      <c r="VNY27" s="209"/>
      <c r="VNZ27" s="209"/>
      <c r="VOA27" s="209"/>
      <c r="VOB27" s="209"/>
      <c r="VOC27" s="209"/>
      <c r="VOD27" s="209"/>
      <c r="VOE27" s="209"/>
      <c r="VOF27" s="209"/>
      <c r="VOG27" s="209"/>
      <c r="VOH27" s="209"/>
      <c r="VOI27" s="209"/>
      <c r="VOJ27" s="209"/>
      <c r="VOK27" s="209"/>
      <c r="VOL27" s="209"/>
      <c r="VOM27" s="209"/>
      <c r="VON27" s="209"/>
      <c r="VOO27" s="209"/>
      <c r="VOP27" s="209"/>
      <c r="VOQ27" s="209"/>
      <c r="VOR27" s="209"/>
      <c r="VOS27" s="209"/>
      <c r="VOT27" s="209"/>
      <c r="VOU27" s="209"/>
      <c r="VOV27" s="209"/>
      <c r="VOW27" s="209"/>
      <c r="VOX27" s="209"/>
      <c r="VOY27" s="209"/>
      <c r="VOZ27" s="209"/>
      <c r="VPA27" s="209"/>
      <c r="VPB27" s="209"/>
      <c r="VPC27" s="209"/>
      <c r="VPD27" s="209"/>
      <c r="VPE27" s="209"/>
      <c r="VPF27" s="209"/>
      <c r="VPG27" s="209"/>
      <c r="VPH27" s="209"/>
      <c r="VPI27" s="209"/>
      <c r="VPJ27" s="209"/>
      <c r="VPK27" s="209"/>
      <c r="VPL27" s="209"/>
      <c r="VPM27" s="209"/>
      <c r="VPN27" s="209"/>
      <c r="VPO27" s="209"/>
      <c r="VPP27" s="209"/>
      <c r="VPQ27" s="209"/>
      <c r="VPR27" s="209"/>
      <c r="VPS27" s="209"/>
      <c r="VPT27" s="209"/>
      <c r="VPU27" s="209"/>
      <c r="VPV27" s="209"/>
      <c r="VPW27" s="209"/>
      <c r="VPX27" s="209"/>
      <c r="VPY27" s="209"/>
      <c r="VPZ27" s="209"/>
      <c r="VQA27" s="209"/>
      <c r="VQB27" s="209"/>
      <c r="VQC27" s="209"/>
      <c r="VQD27" s="209"/>
      <c r="VQE27" s="209"/>
      <c r="VQF27" s="209"/>
      <c r="VQG27" s="209"/>
      <c r="VQH27" s="209"/>
      <c r="VQI27" s="209"/>
      <c r="VQJ27" s="209"/>
      <c r="VQK27" s="209"/>
      <c r="VQL27" s="209"/>
      <c r="VQM27" s="209"/>
      <c r="VQN27" s="209"/>
      <c r="VQO27" s="209"/>
      <c r="VQP27" s="209"/>
      <c r="VQQ27" s="209"/>
      <c r="VQR27" s="209"/>
      <c r="VQS27" s="209"/>
      <c r="VQT27" s="209"/>
      <c r="VQU27" s="209"/>
      <c r="VQV27" s="209"/>
      <c r="VQW27" s="209"/>
      <c r="VQX27" s="209"/>
      <c r="VQY27" s="209"/>
      <c r="VQZ27" s="209"/>
      <c r="VRA27" s="209"/>
      <c r="VRB27" s="209"/>
      <c r="VRC27" s="209"/>
      <c r="VRD27" s="209"/>
      <c r="VRE27" s="209"/>
      <c r="VRF27" s="209"/>
      <c r="VRG27" s="209"/>
      <c r="VRH27" s="209"/>
      <c r="VRI27" s="209"/>
      <c r="VRJ27" s="209"/>
      <c r="VRK27" s="209"/>
      <c r="VRL27" s="209"/>
      <c r="VRM27" s="209"/>
      <c r="VRN27" s="209"/>
      <c r="VRO27" s="209"/>
      <c r="VRP27" s="209"/>
      <c r="VRQ27" s="209"/>
      <c r="VRR27" s="209"/>
      <c r="VRS27" s="209"/>
      <c r="VRT27" s="209"/>
      <c r="VRU27" s="209"/>
      <c r="VRV27" s="209"/>
      <c r="VRW27" s="209"/>
      <c r="VRX27" s="209"/>
      <c r="VRY27" s="209"/>
      <c r="VRZ27" s="209"/>
      <c r="VSA27" s="209"/>
      <c r="VSB27" s="209"/>
      <c r="VSC27" s="209"/>
      <c r="VSD27" s="209"/>
      <c r="VSE27" s="209"/>
      <c r="VSF27" s="209"/>
      <c r="VSG27" s="209"/>
      <c r="VSH27" s="209"/>
      <c r="VSI27" s="209"/>
      <c r="VSJ27" s="209"/>
      <c r="VSK27" s="209"/>
      <c r="VSL27" s="209"/>
      <c r="VSM27" s="209"/>
      <c r="VSN27" s="209"/>
      <c r="VSO27" s="209"/>
      <c r="VSP27" s="209"/>
      <c r="VSQ27" s="209"/>
      <c r="VSR27" s="209"/>
      <c r="VSS27" s="209"/>
      <c r="VST27" s="209"/>
      <c r="VSU27" s="209"/>
      <c r="VSV27" s="209"/>
      <c r="VSW27" s="209"/>
      <c r="VSX27" s="209"/>
      <c r="VSY27" s="209"/>
      <c r="VSZ27" s="209"/>
      <c r="VTA27" s="209"/>
      <c r="VTB27" s="209"/>
      <c r="VTC27" s="209"/>
      <c r="VTD27" s="209"/>
      <c r="VTE27" s="209"/>
      <c r="VTF27" s="209"/>
      <c r="VTG27" s="209"/>
      <c r="VTH27" s="209"/>
      <c r="VTI27" s="209"/>
      <c r="VTJ27" s="209"/>
      <c r="VTK27" s="209"/>
      <c r="VTL27" s="209"/>
      <c r="VTM27" s="209"/>
      <c r="VTN27" s="209"/>
      <c r="VTO27" s="209"/>
      <c r="VTP27" s="209"/>
      <c r="VTQ27" s="209"/>
      <c r="VTR27" s="209"/>
      <c r="VTS27" s="209"/>
      <c r="VTT27" s="209"/>
      <c r="VTU27" s="209"/>
      <c r="VTV27" s="209"/>
      <c r="VTW27" s="209"/>
      <c r="VTX27" s="209"/>
      <c r="VTY27" s="209"/>
      <c r="VTZ27" s="209"/>
      <c r="VUA27" s="209"/>
      <c r="VUB27" s="209"/>
      <c r="VUC27" s="209"/>
      <c r="VUD27" s="209"/>
      <c r="VUE27" s="209"/>
      <c r="VUF27" s="209"/>
      <c r="VUG27" s="209"/>
      <c r="VUH27" s="209"/>
      <c r="VUI27" s="209"/>
      <c r="VUJ27" s="209"/>
      <c r="VUK27" s="209"/>
      <c r="VUL27" s="209"/>
      <c r="VUM27" s="209"/>
      <c r="VUN27" s="209"/>
      <c r="VUO27" s="209"/>
      <c r="VUP27" s="209"/>
      <c r="VUQ27" s="209"/>
      <c r="VUR27" s="209"/>
      <c r="VUS27" s="209"/>
      <c r="VUT27" s="209"/>
      <c r="VUU27" s="209"/>
      <c r="VUV27" s="209"/>
      <c r="VUW27" s="209"/>
      <c r="VUX27" s="209"/>
      <c r="VUY27" s="209"/>
      <c r="VUZ27" s="209"/>
      <c r="VVA27" s="209"/>
      <c r="VVB27" s="209"/>
      <c r="VVC27" s="209"/>
      <c r="VVD27" s="209"/>
      <c r="VVE27" s="209"/>
      <c r="VVF27" s="209"/>
      <c r="VVG27" s="209"/>
      <c r="VVH27" s="209"/>
      <c r="VVI27" s="209"/>
      <c r="VVJ27" s="209"/>
      <c r="VVK27" s="209"/>
      <c r="VVL27" s="209"/>
      <c r="VVM27" s="209"/>
      <c r="VVN27" s="209"/>
      <c r="VVO27" s="209"/>
      <c r="VVP27" s="209"/>
      <c r="VVQ27" s="209"/>
      <c r="VVR27" s="209"/>
      <c r="VVS27" s="209"/>
      <c r="VVT27" s="209"/>
      <c r="VVU27" s="209"/>
      <c r="VVV27" s="209"/>
      <c r="VVW27" s="209"/>
      <c r="VVX27" s="209"/>
      <c r="VVY27" s="209"/>
      <c r="VVZ27" s="209"/>
      <c r="VWA27" s="209"/>
      <c r="VWB27" s="209"/>
      <c r="VWC27" s="209"/>
      <c r="VWD27" s="209"/>
      <c r="VWE27" s="209"/>
      <c r="VWF27" s="209"/>
      <c r="VWG27" s="209"/>
      <c r="VWH27" s="209"/>
      <c r="VWI27" s="209"/>
      <c r="VWJ27" s="209"/>
      <c r="VWK27" s="209"/>
      <c r="VWL27" s="209"/>
      <c r="VWM27" s="209"/>
      <c r="VWN27" s="209"/>
      <c r="VWO27" s="209"/>
      <c r="VWP27" s="209"/>
      <c r="VWQ27" s="209"/>
      <c r="VWR27" s="209"/>
      <c r="VWS27" s="209"/>
      <c r="VWT27" s="209"/>
      <c r="VWU27" s="209"/>
      <c r="VWV27" s="209"/>
      <c r="VWW27" s="209"/>
      <c r="VWX27" s="209"/>
      <c r="VWY27" s="209"/>
      <c r="VWZ27" s="209"/>
      <c r="VXA27" s="209"/>
      <c r="VXB27" s="209"/>
      <c r="VXC27" s="209"/>
      <c r="VXD27" s="209"/>
      <c r="VXE27" s="209"/>
      <c r="VXF27" s="209"/>
      <c r="VXG27" s="209"/>
      <c r="VXH27" s="209"/>
      <c r="VXI27" s="209"/>
      <c r="VXJ27" s="209"/>
      <c r="VXK27" s="209"/>
      <c r="VXL27" s="209"/>
      <c r="VXM27" s="209"/>
      <c r="VXN27" s="209"/>
      <c r="VXO27" s="209"/>
      <c r="VXP27" s="209"/>
      <c r="VXQ27" s="209"/>
      <c r="VXR27" s="209"/>
      <c r="VXS27" s="209"/>
      <c r="VXT27" s="209"/>
      <c r="VXU27" s="209"/>
      <c r="VXV27" s="209"/>
      <c r="VXW27" s="209"/>
      <c r="VXX27" s="209"/>
      <c r="VXY27" s="209"/>
      <c r="VXZ27" s="209"/>
      <c r="VYA27" s="209"/>
      <c r="VYB27" s="209"/>
      <c r="VYC27" s="209"/>
      <c r="VYD27" s="209"/>
      <c r="VYE27" s="209"/>
      <c r="VYF27" s="209"/>
      <c r="VYG27" s="209"/>
      <c r="VYH27" s="209"/>
      <c r="VYI27" s="209"/>
      <c r="VYJ27" s="209"/>
      <c r="VYK27" s="209"/>
      <c r="VYL27" s="209"/>
      <c r="VYM27" s="209"/>
      <c r="VYN27" s="209"/>
      <c r="VYO27" s="209"/>
      <c r="VYP27" s="209"/>
      <c r="VYQ27" s="209"/>
      <c r="VYR27" s="209"/>
      <c r="VYS27" s="209"/>
      <c r="VYT27" s="209"/>
      <c r="VYU27" s="209"/>
      <c r="VYV27" s="209"/>
      <c r="VYW27" s="209"/>
      <c r="VYX27" s="209"/>
      <c r="VYY27" s="209"/>
      <c r="VYZ27" s="209"/>
      <c r="VZA27" s="209"/>
      <c r="VZB27" s="209"/>
      <c r="VZC27" s="209"/>
      <c r="VZD27" s="209"/>
      <c r="VZE27" s="209"/>
      <c r="VZF27" s="209"/>
      <c r="VZG27" s="209"/>
      <c r="VZH27" s="209"/>
      <c r="VZI27" s="209"/>
      <c r="VZJ27" s="209"/>
      <c r="VZK27" s="209"/>
      <c r="VZL27" s="209"/>
      <c r="VZM27" s="209"/>
      <c r="VZN27" s="209"/>
      <c r="VZO27" s="209"/>
      <c r="VZP27" s="209"/>
      <c r="VZQ27" s="209"/>
      <c r="VZR27" s="209"/>
      <c r="VZS27" s="209"/>
      <c r="VZT27" s="209"/>
      <c r="VZU27" s="209"/>
      <c r="VZV27" s="209"/>
      <c r="VZW27" s="209"/>
      <c r="VZX27" s="209"/>
      <c r="VZY27" s="209"/>
      <c r="VZZ27" s="209"/>
      <c r="WAA27" s="209"/>
      <c r="WAB27" s="209"/>
      <c r="WAC27" s="209"/>
      <c r="WAD27" s="209"/>
      <c r="WAE27" s="209"/>
      <c r="WAF27" s="209"/>
      <c r="WAG27" s="209"/>
      <c r="WAH27" s="209"/>
      <c r="WAI27" s="209"/>
      <c r="WAJ27" s="209"/>
      <c r="WAK27" s="209"/>
      <c r="WAL27" s="209"/>
      <c r="WAM27" s="209"/>
      <c r="WAN27" s="209"/>
      <c r="WAO27" s="209"/>
      <c r="WAP27" s="209"/>
      <c r="WAQ27" s="209"/>
      <c r="WAR27" s="209"/>
      <c r="WAS27" s="209"/>
      <c r="WAT27" s="209"/>
      <c r="WAU27" s="209"/>
      <c r="WAV27" s="209"/>
      <c r="WAW27" s="209"/>
      <c r="WAX27" s="209"/>
      <c r="WAY27" s="209"/>
      <c r="WAZ27" s="209"/>
      <c r="WBA27" s="209"/>
      <c r="WBB27" s="209"/>
      <c r="WBC27" s="209"/>
      <c r="WBD27" s="209"/>
      <c r="WBE27" s="209"/>
      <c r="WBF27" s="209"/>
      <c r="WBG27" s="209"/>
      <c r="WBH27" s="209"/>
      <c r="WBI27" s="209"/>
      <c r="WBJ27" s="209"/>
      <c r="WBK27" s="209"/>
      <c r="WBL27" s="209"/>
      <c r="WBM27" s="209"/>
      <c r="WBN27" s="209"/>
      <c r="WBO27" s="209"/>
      <c r="WBP27" s="209"/>
      <c r="WBQ27" s="209"/>
      <c r="WBR27" s="209"/>
      <c r="WBS27" s="209"/>
      <c r="WBT27" s="209"/>
      <c r="WBU27" s="209"/>
      <c r="WBV27" s="209"/>
      <c r="WBW27" s="209"/>
      <c r="WBX27" s="209"/>
      <c r="WBY27" s="209"/>
      <c r="WBZ27" s="209"/>
      <c r="WCA27" s="209"/>
      <c r="WCB27" s="209"/>
      <c r="WCC27" s="209"/>
      <c r="WCD27" s="209"/>
      <c r="WCE27" s="209"/>
      <c r="WCF27" s="209"/>
      <c r="WCG27" s="209"/>
      <c r="WCH27" s="209"/>
      <c r="WCI27" s="209"/>
      <c r="WCJ27" s="209"/>
      <c r="WCK27" s="209"/>
      <c r="WCL27" s="209"/>
      <c r="WCM27" s="209"/>
      <c r="WCN27" s="209"/>
      <c r="WCO27" s="209"/>
      <c r="WCP27" s="209"/>
      <c r="WCQ27" s="209"/>
      <c r="WCR27" s="209"/>
      <c r="WCS27" s="209"/>
      <c r="WCT27" s="209"/>
      <c r="WCU27" s="209"/>
      <c r="WCV27" s="209"/>
      <c r="WCW27" s="209"/>
      <c r="WCX27" s="209"/>
      <c r="WCY27" s="209"/>
      <c r="WCZ27" s="209"/>
      <c r="WDA27" s="209"/>
      <c r="WDB27" s="209"/>
      <c r="WDC27" s="209"/>
      <c r="WDD27" s="209"/>
      <c r="WDE27" s="209"/>
      <c r="WDF27" s="209"/>
      <c r="WDG27" s="209"/>
      <c r="WDH27" s="209"/>
      <c r="WDI27" s="209"/>
      <c r="WDJ27" s="209"/>
      <c r="WDK27" s="209"/>
      <c r="WDL27" s="209"/>
      <c r="WDM27" s="209"/>
      <c r="WDN27" s="209"/>
      <c r="WDO27" s="209"/>
      <c r="WDP27" s="209"/>
      <c r="WDQ27" s="209"/>
      <c r="WDR27" s="209"/>
      <c r="WDS27" s="209"/>
      <c r="WDT27" s="209"/>
      <c r="WDU27" s="209"/>
      <c r="WDV27" s="209"/>
      <c r="WDW27" s="209"/>
      <c r="WDX27" s="209"/>
      <c r="WDY27" s="209"/>
      <c r="WDZ27" s="209"/>
      <c r="WEA27" s="209"/>
      <c r="WEB27" s="209"/>
      <c r="WEC27" s="209"/>
      <c r="WED27" s="209"/>
      <c r="WEE27" s="209"/>
      <c r="WEF27" s="209"/>
      <c r="WEG27" s="209"/>
      <c r="WEH27" s="209"/>
      <c r="WEI27" s="209"/>
      <c r="WEJ27" s="209"/>
      <c r="WEK27" s="209"/>
      <c r="WEL27" s="209"/>
      <c r="WEM27" s="209"/>
      <c r="WEN27" s="209"/>
      <c r="WEO27" s="209"/>
      <c r="WEP27" s="209"/>
      <c r="WEQ27" s="209"/>
      <c r="WER27" s="209"/>
      <c r="WES27" s="209"/>
      <c r="WET27" s="209"/>
      <c r="WEU27" s="209"/>
      <c r="WEV27" s="209"/>
      <c r="WEW27" s="209"/>
      <c r="WEX27" s="209"/>
      <c r="WEY27" s="209"/>
      <c r="WEZ27" s="209"/>
      <c r="WFA27" s="209"/>
      <c r="WFB27" s="209"/>
      <c r="WFC27" s="209"/>
      <c r="WFD27" s="209"/>
      <c r="WFE27" s="209"/>
      <c r="WFF27" s="209"/>
      <c r="WFG27" s="209"/>
      <c r="WFH27" s="209"/>
      <c r="WFI27" s="209"/>
      <c r="WFJ27" s="209"/>
      <c r="WFK27" s="209"/>
      <c r="WFL27" s="209"/>
      <c r="WFM27" s="209"/>
      <c r="WFN27" s="209"/>
      <c r="WFO27" s="209"/>
      <c r="WFP27" s="209"/>
      <c r="WFQ27" s="209"/>
      <c r="WFR27" s="209"/>
      <c r="WFS27" s="209"/>
      <c r="WFT27" s="209"/>
      <c r="WFU27" s="209"/>
      <c r="WFV27" s="209"/>
      <c r="WFW27" s="209"/>
      <c r="WFX27" s="209"/>
      <c r="WFY27" s="209"/>
      <c r="WFZ27" s="209"/>
      <c r="WGA27" s="209"/>
      <c r="WGB27" s="209"/>
      <c r="WGC27" s="209"/>
      <c r="WGD27" s="209"/>
      <c r="WGE27" s="209"/>
      <c r="WGF27" s="209"/>
      <c r="WGG27" s="209"/>
      <c r="WGH27" s="209"/>
      <c r="WGI27" s="209"/>
      <c r="WGJ27" s="209"/>
      <c r="WGK27" s="209"/>
      <c r="WGL27" s="209"/>
      <c r="WGM27" s="209"/>
      <c r="WGN27" s="209"/>
      <c r="WGO27" s="209"/>
      <c r="WGP27" s="209"/>
      <c r="WGQ27" s="209"/>
      <c r="WGR27" s="209"/>
      <c r="WGS27" s="209"/>
      <c r="WGT27" s="209"/>
      <c r="WGU27" s="209"/>
      <c r="WGV27" s="209"/>
      <c r="WGW27" s="209"/>
      <c r="WGX27" s="209"/>
      <c r="WGY27" s="209"/>
      <c r="WGZ27" s="209"/>
      <c r="WHA27" s="209"/>
      <c r="WHB27" s="209"/>
      <c r="WHC27" s="209"/>
      <c r="WHD27" s="209"/>
      <c r="WHE27" s="209"/>
      <c r="WHF27" s="209"/>
      <c r="WHG27" s="209"/>
      <c r="WHH27" s="209"/>
      <c r="WHI27" s="209"/>
      <c r="WHJ27" s="209"/>
      <c r="WHK27" s="209"/>
      <c r="WHL27" s="209"/>
      <c r="WHM27" s="209"/>
      <c r="WHN27" s="209"/>
      <c r="WHO27" s="209"/>
      <c r="WHP27" s="209"/>
      <c r="WHQ27" s="209"/>
      <c r="WHR27" s="209"/>
      <c r="WHS27" s="209"/>
      <c r="WHT27" s="209"/>
      <c r="WHU27" s="209"/>
      <c r="WHV27" s="209"/>
      <c r="WHW27" s="209"/>
      <c r="WHX27" s="209"/>
      <c r="WHY27" s="209"/>
      <c r="WHZ27" s="209"/>
      <c r="WIA27" s="209"/>
      <c r="WIB27" s="209"/>
      <c r="WIC27" s="209"/>
      <c r="WID27" s="209"/>
      <c r="WIE27" s="209"/>
      <c r="WIF27" s="209"/>
      <c r="WIG27" s="209"/>
      <c r="WIH27" s="209"/>
      <c r="WII27" s="209"/>
      <c r="WIJ27" s="209"/>
      <c r="WIK27" s="209"/>
      <c r="WIL27" s="209"/>
      <c r="WIM27" s="209"/>
      <c r="WIN27" s="209"/>
      <c r="WIO27" s="209"/>
      <c r="WIP27" s="209"/>
      <c r="WIQ27" s="209"/>
      <c r="WIR27" s="209"/>
      <c r="WIS27" s="209"/>
      <c r="WIT27" s="209"/>
      <c r="WIU27" s="209"/>
      <c r="WIV27" s="209"/>
      <c r="WIW27" s="209"/>
      <c r="WIX27" s="209"/>
      <c r="WIY27" s="209"/>
      <c r="WIZ27" s="209"/>
      <c r="WJA27" s="209"/>
      <c r="WJB27" s="209"/>
      <c r="WJC27" s="209"/>
      <c r="WJD27" s="209"/>
      <c r="WJE27" s="209"/>
      <c r="WJF27" s="209"/>
      <c r="WJG27" s="209"/>
      <c r="WJH27" s="209"/>
      <c r="WJI27" s="209"/>
      <c r="WJJ27" s="209"/>
      <c r="WJK27" s="209"/>
      <c r="WJL27" s="209"/>
      <c r="WJM27" s="209"/>
      <c r="WJN27" s="209"/>
      <c r="WJO27" s="209"/>
      <c r="WJP27" s="209"/>
      <c r="WJQ27" s="209"/>
      <c r="WJR27" s="209"/>
      <c r="WJS27" s="209"/>
      <c r="WJT27" s="209"/>
      <c r="WJU27" s="209"/>
      <c r="WJV27" s="209"/>
      <c r="WJW27" s="209"/>
      <c r="WJX27" s="209"/>
      <c r="WJY27" s="209"/>
      <c r="WJZ27" s="209"/>
      <c r="WKA27" s="209"/>
      <c r="WKB27" s="209"/>
      <c r="WKC27" s="209"/>
      <c r="WKD27" s="209"/>
      <c r="WKE27" s="209"/>
      <c r="WKF27" s="209"/>
      <c r="WKG27" s="209"/>
      <c r="WKH27" s="209"/>
      <c r="WKI27" s="209"/>
      <c r="WKJ27" s="209"/>
      <c r="WKK27" s="209"/>
      <c r="WKL27" s="209"/>
      <c r="WKM27" s="209"/>
      <c r="WKN27" s="209"/>
      <c r="WKO27" s="209"/>
      <c r="WKP27" s="209"/>
      <c r="WKQ27" s="209"/>
      <c r="WKR27" s="209"/>
      <c r="WKS27" s="209"/>
      <c r="WKT27" s="209"/>
      <c r="WKU27" s="209"/>
      <c r="WKV27" s="209"/>
      <c r="WKW27" s="209"/>
      <c r="WKX27" s="209"/>
      <c r="WKY27" s="209"/>
      <c r="WKZ27" s="209"/>
      <c r="WLA27" s="209"/>
      <c r="WLB27" s="209"/>
      <c r="WLC27" s="209"/>
      <c r="WLD27" s="209"/>
      <c r="WLE27" s="209"/>
      <c r="WLF27" s="209"/>
      <c r="WLG27" s="209"/>
      <c r="WLH27" s="209"/>
      <c r="WLI27" s="209"/>
      <c r="WLJ27" s="209"/>
      <c r="WLK27" s="209"/>
      <c r="WLL27" s="209"/>
      <c r="WLM27" s="209"/>
      <c r="WLN27" s="209"/>
      <c r="WLO27" s="209"/>
      <c r="WLP27" s="209"/>
      <c r="WLQ27" s="209"/>
      <c r="WLR27" s="209"/>
      <c r="WLS27" s="209"/>
      <c r="WLT27" s="209"/>
      <c r="WLU27" s="209"/>
      <c r="WLV27" s="209"/>
      <c r="WLW27" s="209"/>
      <c r="WLX27" s="209"/>
      <c r="WLY27" s="209"/>
      <c r="WLZ27" s="209"/>
      <c r="WMA27" s="209"/>
      <c r="WMB27" s="209"/>
      <c r="WMC27" s="209"/>
      <c r="WMD27" s="209"/>
      <c r="WME27" s="209"/>
      <c r="WMF27" s="209"/>
      <c r="WMG27" s="209"/>
      <c r="WMH27" s="209"/>
      <c r="WMI27" s="209"/>
      <c r="WMJ27" s="209"/>
      <c r="WMK27" s="209"/>
      <c r="WML27" s="209"/>
      <c r="WMM27" s="209"/>
      <c r="WMN27" s="209"/>
      <c r="WMO27" s="209"/>
      <c r="WMP27" s="209"/>
      <c r="WMQ27" s="209"/>
      <c r="WMR27" s="209"/>
      <c r="WMS27" s="209"/>
      <c r="WMT27" s="209"/>
      <c r="WMU27" s="209"/>
      <c r="WMV27" s="209"/>
      <c r="WMW27" s="209"/>
      <c r="WMX27" s="209"/>
      <c r="WMY27" s="209"/>
      <c r="WMZ27" s="209"/>
      <c r="WNA27" s="209"/>
      <c r="WNB27" s="209"/>
      <c r="WNC27" s="209"/>
      <c r="WND27" s="209"/>
      <c r="WNE27" s="209"/>
      <c r="WNF27" s="209"/>
      <c r="WNG27" s="209"/>
      <c r="WNH27" s="209"/>
      <c r="WNI27" s="209"/>
      <c r="WNJ27" s="209"/>
      <c r="WNK27" s="209"/>
      <c r="WNL27" s="209"/>
      <c r="WNM27" s="209"/>
      <c r="WNN27" s="209"/>
      <c r="WNO27" s="209"/>
      <c r="WNP27" s="209"/>
      <c r="WNQ27" s="209"/>
      <c r="WNR27" s="209"/>
      <c r="WNS27" s="209"/>
      <c r="WNT27" s="209"/>
      <c r="WNU27" s="209"/>
      <c r="WNV27" s="209"/>
      <c r="WNW27" s="209"/>
      <c r="WNX27" s="209"/>
      <c r="WNY27" s="209"/>
      <c r="WNZ27" s="209"/>
      <c r="WOA27" s="209"/>
      <c r="WOB27" s="209"/>
      <c r="WOC27" s="209"/>
      <c r="WOD27" s="209"/>
      <c r="WOE27" s="209"/>
      <c r="WOF27" s="209"/>
      <c r="WOG27" s="209"/>
      <c r="WOH27" s="209"/>
      <c r="WOI27" s="209"/>
      <c r="WOJ27" s="209"/>
      <c r="WOK27" s="209"/>
      <c r="WOL27" s="209"/>
      <c r="WOM27" s="209"/>
      <c r="WON27" s="209"/>
      <c r="WOO27" s="209"/>
      <c r="WOP27" s="209"/>
      <c r="WOQ27" s="209"/>
      <c r="WOR27" s="209"/>
      <c r="WOS27" s="209"/>
      <c r="WOT27" s="209"/>
      <c r="WOU27" s="209"/>
      <c r="WOV27" s="209"/>
      <c r="WOW27" s="209"/>
      <c r="WOX27" s="209"/>
      <c r="WOY27" s="209"/>
      <c r="WOZ27" s="209"/>
      <c r="WPA27" s="209"/>
      <c r="WPB27" s="209"/>
      <c r="WPC27" s="209"/>
      <c r="WPD27" s="209"/>
      <c r="WPE27" s="209"/>
      <c r="WPF27" s="209"/>
      <c r="WPG27" s="209"/>
      <c r="WPH27" s="209"/>
      <c r="WPI27" s="209"/>
      <c r="WPJ27" s="209"/>
      <c r="WPK27" s="209"/>
      <c r="WPL27" s="209"/>
      <c r="WPM27" s="209"/>
      <c r="WPN27" s="209"/>
      <c r="WPO27" s="209"/>
      <c r="WPP27" s="209"/>
      <c r="WPQ27" s="209"/>
      <c r="WPR27" s="209"/>
      <c r="WPS27" s="209"/>
      <c r="WPT27" s="209"/>
      <c r="WPU27" s="209"/>
      <c r="WPV27" s="209"/>
      <c r="WPW27" s="209"/>
      <c r="WPX27" s="209"/>
      <c r="WPY27" s="209"/>
      <c r="WPZ27" s="209"/>
      <c r="WQA27" s="209"/>
      <c r="WQB27" s="209"/>
      <c r="WQC27" s="209"/>
      <c r="WQD27" s="209"/>
      <c r="WQE27" s="209"/>
      <c r="WQF27" s="209"/>
      <c r="WQG27" s="209"/>
      <c r="WQH27" s="209"/>
      <c r="WQI27" s="209"/>
      <c r="WQJ27" s="209"/>
      <c r="WQK27" s="209"/>
      <c r="WQL27" s="209"/>
      <c r="WQM27" s="209"/>
      <c r="WQN27" s="209"/>
      <c r="WQO27" s="209"/>
      <c r="WQP27" s="209"/>
      <c r="WQQ27" s="209"/>
      <c r="WQR27" s="209"/>
      <c r="WQS27" s="209"/>
      <c r="WQT27" s="209"/>
      <c r="WQU27" s="209"/>
      <c r="WQV27" s="209"/>
      <c r="WQW27" s="209"/>
      <c r="WQX27" s="209"/>
      <c r="WQY27" s="209"/>
      <c r="WQZ27" s="209"/>
      <c r="WRA27" s="209"/>
      <c r="WRB27" s="209"/>
      <c r="WRC27" s="209"/>
      <c r="WRD27" s="209"/>
      <c r="WRE27" s="209"/>
      <c r="WRF27" s="209"/>
      <c r="WRG27" s="209"/>
      <c r="WRH27" s="209"/>
      <c r="WRI27" s="209"/>
      <c r="WRJ27" s="209"/>
      <c r="WRK27" s="209"/>
      <c r="WRL27" s="209"/>
      <c r="WRM27" s="209"/>
      <c r="WRN27" s="209"/>
      <c r="WRO27" s="209"/>
      <c r="WRP27" s="209"/>
      <c r="WRQ27" s="209"/>
      <c r="WRR27" s="209"/>
      <c r="WRS27" s="209"/>
      <c r="WRT27" s="209"/>
      <c r="WRU27" s="209"/>
      <c r="WRV27" s="209"/>
      <c r="WRW27" s="209"/>
      <c r="WRX27" s="209"/>
      <c r="WRY27" s="209"/>
      <c r="WRZ27" s="209"/>
      <c r="WSA27" s="209"/>
      <c r="WSB27" s="209"/>
      <c r="WSC27" s="209"/>
      <c r="WSD27" s="209"/>
      <c r="WSE27" s="209"/>
      <c r="WSF27" s="209"/>
      <c r="WSG27" s="209"/>
      <c r="WSH27" s="209"/>
      <c r="WSI27" s="209"/>
      <c r="WSJ27" s="209"/>
      <c r="WSK27" s="209"/>
      <c r="WSL27" s="209"/>
      <c r="WSM27" s="209"/>
      <c r="WSN27" s="209"/>
      <c r="WSO27" s="209"/>
      <c r="WSP27" s="209"/>
      <c r="WSQ27" s="209"/>
      <c r="WSR27" s="209"/>
      <c r="WSS27" s="209"/>
      <c r="WST27" s="209"/>
      <c r="WSU27" s="209"/>
      <c r="WSV27" s="209"/>
      <c r="WSW27" s="209"/>
      <c r="WSX27" s="209"/>
      <c r="WSY27" s="209"/>
      <c r="WSZ27" s="209"/>
      <c r="WTA27" s="209"/>
      <c r="WTB27" s="209"/>
      <c r="WTC27" s="209"/>
      <c r="WTD27" s="209"/>
      <c r="WTE27" s="209"/>
      <c r="WTF27" s="209"/>
      <c r="WTG27" s="209"/>
      <c r="WTH27" s="209"/>
      <c r="WTI27" s="209"/>
      <c r="WTJ27" s="209"/>
      <c r="WTK27" s="209"/>
      <c r="WTL27" s="209"/>
      <c r="WTM27" s="209"/>
      <c r="WTN27" s="209"/>
      <c r="WTO27" s="209"/>
      <c r="WTP27" s="209"/>
      <c r="WTQ27" s="209"/>
      <c r="WTR27" s="209"/>
      <c r="WTS27" s="209"/>
      <c r="WTT27" s="209"/>
      <c r="WTU27" s="209"/>
      <c r="WTV27" s="209"/>
      <c r="WTW27" s="209"/>
      <c r="WTX27" s="209"/>
      <c r="WTY27" s="209"/>
      <c r="WTZ27" s="209"/>
      <c r="WUA27" s="209"/>
      <c r="WUB27" s="209"/>
      <c r="WUC27" s="209"/>
      <c r="WUD27" s="209"/>
      <c r="WUE27" s="209"/>
      <c r="WUF27" s="209"/>
      <c r="WUG27" s="209"/>
      <c r="WUH27" s="209"/>
      <c r="WUI27" s="209"/>
      <c r="WUJ27" s="209"/>
      <c r="WUK27" s="209"/>
      <c r="WUL27" s="209"/>
      <c r="WUM27" s="209"/>
      <c r="WUN27" s="209"/>
      <c r="WUO27" s="209"/>
      <c r="WUP27" s="209"/>
      <c r="WUQ27" s="209"/>
      <c r="WUR27" s="209"/>
      <c r="WUS27" s="209"/>
      <c r="WUT27" s="209"/>
      <c r="WUU27" s="209"/>
      <c r="WUV27" s="209"/>
      <c r="WUW27" s="209"/>
      <c r="WUX27" s="209"/>
      <c r="WUY27" s="209"/>
      <c r="WUZ27" s="209"/>
      <c r="WVA27" s="209"/>
      <c r="WVB27" s="209"/>
      <c r="WVC27" s="209"/>
      <c r="WVD27" s="209"/>
      <c r="WVE27" s="209"/>
      <c r="WVF27" s="209"/>
      <c r="WVG27" s="209"/>
      <c r="WVH27" s="209"/>
      <c r="WVI27" s="209"/>
      <c r="WVJ27" s="209"/>
      <c r="WVK27" s="209"/>
      <c r="WVL27" s="209"/>
      <c r="WVM27" s="209"/>
      <c r="WVN27" s="209"/>
      <c r="WVO27" s="209"/>
      <c r="WVP27" s="209"/>
      <c r="WVQ27" s="209"/>
      <c r="WVR27" s="209"/>
      <c r="WVS27" s="209"/>
      <c r="WVT27" s="209"/>
      <c r="WVU27" s="209"/>
      <c r="WVV27" s="209"/>
      <c r="WVW27" s="209"/>
      <c r="WVX27" s="209"/>
      <c r="WVY27" s="209"/>
      <c r="WVZ27" s="209"/>
      <c r="WWA27" s="209"/>
      <c r="WWB27" s="209"/>
      <c r="WWC27" s="209"/>
      <c r="WWD27" s="209"/>
      <c r="WWE27" s="209"/>
      <c r="WWF27" s="209"/>
      <c r="WWG27" s="209"/>
      <c r="WWH27" s="209"/>
      <c r="WWI27" s="209"/>
      <c r="WWJ27" s="209"/>
      <c r="WWK27" s="209"/>
      <c r="WWL27" s="209"/>
      <c r="WWM27" s="209"/>
      <c r="WWN27" s="209"/>
      <c r="WWO27" s="209"/>
      <c r="WWP27" s="209"/>
      <c r="WWQ27" s="209"/>
      <c r="WWR27" s="209"/>
      <c r="WWS27" s="209"/>
      <c r="WWT27" s="209"/>
      <c r="WWU27" s="209"/>
      <c r="WWV27" s="209"/>
      <c r="WWW27" s="209"/>
      <c r="WWX27" s="209"/>
      <c r="WWY27" s="209"/>
      <c r="WWZ27" s="209"/>
      <c r="WXA27" s="209"/>
      <c r="WXB27" s="209"/>
      <c r="WXC27" s="209"/>
      <c r="WXD27" s="209"/>
      <c r="WXE27" s="209"/>
      <c r="WXF27" s="209"/>
      <c r="WXG27" s="209"/>
      <c r="WXH27" s="209"/>
      <c r="WXI27" s="209"/>
      <c r="WXJ27" s="209"/>
      <c r="WXK27" s="209"/>
      <c r="WXL27" s="209"/>
      <c r="WXM27" s="209"/>
      <c r="WXN27" s="209"/>
      <c r="WXO27" s="209"/>
      <c r="WXP27" s="209"/>
      <c r="WXQ27" s="209"/>
      <c r="WXR27" s="209"/>
      <c r="WXS27" s="209"/>
      <c r="WXT27" s="209"/>
      <c r="WXU27" s="209"/>
      <c r="WXV27" s="209"/>
      <c r="WXW27" s="209"/>
      <c r="WXX27" s="209"/>
      <c r="WXY27" s="209"/>
      <c r="WXZ27" s="209"/>
      <c r="WYA27" s="209"/>
      <c r="WYB27" s="209"/>
      <c r="WYC27" s="209"/>
      <c r="WYD27" s="209"/>
      <c r="WYE27" s="209"/>
      <c r="WYF27" s="209"/>
      <c r="WYG27" s="209"/>
      <c r="WYH27" s="209"/>
      <c r="WYI27" s="209"/>
      <c r="WYJ27" s="209"/>
      <c r="WYK27" s="209"/>
      <c r="WYL27" s="209"/>
      <c r="WYM27" s="209"/>
      <c r="WYN27" s="209"/>
      <c r="WYO27" s="209"/>
      <c r="WYP27" s="209"/>
      <c r="WYQ27" s="209"/>
      <c r="WYR27" s="209"/>
      <c r="WYS27" s="209"/>
      <c r="WYT27" s="209"/>
      <c r="WYU27" s="209"/>
      <c r="WYV27" s="209"/>
      <c r="WYW27" s="209"/>
      <c r="WYX27" s="209"/>
      <c r="WYY27" s="209"/>
      <c r="WYZ27" s="209"/>
      <c r="WZA27" s="209"/>
      <c r="WZB27" s="209"/>
      <c r="WZC27" s="209"/>
      <c r="WZD27" s="209"/>
      <c r="WZE27" s="209"/>
      <c r="WZF27" s="209"/>
      <c r="WZG27" s="209"/>
      <c r="WZH27" s="209"/>
      <c r="WZI27" s="209"/>
      <c r="WZJ27" s="209"/>
      <c r="WZK27" s="209"/>
      <c r="WZL27" s="209"/>
      <c r="WZM27" s="209"/>
      <c r="WZN27" s="209"/>
      <c r="WZO27" s="209"/>
      <c r="WZP27" s="209"/>
      <c r="WZQ27" s="209"/>
      <c r="WZR27" s="209"/>
      <c r="WZS27" s="209"/>
      <c r="WZT27" s="209"/>
      <c r="WZU27" s="209"/>
      <c r="WZV27" s="209"/>
      <c r="WZW27" s="209"/>
      <c r="WZX27" s="209"/>
      <c r="WZY27" s="209"/>
      <c r="WZZ27" s="209"/>
      <c r="XAA27" s="209"/>
      <c r="XAB27" s="209"/>
      <c r="XAC27" s="209"/>
      <c r="XAD27" s="209"/>
      <c r="XAE27" s="209"/>
      <c r="XAF27" s="209"/>
      <c r="XAG27" s="209"/>
      <c r="XAH27" s="209"/>
      <c r="XAI27" s="209"/>
      <c r="XAJ27" s="209"/>
      <c r="XAK27" s="209"/>
      <c r="XAL27" s="209"/>
      <c r="XAM27" s="209"/>
      <c r="XAN27" s="209"/>
      <c r="XAO27" s="209"/>
      <c r="XAP27" s="209"/>
      <c r="XAQ27" s="209"/>
      <c r="XAR27" s="209"/>
      <c r="XAS27" s="209"/>
      <c r="XAT27" s="209"/>
      <c r="XAU27" s="209"/>
      <c r="XAV27" s="209"/>
      <c r="XAW27" s="209"/>
      <c r="XAX27" s="209"/>
      <c r="XAY27" s="209"/>
      <c r="XAZ27" s="209"/>
      <c r="XBA27" s="209"/>
      <c r="XBB27" s="209"/>
      <c r="XBC27" s="209"/>
      <c r="XBD27" s="209"/>
      <c r="XBE27" s="209"/>
      <c r="XBF27" s="209"/>
      <c r="XBG27" s="209"/>
      <c r="XBH27" s="209"/>
      <c r="XBI27" s="209"/>
      <c r="XBJ27" s="209"/>
      <c r="XBK27" s="209"/>
      <c r="XBL27" s="209"/>
      <c r="XBM27" s="209"/>
      <c r="XBN27" s="209"/>
      <c r="XBO27" s="209"/>
      <c r="XBP27" s="209"/>
      <c r="XBQ27" s="209"/>
      <c r="XBR27" s="209"/>
      <c r="XBS27" s="209"/>
      <c r="XBT27" s="209"/>
      <c r="XBU27" s="209"/>
      <c r="XBV27" s="209"/>
      <c r="XBW27" s="209"/>
      <c r="XBX27" s="209"/>
      <c r="XBY27" s="209"/>
      <c r="XBZ27" s="209"/>
      <c r="XCA27" s="209"/>
      <c r="XCB27" s="209"/>
      <c r="XCC27" s="209"/>
      <c r="XCD27" s="209"/>
      <c r="XCE27" s="209"/>
      <c r="XCF27" s="209"/>
      <c r="XCG27" s="209"/>
      <c r="XCH27" s="209"/>
      <c r="XCI27" s="209"/>
      <c r="XCJ27" s="209"/>
      <c r="XCK27" s="209"/>
      <c r="XCL27" s="209"/>
      <c r="XCM27" s="209"/>
      <c r="XCN27" s="209"/>
      <c r="XCO27" s="209"/>
      <c r="XCP27" s="209"/>
      <c r="XCQ27" s="209"/>
      <c r="XCR27" s="209"/>
      <c r="XCS27" s="209"/>
      <c r="XCT27" s="209"/>
      <c r="XCU27" s="209"/>
      <c r="XCV27" s="209"/>
      <c r="XCW27" s="209"/>
      <c r="XCX27" s="209"/>
      <c r="XCY27" s="209"/>
      <c r="XCZ27" s="209"/>
      <c r="XDA27" s="209"/>
      <c r="XDB27" s="209"/>
      <c r="XDC27" s="209"/>
      <c r="XDD27" s="209"/>
      <c r="XDE27" s="209"/>
      <c r="XDF27" s="209"/>
      <c r="XDG27" s="209"/>
      <c r="XDH27" s="209"/>
      <c r="XDI27" s="209"/>
      <c r="XDJ27" s="209"/>
      <c r="XDK27" s="209"/>
      <c r="XDL27" s="209"/>
      <c r="XDM27" s="209"/>
      <c r="XDN27" s="209"/>
      <c r="XDO27" s="209"/>
      <c r="XDP27" s="209"/>
      <c r="XDQ27" s="209"/>
      <c r="XDR27" s="209"/>
      <c r="XDS27" s="209"/>
      <c r="XDT27" s="209"/>
      <c r="XDU27" s="209"/>
      <c r="XDV27" s="209"/>
      <c r="XDW27" s="209"/>
      <c r="XDX27" s="209"/>
      <c r="XDY27" s="209"/>
      <c r="XDZ27" s="209"/>
      <c r="XEA27" s="209"/>
      <c r="XEB27" s="209"/>
      <c r="XEC27" s="209"/>
      <c r="XED27" s="209"/>
      <c r="XEE27" s="209"/>
      <c r="XEF27" s="209"/>
      <c r="XEG27" s="209"/>
      <c r="XEH27" s="209"/>
      <c r="XEI27" s="209"/>
      <c r="XEJ27" s="209"/>
      <c r="XEK27" s="209"/>
      <c r="XEL27" s="209"/>
      <c r="XEM27" s="209"/>
      <c r="XEN27" s="209"/>
      <c r="XEO27" s="209"/>
      <c r="XEP27" s="209"/>
      <c r="XEQ27" s="209"/>
      <c r="XER27" s="209"/>
      <c r="XES27" s="209"/>
      <c r="XET27" s="209"/>
      <c r="XEU27" s="209"/>
      <c r="XEV27" s="209"/>
    </row>
    <row r="28" spans="1:16376" s="206" customFormat="1" ht="42" customHeight="1" x14ac:dyDescent="0.25">
      <c r="A28" s="216"/>
      <c r="B28" s="216"/>
      <c r="C28" s="439" t="s">
        <v>2682</v>
      </c>
      <c r="D28" s="439"/>
      <c r="E28" s="439"/>
      <c r="F28" s="439"/>
      <c r="G28" s="439"/>
      <c r="H28" s="439"/>
      <c r="I28" s="439"/>
      <c r="J28" s="439"/>
      <c r="K28" s="439"/>
      <c r="L28" s="439"/>
      <c r="M28" s="439"/>
      <c r="N28" s="439"/>
      <c r="O28" s="439"/>
      <c r="P28" s="439"/>
      <c r="Q28" s="439"/>
      <c r="R28" s="439"/>
      <c r="S28" s="439"/>
      <c r="T28" s="439"/>
      <c r="U28" s="439"/>
      <c r="V28" s="439"/>
      <c r="W28" s="439"/>
      <c r="X28" s="439"/>
      <c r="Y28" s="439"/>
      <c r="Z28" s="439"/>
      <c r="AA28" s="439"/>
      <c r="AB28" s="439"/>
      <c r="AC28" s="439"/>
      <c r="AD28" s="439"/>
      <c r="AE28" s="232"/>
    </row>
    <row r="29" spans="1:16376" s="206" customFormat="1" ht="41.25" customHeight="1" x14ac:dyDescent="0.25">
      <c r="A29" s="216"/>
      <c r="B29" s="216"/>
      <c r="C29" s="439" t="s">
        <v>2683</v>
      </c>
      <c r="D29" s="439"/>
      <c r="E29" s="439"/>
      <c r="F29" s="439"/>
      <c r="G29" s="439"/>
      <c r="H29" s="439"/>
      <c r="I29" s="439"/>
      <c r="J29" s="439"/>
      <c r="K29" s="439"/>
      <c r="L29" s="439"/>
      <c r="M29" s="439"/>
      <c r="N29" s="439"/>
      <c r="O29" s="439"/>
      <c r="P29" s="439"/>
      <c r="Q29" s="439"/>
      <c r="R29" s="439"/>
      <c r="S29" s="439"/>
      <c r="T29" s="439"/>
      <c r="U29" s="439"/>
      <c r="V29" s="439"/>
      <c r="W29" s="439"/>
      <c r="X29" s="439"/>
      <c r="Y29" s="439"/>
      <c r="Z29" s="439"/>
      <c r="AA29" s="439"/>
      <c r="AB29" s="439"/>
      <c r="AC29" s="439"/>
      <c r="AD29" s="439"/>
      <c r="AE29" s="223"/>
    </row>
    <row r="30" spans="1:16376" s="206" customFormat="1" ht="14.25" customHeight="1" x14ac:dyDescent="0.25">
      <c r="A30" s="216"/>
      <c r="B30" s="216"/>
      <c r="C30" s="439" t="s">
        <v>2684</v>
      </c>
      <c r="D30" s="439"/>
      <c r="E30" s="439"/>
      <c r="F30" s="439"/>
      <c r="G30" s="439"/>
      <c r="H30" s="439"/>
      <c r="I30" s="439"/>
      <c r="J30" s="439"/>
      <c r="K30" s="439"/>
      <c r="L30" s="439"/>
      <c r="M30" s="439"/>
      <c r="N30" s="439"/>
      <c r="O30" s="439"/>
      <c r="P30" s="439"/>
      <c r="Q30" s="439"/>
      <c r="R30" s="439"/>
      <c r="S30" s="439"/>
      <c r="T30" s="439"/>
      <c r="U30" s="439"/>
      <c r="V30" s="439"/>
      <c r="W30" s="439"/>
      <c r="X30" s="439"/>
      <c r="Y30" s="439"/>
      <c r="Z30" s="439"/>
      <c r="AA30" s="439"/>
      <c r="AB30" s="439"/>
      <c r="AC30" s="439"/>
      <c r="AD30" s="439"/>
      <c r="AE30" s="232"/>
    </row>
    <row r="31" spans="1:16376" s="206" customFormat="1" ht="15" customHeight="1" x14ac:dyDescent="0.25">
      <c r="A31" s="216"/>
      <c r="B31" s="216"/>
      <c r="C31" s="444" t="s">
        <v>2685</v>
      </c>
      <c r="D31" s="444"/>
      <c r="E31" s="444"/>
      <c r="F31" s="444"/>
      <c r="G31" s="444"/>
      <c r="H31" s="444"/>
      <c r="I31" s="444"/>
      <c r="J31" s="444"/>
      <c r="K31" s="444"/>
      <c r="L31" s="444"/>
      <c r="M31" s="444"/>
      <c r="N31" s="443">
        <f>I25</f>
        <v>165.34873045685276</v>
      </c>
      <c r="O31" s="443"/>
      <c r="P31" s="443"/>
      <c r="Q31" s="223" t="s">
        <v>2470</v>
      </c>
      <c r="S31" s="223"/>
      <c r="T31" s="223"/>
      <c r="U31" s="223"/>
      <c r="V31" s="223"/>
      <c r="W31" s="223"/>
      <c r="X31" s="223"/>
      <c r="Y31" s="223"/>
      <c r="Z31" s="223"/>
      <c r="AA31" s="223"/>
      <c r="AB31" s="223"/>
      <c r="AC31" s="223"/>
      <c r="AD31" s="223"/>
      <c r="AE31" s="223"/>
    </row>
    <row r="32" spans="1:16376" s="203" customFormat="1" ht="4.5" customHeight="1" x14ac:dyDescent="0.25">
      <c r="A32" s="216"/>
      <c r="B32" s="216"/>
      <c r="C32" s="216"/>
      <c r="D32" s="216"/>
      <c r="E32" s="216"/>
      <c r="F32" s="216"/>
      <c r="G32" s="216"/>
      <c r="H32" s="216"/>
      <c r="I32" s="216"/>
      <c r="J32" s="216"/>
      <c r="K32" s="216"/>
      <c r="L32" s="216"/>
      <c r="M32" s="216"/>
      <c r="N32" s="216"/>
      <c r="O32" s="216"/>
      <c r="P32" s="216"/>
      <c r="Q32" s="216"/>
      <c r="R32" s="216"/>
      <c r="S32" s="216"/>
      <c r="T32" s="216"/>
      <c r="U32" s="216"/>
      <c r="V32" s="216"/>
      <c r="W32" s="216"/>
      <c r="X32" s="216"/>
      <c r="Y32" s="216"/>
      <c r="Z32" s="216"/>
      <c r="AA32" s="216"/>
      <c r="AB32" s="216"/>
      <c r="AC32" s="216"/>
      <c r="AD32" s="216"/>
      <c r="AE32" s="216"/>
    </row>
    <row r="33" spans="1:31" s="203" customFormat="1" ht="30.75" customHeight="1" x14ac:dyDescent="0.25">
      <c r="A33" s="437" t="s">
        <v>2686</v>
      </c>
      <c r="B33" s="437"/>
      <c r="C33" s="437"/>
      <c r="D33" s="437"/>
      <c r="E33" s="437"/>
      <c r="F33" s="437"/>
      <c r="G33" s="437"/>
      <c r="H33" s="437"/>
      <c r="I33" s="437"/>
      <c r="J33" s="437"/>
      <c r="K33" s="437"/>
      <c r="L33" s="437"/>
      <c r="M33" s="437"/>
      <c r="N33" s="437"/>
      <c r="O33" s="437"/>
      <c r="P33" s="437"/>
      <c r="Q33" s="437"/>
      <c r="R33" s="437"/>
      <c r="S33" s="437"/>
      <c r="T33" s="437"/>
      <c r="U33" s="437"/>
      <c r="V33" s="437"/>
      <c r="W33" s="437"/>
      <c r="X33" s="437"/>
      <c r="Y33" s="437"/>
      <c r="Z33" s="437"/>
      <c r="AA33" s="437"/>
      <c r="AB33" s="437"/>
      <c r="AC33" s="437"/>
      <c r="AD33" s="437"/>
      <c r="AE33" s="216"/>
    </row>
    <row r="34" spans="1:31" s="203" customFormat="1" ht="4.5" customHeight="1" x14ac:dyDescent="0.25">
      <c r="A34" s="216"/>
      <c r="B34" s="216"/>
      <c r="C34" s="216"/>
      <c r="D34" s="216"/>
      <c r="E34" s="216"/>
      <c r="F34" s="216"/>
      <c r="G34" s="216"/>
      <c r="H34" s="216"/>
      <c r="I34" s="216"/>
      <c r="J34" s="216"/>
      <c r="K34" s="216"/>
      <c r="L34" s="216"/>
      <c r="M34" s="216"/>
      <c r="N34" s="216"/>
      <c r="O34" s="216"/>
      <c r="P34" s="216"/>
      <c r="Q34" s="216"/>
      <c r="R34" s="216"/>
      <c r="S34" s="216"/>
      <c r="T34" s="216"/>
      <c r="U34" s="216"/>
      <c r="V34" s="216"/>
      <c r="W34" s="216"/>
      <c r="X34" s="216"/>
      <c r="Y34" s="216"/>
      <c r="Z34" s="216"/>
      <c r="AA34" s="216"/>
      <c r="AB34" s="216"/>
      <c r="AC34" s="216"/>
      <c r="AD34" s="216"/>
      <c r="AE34" s="216"/>
    </row>
    <row r="35" spans="1:31" s="203" customFormat="1" ht="15.75" customHeight="1" x14ac:dyDescent="0.25">
      <c r="A35" s="438" t="s">
        <v>2687</v>
      </c>
      <c r="B35" s="438"/>
      <c r="C35" s="438"/>
      <c r="D35" s="438">
        <f>'Каталог скважин'!$N$2408</f>
        <v>1034</v>
      </c>
      <c r="E35" s="438"/>
      <c r="F35" s="216" t="s">
        <v>2671</v>
      </c>
      <c r="G35" s="212">
        <f>n_скважин</f>
        <v>197</v>
      </c>
      <c r="H35" s="216" t="s">
        <v>2658</v>
      </c>
      <c r="I35" s="210">
        <f>Параметры!$D$47</f>
        <v>5.248730964467005</v>
      </c>
      <c r="J35" s="216" t="s">
        <v>2435</v>
      </c>
      <c r="L35" s="231"/>
      <c r="O35" s="226"/>
      <c r="P35" s="216"/>
      <c r="Q35" s="216"/>
      <c r="R35" s="216"/>
      <c r="S35" s="216"/>
      <c r="T35" s="216"/>
      <c r="U35" s="216"/>
      <c r="V35" s="216"/>
      <c r="W35" s="216"/>
      <c r="X35" s="216"/>
      <c r="Y35" s="216"/>
      <c r="Z35" s="216"/>
      <c r="AA35" s="216"/>
      <c r="AB35" s="216"/>
      <c r="AC35" s="216"/>
      <c r="AD35" s="216"/>
      <c r="AE35" s="216"/>
    </row>
    <row r="36" spans="1:31" s="203" customFormat="1" ht="6" customHeight="1" x14ac:dyDescent="0.25">
      <c r="A36" s="216"/>
      <c r="B36" s="216"/>
      <c r="C36" s="216"/>
      <c r="D36" s="216"/>
      <c r="E36" s="216"/>
      <c r="F36" s="216"/>
      <c r="G36" s="216"/>
      <c r="H36" s="216"/>
      <c r="I36" s="216"/>
      <c r="J36" s="216"/>
      <c r="K36" s="216"/>
      <c r="L36" s="216"/>
      <c r="M36" s="216"/>
      <c r="N36" s="216"/>
      <c r="O36" s="216"/>
      <c r="P36" s="216"/>
      <c r="Q36" s="216"/>
      <c r="R36" s="216"/>
      <c r="S36" s="216"/>
      <c r="T36" s="216"/>
      <c r="U36" s="216"/>
      <c r="V36" s="216"/>
      <c r="W36" s="216"/>
      <c r="X36" s="216"/>
      <c r="Y36" s="216"/>
      <c r="Z36" s="216"/>
      <c r="AA36" s="216"/>
      <c r="AB36" s="216"/>
      <c r="AC36" s="216"/>
      <c r="AD36" s="216"/>
      <c r="AE36" s="216"/>
    </row>
    <row r="37" spans="1:31" s="203" customFormat="1" ht="15.75" customHeight="1" x14ac:dyDescent="0.25">
      <c r="A37" s="436" t="s">
        <v>2688</v>
      </c>
      <c r="B37" s="436"/>
      <c r="C37" s="436"/>
      <c r="D37" s="436"/>
      <c r="E37" s="436"/>
      <c r="F37" s="436"/>
      <c r="G37" s="436"/>
      <c r="H37" s="436"/>
      <c r="I37" s="436"/>
      <c r="J37" s="436"/>
      <c r="K37" s="436"/>
      <c r="L37" s="436"/>
      <c r="M37" s="436"/>
      <c r="N37" s="436"/>
      <c r="O37" s="436"/>
      <c r="P37" s="436"/>
      <c r="Q37" s="436"/>
      <c r="R37" s="436"/>
      <c r="S37" s="436"/>
      <c r="T37" s="436"/>
      <c r="U37" s="436"/>
      <c r="V37" s="436"/>
      <c r="W37" s="436"/>
      <c r="X37" s="216"/>
      <c r="Y37" s="216"/>
      <c r="Z37" s="216"/>
      <c r="AA37" s="216"/>
      <c r="AB37" s="216"/>
      <c r="AC37" s="216"/>
      <c r="AD37" s="216"/>
      <c r="AE37" s="216"/>
    </row>
    <row r="38" spans="1:31" s="203" customFormat="1" ht="15.75" customHeight="1" x14ac:dyDescent="0.25">
      <c r="A38" s="436" t="s">
        <v>2689</v>
      </c>
      <c r="B38" s="436"/>
      <c r="C38" s="436"/>
      <c r="D38" s="436"/>
      <c r="E38" s="436"/>
      <c r="F38" s="436"/>
      <c r="G38" s="436"/>
      <c r="H38" s="436"/>
      <c r="I38" s="436"/>
      <c r="J38" s="436"/>
      <c r="K38" s="436"/>
      <c r="L38" s="436"/>
      <c r="M38" s="436"/>
      <c r="N38" s="436"/>
      <c r="O38" s="436"/>
      <c r="P38" s="436"/>
      <c r="Q38" s="436"/>
      <c r="R38" s="436"/>
      <c r="S38" s="436"/>
      <c r="T38" s="436"/>
      <c r="U38" s="436"/>
      <c r="V38" s="436"/>
      <c r="W38" s="436"/>
      <c r="X38" s="436"/>
      <c r="Y38" s="436"/>
      <c r="Z38" s="436"/>
      <c r="AA38" s="436"/>
      <c r="AB38" s="436"/>
      <c r="AC38" s="436"/>
      <c r="AD38" s="436"/>
      <c r="AE38" s="436"/>
    </row>
    <row r="39" spans="1:31" s="203" customFormat="1" ht="3" customHeight="1" x14ac:dyDescent="0.25">
      <c r="A39" s="216"/>
      <c r="B39" s="216"/>
      <c r="C39" s="216"/>
      <c r="D39" s="216"/>
      <c r="E39" s="216"/>
      <c r="F39" s="216"/>
      <c r="G39" s="216"/>
      <c r="H39" s="216"/>
      <c r="I39" s="216"/>
      <c r="J39" s="216"/>
      <c r="K39" s="216"/>
      <c r="L39" s="216"/>
      <c r="M39" s="216"/>
      <c r="N39" s="216"/>
      <c r="O39" s="216"/>
      <c r="P39" s="216"/>
      <c r="Q39" s="216"/>
      <c r="R39" s="216"/>
      <c r="S39" s="216"/>
      <c r="T39" s="216"/>
      <c r="U39" s="216"/>
      <c r="V39" s="216"/>
      <c r="W39" s="216"/>
      <c r="X39" s="216"/>
      <c r="Y39" s="216"/>
      <c r="Z39" s="216"/>
      <c r="AA39" s="216"/>
      <c r="AB39" s="216"/>
      <c r="AC39" s="216"/>
      <c r="AD39" s="216"/>
      <c r="AE39" s="216"/>
    </row>
    <row r="40" spans="1:31" s="203" customFormat="1" ht="15.75" customHeight="1" x14ac:dyDescent="0.25">
      <c r="A40" s="436" t="s">
        <v>2690</v>
      </c>
      <c r="B40" s="436"/>
      <c r="C40" s="436"/>
      <c r="D40" s="436"/>
      <c r="E40" s="436"/>
      <c r="F40" s="436"/>
      <c r="G40" s="436"/>
      <c r="H40" s="436"/>
      <c r="I40" s="436"/>
      <c r="J40" s="436"/>
      <c r="K40" s="436"/>
      <c r="L40" s="436"/>
      <c r="M40" s="436"/>
      <c r="N40" s="436"/>
      <c r="O40" s="436"/>
      <c r="P40" s="436"/>
      <c r="Q40" s="436"/>
      <c r="R40" s="436"/>
      <c r="S40" s="436"/>
      <c r="T40" s="436"/>
      <c r="U40" s="436"/>
      <c r="V40" s="436"/>
      <c r="W40" s="436"/>
      <c r="X40" s="436"/>
      <c r="Y40" s="436"/>
      <c r="Z40" s="436"/>
      <c r="AA40" s="436"/>
      <c r="AB40" s="436"/>
      <c r="AC40" s="436"/>
      <c r="AD40" s="436"/>
      <c r="AE40" s="207"/>
    </row>
    <row r="41" spans="1:31" s="203" customFormat="1" ht="4.5" customHeight="1" x14ac:dyDescent="0.25">
      <c r="A41" s="216"/>
      <c r="B41" s="216"/>
      <c r="C41" s="216"/>
      <c r="D41" s="216"/>
      <c r="E41" s="216"/>
      <c r="F41" s="216"/>
      <c r="G41" s="216"/>
      <c r="H41" s="216"/>
      <c r="I41" s="216"/>
      <c r="J41" s="216"/>
      <c r="K41" s="216"/>
      <c r="L41" s="216"/>
      <c r="M41" s="216"/>
      <c r="N41" s="216"/>
      <c r="O41" s="216"/>
      <c r="P41" s="216"/>
      <c r="Q41" s="216"/>
      <c r="R41" s="216"/>
      <c r="S41" s="216"/>
      <c r="T41" s="216"/>
      <c r="U41" s="216"/>
      <c r="V41" s="216"/>
      <c r="W41" s="216"/>
      <c r="X41" s="216"/>
      <c r="Y41" s="216"/>
      <c r="Z41" s="216"/>
      <c r="AA41" s="216"/>
      <c r="AB41" s="216"/>
      <c r="AC41" s="216"/>
      <c r="AD41" s="216"/>
      <c r="AE41" s="216"/>
    </row>
    <row r="42" spans="1:31" s="203" customFormat="1" ht="15.75" customHeight="1" x14ac:dyDescent="0.25">
      <c r="A42" s="438" t="s">
        <v>2691</v>
      </c>
      <c r="B42" s="438"/>
      <c r="C42" s="438"/>
      <c r="D42" s="214">
        <f>'Каталог скважин'!$F$2408</f>
        <v>394</v>
      </c>
      <c r="E42" s="216" t="s">
        <v>2671</v>
      </c>
      <c r="F42" s="455">
        <f>n_скважин</f>
        <v>197</v>
      </c>
      <c r="G42" s="455"/>
      <c r="H42" s="216" t="s">
        <v>2658</v>
      </c>
      <c r="I42" s="210">
        <f>Параметры!$D$48</f>
        <v>2</v>
      </c>
      <c r="J42" s="216" t="s">
        <v>2435</v>
      </c>
      <c r="M42" s="226"/>
      <c r="O42" s="216"/>
      <c r="P42" s="216"/>
      <c r="Q42" s="216"/>
      <c r="R42" s="216"/>
      <c r="S42" s="216"/>
      <c r="T42" s="216"/>
      <c r="U42" s="216"/>
      <c r="V42" s="216"/>
      <c r="W42" s="216"/>
      <c r="X42" s="216"/>
      <c r="Y42" s="216"/>
      <c r="Z42" s="216"/>
      <c r="AA42" s="216"/>
      <c r="AB42" s="216"/>
      <c r="AC42" s="216"/>
      <c r="AD42" s="216"/>
      <c r="AE42" s="216"/>
    </row>
    <row r="43" spans="1:31" s="203" customFormat="1" ht="3" customHeight="1" x14ac:dyDescent="0.25">
      <c r="A43" s="216"/>
      <c r="B43" s="216"/>
      <c r="C43" s="216"/>
      <c r="D43" s="216"/>
      <c r="E43" s="216"/>
      <c r="F43" s="216"/>
      <c r="G43" s="216"/>
      <c r="H43" s="216"/>
      <c r="I43" s="216"/>
      <c r="J43" s="216"/>
      <c r="K43" s="216"/>
      <c r="L43" s="216"/>
      <c r="M43" s="216"/>
      <c r="N43" s="216"/>
      <c r="O43" s="216"/>
      <c r="P43" s="216"/>
      <c r="Q43" s="216"/>
      <c r="R43" s="216"/>
      <c r="S43" s="216"/>
      <c r="T43" s="216"/>
      <c r="U43" s="216"/>
      <c r="V43" s="216"/>
      <c r="W43" s="216"/>
      <c r="X43" s="216"/>
      <c r="Y43" s="216"/>
      <c r="Z43" s="216"/>
      <c r="AA43" s="216"/>
      <c r="AB43" s="216"/>
      <c r="AC43" s="216"/>
      <c r="AD43" s="216"/>
      <c r="AE43" s="216"/>
    </row>
    <row r="44" spans="1:31" s="203" customFormat="1" ht="15.75" customHeight="1" x14ac:dyDescent="0.25">
      <c r="A44" s="207" t="s">
        <v>2692</v>
      </c>
      <c r="B44" s="207"/>
      <c r="O44" s="216"/>
      <c r="P44" s="216"/>
      <c r="Q44" s="216"/>
      <c r="R44" s="216"/>
      <c r="S44" s="216"/>
      <c r="T44" s="216"/>
      <c r="U44" s="216"/>
      <c r="V44" s="216"/>
      <c r="W44" s="216"/>
      <c r="X44" s="216"/>
      <c r="Y44" s="216"/>
      <c r="Z44" s="216"/>
      <c r="AA44" s="216"/>
      <c r="AB44" s="216"/>
      <c r="AC44" s="216"/>
      <c r="AD44" s="216"/>
      <c r="AE44" s="216"/>
    </row>
    <row r="45" spans="1:31" s="203" customFormat="1" ht="15.75" customHeight="1" x14ac:dyDescent="0.25">
      <c r="B45" s="207"/>
      <c r="C45" s="207" t="s">
        <v>2693</v>
      </c>
      <c r="D45" s="207"/>
      <c r="E45" s="207"/>
      <c r="F45" s="207"/>
      <c r="G45" s="207"/>
      <c r="H45" s="207"/>
      <c r="I45" s="207"/>
      <c r="J45" s="207"/>
      <c r="K45" s="207"/>
      <c r="L45" s="207"/>
      <c r="M45" s="216"/>
      <c r="N45" s="216"/>
      <c r="O45" s="216"/>
      <c r="P45" s="216"/>
      <c r="Q45" s="216"/>
      <c r="R45" s="216"/>
      <c r="S45" s="216"/>
      <c r="T45" s="216"/>
      <c r="U45" s="216"/>
      <c r="V45" s="216"/>
      <c r="W45" s="216"/>
      <c r="X45" s="216"/>
      <c r="Y45" s="216"/>
      <c r="Z45" s="216"/>
      <c r="AA45" s="216"/>
      <c r="AB45" s="216"/>
      <c r="AC45" s="216"/>
      <c r="AD45" s="216"/>
      <c r="AE45" s="216"/>
    </row>
    <row r="46" spans="1:31" s="203" customFormat="1" ht="3.75" customHeight="1" x14ac:dyDescent="0.25">
      <c r="A46" s="216"/>
      <c r="B46" s="216"/>
      <c r="C46" s="216"/>
      <c r="D46" s="216"/>
      <c r="E46" s="216"/>
      <c r="F46" s="216"/>
      <c r="G46" s="216"/>
      <c r="H46" s="216"/>
      <c r="I46" s="216"/>
      <c r="J46" s="216"/>
      <c r="K46" s="216"/>
      <c r="L46" s="216"/>
      <c r="M46" s="216"/>
      <c r="N46" s="216"/>
      <c r="O46" s="216"/>
      <c r="P46" s="216"/>
      <c r="Q46" s="216"/>
      <c r="R46" s="216"/>
      <c r="S46" s="216"/>
      <c r="T46" s="216"/>
      <c r="U46" s="216"/>
      <c r="V46" s="216"/>
      <c r="W46" s="216"/>
      <c r="X46" s="216"/>
      <c r="Y46" s="216"/>
      <c r="Z46" s="216"/>
      <c r="AA46" s="216"/>
      <c r="AB46" s="216"/>
      <c r="AC46" s="216"/>
      <c r="AD46" s="216"/>
      <c r="AE46" s="216"/>
    </row>
    <row r="47" spans="1:31" s="203" customFormat="1" ht="15.75" customHeight="1" x14ac:dyDescent="0.25">
      <c r="A47" s="216" t="s">
        <v>2694</v>
      </c>
      <c r="B47" s="216"/>
      <c r="C47" s="216"/>
      <c r="D47" s="216"/>
      <c r="E47" s="216"/>
      <c r="F47" s="216"/>
      <c r="G47" s="216"/>
      <c r="H47" s="216"/>
      <c r="I47" s="216"/>
      <c r="J47" s="216"/>
      <c r="K47" s="216"/>
      <c r="L47" s="216"/>
      <c r="M47" s="216"/>
      <c r="N47" s="216"/>
      <c r="O47" s="216"/>
      <c r="P47" s="216"/>
      <c r="Q47" s="216"/>
      <c r="R47" s="216"/>
      <c r="S47" s="216"/>
      <c r="T47" s="216"/>
      <c r="U47" s="216"/>
      <c r="V47" s="216"/>
      <c r="W47" s="216"/>
      <c r="X47" s="216"/>
      <c r="Y47" s="216"/>
      <c r="Z47" s="216"/>
      <c r="AA47" s="216"/>
      <c r="AB47" s="216"/>
      <c r="AC47" s="216"/>
      <c r="AD47" s="216"/>
      <c r="AE47" s="216"/>
    </row>
    <row r="48" spans="1:31" s="203" customFormat="1" ht="3.75" customHeight="1" x14ac:dyDescent="0.25">
      <c r="A48" s="216"/>
      <c r="B48" s="216"/>
      <c r="C48" s="216"/>
      <c r="D48" s="216"/>
      <c r="E48" s="216"/>
      <c r="F48" s="216"/>
      <c r="G48" s="216"/>
      <c r="H48" s="216"/>
      <c r="I48" s="216"/>
      <c r="J48" s="216"/>
      <c r="K48" s="216"/>
      <c r="L48" s="216"/>
      <c r="M48" s="216"/>
      <c r="N48" s="216"/>
      <c r="O48" s="216"/>
      <c r="P48" s="216"/>
      <c r="Q48" s="216"/>
      <c r="R48" s="216"/>
      <c r="S48" s="216"/>
      <c r="T48" s="216"/>
      <c r="U48" s="216"/>
      <c r="V48" s="216"/>
      <c r="W48" s="216"/>
      <c r="X48" s="216"/>
      <c r="Y48" s="216"/>
      <c r="Z48" s="216"/>
      <c r="AA48" s="216"/>
      <c r="AB48" s="216"/>
      <c r="AC48" s="216"/>
      <c r="AD48" s="216"/>
      <c r="AE48" s="216"/>
    </row>
    <row r="49" spans="1:31" s="203" customFormat="1" ht="15.75" customHeight="1" x14ac:dyDescent="0.25">
      <c r="A49" s="216"/>
      <c r="B49" s="216"/>
      <c r="C49" s="216"/>
      <c r="D49" s="216" t="s">
        <v>2695</v>
      </c>
      <c r="E49" s="216"/>
      <c r="F49" s="216"/>
      <c r="G49" s="216"/>
      <c r="H49" s="216">
        <f>Параметры!$D$33</f>
        <v>5.5</v>
      </c>
      <c r="I49" s="216" t="s">
        <v>2656</v>
      </c>
      <c r="J49" s="216">
        <f>Параметры!$D$34</f>
        <v>5</v>
      </c>
      <c r="K49" s="216" t="s">
        <v>2658</v>
      </c>
      <c r="L49" s="216">
        <f>H49*J49</f>
        <v>27.5</v>
      </c>
      <c r="M49" s="216" t="s">
        <v>2696</v>
      </c>
      <c r="N49" s="216"/>
      <c r="O49" s="216"/>
      <c r="P49" s="216"/>
      <c r="Q49" s="216"/>
      <c r="R49" s="216"/>
      <c r="S49" s="216"/>
      <c r="T49" s="216"/>
      <c r="U49" s="216"/>
      <c r="V49" s="216"/>
      <c r="W49" s="216"/>
      <c r="X49" s="216"/>
      <c r="Y49" s="216"/>
      <c r="Z49" s="216"/>
      <c r="AA49" s="216"/>
      <c r="AB49" s="216"/>
      <c r="AC49" s="216"/>
      <c r="AD49" s="216"/>
      <c r="AE49" s="216"/>
    </row>
    <row r="50" spans="1:31" s="203" customFormat="1" ht="4.5" customHeight="1" x14ac:dyDescent="0.25">
      <c r="A50" s="216"/>
      <c r="B50" s="216"/>
      <c r="C50" s="216"/>
      <c r="D50" s="216"/>
      <c r="E50" s="216"/>
      <c r="F50" s="216"/>
      <c r="G50" s="216"/>
      <c r="H50" s="216"/>
      <c r="I50" s="216"/>
      <c r="J50" s="216"/>
      <c r="K50" s="216"/>
      <c r="L50" s="216"/>
      <c r="M50" s="216"/>
      <c r="N50" s="216"/>
      <c r="O50" s="216"/>
      <c r="P50" s="216"/>
      <c r="Q50" s="216"/>
      <c r="R50" s="216"/>
      <c r="S50" s="216"/>
      <c r="T50" s="216"/>
      <c r="U50" s="216"/>
      <c r="V50" s="216"/>
      <c r="W50" s="216"/>
      <c r="X50" s="216"/>
      <c r="Y50" s="216"/>
      <c r="Z50" s="216"/>
      <c r="AA50" s="216"/>
      <c r="AB50" s="216"/>
      <c r="AC50" s="216"/>
      <c r="AD50" s="216"/>
      <c r="AE50" s="216"/>
    </row>
    <row r="51" spans="1:31" s="203" customFormat="1" ht="15.75" customHeight="1" x14ac:dyDescent="0.25">
      <c r="A51" s="207" t="s">
        <v>2873</v>
      </c>
      <c r="B51" s="207"/>
      <c r="C51" s="207" t="s">
        <v>2874</v>
      </c>
      <c r="D51" s="207"/>
      <c r="E51" s="207"/>
      <c r="F51" s="207"/>
      <c r="G51" s="207"/>
      <c r="H51" s="207"/>
      <c r="I51" s="207"/>
      <c r="J51" s="207"/>
      <c r="K51" s="207"/>
      <c r="L51" s="207"/>
      <c r="M51" s="207"/>
      <c r="N51" s="207"/>
      <c r="O51" s="207"/>
      <c r="P51" s="207"/>
      <c r="Q51" s="207"/>
      <c r="R51" s="207"/>
      <c r="S51" s="207"/>
      <c r="T51" s="207"/>
      <c r="U51" s="207"/>
      <c r="V51" s="207"/>
      <c r="W51" s="207"/>
      <c r="X51" s="216"/>
      <c r="Y51" s="216"/>
      <c r="Z51" s="216"/>
      <c r="AA51" s="216"/>
      <c r="AB51" s="216"/>
      <c r="AC51" s="216"/>
      <c r="AD51" s="216"/>
      <c r="AE51" s="216"/>
    </row>
    <row r="52" spans="1:31" s="203" customFormat="1" ht="15.75" customHeight="1" x14ac:dyDescent="0.25">
      <c r="A52" s="216"/>
      <c r="B52" s="216"/>
      <c r="C52" s="216" t="s">
        <v>2697</v>
      </c>
      <c r="D52" s="216"/>
      <c r="E52" s="216"/>
      <c r="F52" s="216"/>
      <c r="G52" s="216"/>
      <c r="H52" s="216"/>
      <c r="I52" s="216"/>
      <c r="J52" s="216"/>
      <c r="K52" s="216"/>
      <c r="L52" s="216"/>
      <c r="M52" s="216"/>
      <c r="N52" s="216"/>
      <c r="O52" s="216"/>
      <c r="P52" s="216"/>
      <c r="Q52" s="216"/>
      <c r="R52" s="216"/>
      <c r="S52" s="216"/>
      <c r="T52" s="216"/>
      <c r="U52" s="216"/>
      <c r="V52" s="216"/>
      <c r="W52" s="216"/>
      <c r="X52" s="216"/>
      <c r="Y52" s="216"/>
      <c r="Z52" s="216"/>
      <c r="AA52" s="216"/>
      <c r="AB52" s="216"/>
      <c r="AC52" s="216"/>
      <c r="AD52" s="216"/>
      <c r="AE52" s="216"/>
    </row>
    <row r="53" spans="1:31" s="203" customFormat="1" ht="3.75" customHeight="1" x14ac:dyDescent="0.25">
      <c r="A53" s="216"/>
      <c r="B53" s="216"/>
      <c r="C53" s="216"/>
      <c r="D53" s="216"/>
      <c r="E53" s="216"/>
      <c r="F53" s="216"/>
      <c r="G53" s="216"/>
      <c r="H53" s="216"/>
      <c r="I53" s="216"/>
      <c r="J53" s="216"/>
      <c r="K53" s="216"/>
      <c r="L53" s="216"/>
      <c r="M53" s="216"/>
      <c r="N53" s="216"/>
      <c r="O53" s="216"/>
      <c r="P53" s="216"/>
      <c r="Q53" s="216"/>
      <c r="R53" s="216"/>
      <c r="S53" s="216"/>
      <c r="T53" s="216"/>
      <c r="U53" s="216"/>
      <c r="V53" s="216"/>
      <c r="W53" s="216"/>
      <c r="X53" s="216"/>
      <c r="Y53" s="216"/>
      <c r="Z53" s="216"/>
      <c r="AA53" s="216"/>
      <c r="AB53" s="216"/>
      <c r="AC53" s="216"/>
      <c r="AD53" s="216"/>
      <c r="AE53" s="216"/>
    </row>
    <row r="54" spans="1:31" s="203" customFormat="1" ht="15.75" customHeight="1" x14ac:dyDescent="0.25">
      <c r="A54" s="216" t="s">
        <v>2698</v>
      </c>
      <c r="B54" s="216"/>
      <c r="C54" s="216"/>
      <c r="D54" s="216"/>
      <c r="E54" s="216"/>
      <c r="F54" s="216"/>
      <c r="G54" s="216"/>
      <c r="H54" s="216"/>
      <c r="I54" s="216"/>
      <c r="J54" s="216"/>
      <c r="K54" s="216"/>
      <c r="L54" s="216"/>
      <c r="M54" s="216"/>
      <c r="N54" s="216"/>
      <c r="O54" s="216"/>
      <c r="P54" s="216"/>
      <c r="Q54" s="216"/>
      <c r="R54" s="216"/>
      <c r="S54" s="216"/>
      <c r="T54" s="216"/>
      <c r="U54" s="216"/>
      <c r="V54" s="216"/>
      <c r="W54" s="216"/>
      <c r="X54" s="216"/>
      <c r="Y54" s="216"/>
      <c r="Z54" s="216"/>
      <c r="AA54" s="216"/>
      <c r="AB54" s="216"/>
      <c r="AC54" s="216"/>
      <c r="AD54" s="216"/>
      <c r="AE54" s="216"/>
    </row>
    <row r="55" spans="1:31" s="203" customFormat="1" ht="4.5" customHeight="1" x14ac:dyDescent="0.25">
      <c r="A55" s="216"/>
      <c r="B55" s="216"/>
      <c r="C55" s="216"/>
      <c r="D55" s="216"/>
      <c r="E55" s="216"/>
      <c r="F55" s="216"/>
      <c r="G55" s="216"/>
      <c r="H55" s="216"/>
      <c r="I55" s="216"/>
      <c r="J55" s="216"/>
      <c r="K55" s="216"/>
      <c r="L55" s="216"/>
      <c r="M55" s="216"/>
      <c r="N55" s="216"/>
      <c r="O55" s="216"/>
      <c r="P55" s="216"/>
      <c r="Q55" s="216"/>
      <c r="R55" s="216"/>
      <c r="S55" s="216"/>
      <c r="T55" s="216"/>
      <c r="U55" s="216"/>
      <c r="V55" s="216"/>
      <c r="W55" s="216"/>
      <c r="X55" s="216"/>
      <c r="Y55" s="216"/>
      <c r="Z55" s="216"/>
      <c r="AA55" s="216"/>
      <c r="AB55" s="216"/>
      <c r="AC55" s="216"/>
      <c r="AD55" s="216"/>
      <c r="AE55" s="216"/>
    </row>
    <row r="56" spans="1:31" s="203" customFormat="1" ht="15.75" customHeight="1" x14ac:dyDescent="0.25">
      <c r="A56" s="438" t="s">
        <v>2699</v>
      </c>
      <c r="B56" s="438"/>
      <c r="C56" s="438"/>
      <c r="D56" s="438"/>
      <c r="E56" s="438"/>
      <c r="F56" s="440">
        <f>Параметры!$D$42</f>
        <v>21457.11350253813</v>
      </c>
      <c r="G56" s="440"/>
      <c r="H56" s="216" t="s">
        <v>2671</v>
      </c>
      <c r="I56" s="440">
        <f>Параметры!$D$43</f>
        <v>1428</v>
      </c>
      <c r="J56" s="440"/>
      <c r="K56" s="224" t="s">
        <v>2658</v>
      </c>
      <c r="L56" s="450">
        <f>F56/I56</f>
        <v>15.025989847715778</v>
      </c>
      <c r="M56" s="450"/>
      <c r="N56" s="450"/>
      <c r="O56" s="441" t="s">
        <v>2450</v>
      </c>
      <c r="P56" s="441"/>
      <c r="Q56" s="441"/>
      <c r="R56" s="441"/>
      <c r="S56" s="441"/>
      <c r="T56" s="207"/>
      <c r="U56" s="207"/>
      <c r="V56" s="216"/>
      <c r="W56" s="216"/>
      <c r="X56" s="216"/>
      <c r="Y56" s="216"/>
      <c r="Z56" s="216"/>
      <c r="AA56" s="216"/>
      <c r="AB56" s="216"/>
      <c r="AC56" s="216"/>
      <c r="AD56" s="216"/>
      <c r="AE56" s="216"/>
    </row>
    <row r="57" spans="1:31" s="203" customFormat="1" ht="4.5" customHeight="1" x14ac:dyDescent="0.25">
      <c r="A57" s="216"/>
      <c r="B57" s="216"/>
      <c r="C57" s="216"/>
      <c r="D57" s="216"/>
      <c r="E57" s="216"/>
      <c r="F57" s="216"/>
      <c r="G57" s="216"/>
      <c r="H57" s="216"/>
      <c r="I57" s="216"/>
      <c r="J57" s="216"/>
      <c r="K57" s="216"/>
      <c r="L57" s="216"/>
      <c r="M57" s="216"/>
      <c r="N57" s="216"/>
      <c r="O57" s="216"/>
      <c r="P57" s="216"/>
      <c r="Q57" s="216"/>
      <c r="R57" s="216"/>
      <c r="S57" s="216"/>
      <c r="T57" s="216"/>
      <c r="U57" s="216"/>
      <c r="V57" s="216"/>
      <c r="W57" s="216"/>
      <c r="X57" s="216"/>
      <c r="Y57" s="216"/>
      <c r="Z57" s="216"/>
      <c r="AA57" s="216"/>
      <c r="AB57" s="216"/>
      <c r="AC57" s="216"/>
      <c r="AD57" s="216"/>
      <c r="AE57" s="216"/>
    </row>
    <row r="58" spans="1:31" s="203" customFormat="1" hidden="1" x14ac:dyDescent="0.25">
      <c r="A58" s="444" t="s">
        <v>2875</v>
      </c>
      <c r="B58" s="444"/>
      <c r="C58" s="444"/>
      <c r="D58" s="444"/>
      <c r="E58" s="444"/>
      <c r="F58" s="444"/>
      <c r="G58" s="444"/>
      <c r="H58" s="444"/>
      <c r="I58" s="444"/>
      <c r="J58" s="444"/>
      <c r="K58" s="444"/>
      <c r="L58" s="444"/>
      <c r="M58" s="444"/>
      <c r="N58" s="444"/>
      <c r="O58" s="444"/>
      <c r="P58" s="444"/>
      <c r="Q58" s="444"/>
      <c r="R58" s="444"/>
      <c r="S58" s="444"/>
      <c r="T58" s="444"/>
      <c r="U58" s="444"/>
      <c r="V58" s="444"/>
      <c r="W58" s="444"/>
      <c r="X58" s="444"/>
      <c r="Y58" s="444"/>
      <c r="Z58" s="444"/>
      <c r="AA58" s="444"/>
      <c r="AB58" s="444"/>
      <c r="AC58" s="444"/>
      <c r="AD58" s="444"/>
      <c r="AE58" s="444"/>
    </row>
    <row r="59" spans="1:31" s="203" customFormat="1" hidden="1" x14ac:dyDescent="0.25">
      <c r="A59" s="444" t="s">
        <v>2872</v>
      </c>
      <c r="B59" s="444"/>
      <c r="C59" s="444"/>
      <c r="D59" s="444"/>
      <c r="E59" s="444"/>
      <c r="F59" s="444"/>
      <c r="G59" s="444"/>
      <c r="H59" s="444"/>
      <c r="I59" s="444"/>
      <c r="J59" s="444"/>
      <c r="K59" s="444"/>
      <c r="L59" s="444"/>
      <c r="M59" s="444"/>
      <c r="N59" s="444"/>
      <c r="O59" s="444"/>
      <c r="P59" s="444"/>
      <c r="Q59" s="444"/>
      <c r="R59" s="444"/>
      <c r="S59" s="444"/>
      <c r="T59" s="444"/>
      <c r="U59" s="444"/>
      <c r="V59" s="444"/>
      <c r="W59" s="444"/>
      <c r="X59" s="444"/>
      <c r="Y59" s="444"/>
      <c r="Z59" s="444"/>
      <c r="AA59" s="444"/>
      <c r="AB59" s="444"/>
      <c r="AC59" s="444"/>
      <c r="AD59" s="444"/>
      <c r="AE59" s="222"/>
    </row>
    <row r="60" spans="1:31" s="203" customFormat="1" ht="30" customHeight="1" x14ac:dyDescent="0.25">
      <c r="A60" s="439" t="s">
        <v>2700</v>
      </c>
      <c r="B60" s="439"/>
      <c r="C60" s="439"/>
      <c r="D60" s="439"/>
      <c r="E60" s="439"/>
      <c r="F60" s="439"/>
      <c r="G60" s="439"/>
      <c r="H60" s="439"/>
      <c r="I60" s="439"/>
      <c r="J60" s="439"/>
      <c r="K60" s="439"/>
      <c r="L60" s="439"/>
      <c r="M60" s="439"/>
      <c r="N60" s="439"/>
      <c r="O60" s="439"/>
      <c r="P60" s="439"/>
      <c r="Q60" s="439"/>
      <c r="R60" s="439"/>
      <c r="S60" s="439"/>
      <c r="T60" s="439"/>
      <c r="U60" s="439"/>
      <c r="V60" s="439"/>
      <c r="W60" s="439"/>
      <c r="X60" s="439"/>
      <c r="Y60" s="439"/>
      <c r="Z60" s="439"/>
      <c r="AA60" s="439"/>
      <c r="AB60" s="439"/>
      <c r="AC60" s="439"/>
      <c r="AD60" s="439"/>
      <c r="AE60" s="223"/>
    </row>
    <row r="61" spans="1:31" s="203" customFormat="1" ht="15.75" customHeight="1" x14ac:dyDescent="0.25">
      <c r="A61" s="216"/>
      <c r="B61" s="436" t="s">
        <v>2701</v>
      </c>
      <c r="C61" s="436"/>
      <c r="D61" s="436"/>
      <c r="E61" s="436"/>
      <c r="F61" s="436"/>
      <c r="G61" s="436"/>
      <c r="H61" s="436"/>
      <c r="I61" s="436"/>
      <c r="J61" s="436"/>
      <c r="K61" s="216"/>
      <c r="L61" s="216"/>
      <c r="M61" s="216"/>
      <c r="N61" s="216"/>
      <c r="O61" s="216"/>
      <c r="P61" s="216"/>
      <c r="Q61" s="216"/>
      <c r="R61" s="216"/>
      <c r="S61" s="216"/>
      <c r="T61" s="216"/>
      <c r="U61" s="216"/>
      <c r="V61" s="216"/>
      <c r="W61" s="216"/>
      <c r="X61" s="216"/>
      <c r="Y61" s="216"/>
      <c r="Z61" s="216"/>
      <c r="AA61" s="216"/>
      <c r="AB61" s="216"/>
      <c r="AC61" s="216"/>
      <c r="AD61" s="216"/>
      <c r="AE61" s="216"/>
    </row>
    <row r="62" spans="1:31" s="203" customFormat="1" ht="4.5" customHeight="1" x14ac:dyDescent="0.25">
      <c r="A62" s="216"/>
      <c r="B62" s="216"/>
      <c r="C62" s="216"/>
      <c r="D62" s="216"/>
      <c r="E62" s="216"/>
      <c r="F62" s="216"/>
      <c r="G62" s="216"/>
      <c r="H62" s="216"/>
      <c r="I62" s="216"/>
      <c r="J62" s="216"/>
      <c r="K62" s="216"/>
      <c r="L62" s="216"/>
      <c r="M62" s="216"/>
      <c r="N62" s="216"/>
      <c r="O62" s="216"/>
      <c r="P62" s="216"/>
      <c r="Q62" s="216"/>
      <c r="R62" s="216"/>
      <c r="S62" s="216"/>
      <c r="T62" s="216"/>
      <c r="U62" s="216"/>
      <c r="V62" s="216"/>
      <c r="W62" s="216"/>
      <c r="X62" s="216"/>
      <c r="Y62" s="216"/>
      <c r="Z62" s="216"/>
      <c r="AA62" s="216"/>
      <c r="AB62" s="216"/>
      <c r="AC62" s="216"/>
      <c r="AD62" s="216"/>
      <c r="AE62" s="216"/>
    </row>
    <row r="63" spans="1:31" s="203" customFormat="1" ht="15.75" customHeight="1" x14ac:dyDescent="0.25">
      <c r="A63" s="216"/>
      <c r="B63" s="436" t="s">
        <v>2702</v>
      </c>
      <c r="C63" s="436"/>
      <c r="D63" s="436"/>
      <c r="E63" s="436"/>
      <c r="F63" s="436"/>
      <c r="G63" s="436"/>
      <c r="H63" s="436"/>
      <c r="I63" s="453">
        <f>Параметры!$D$42</f>
        <v>21457.11350253813</v>
      </c>
      <c r="J63" s="453"/>
      <c r="K63" s="216" t="s">
        <v>2671</v>
      </c>
      <c r="L63" s="446">
        <f>n_скважин</f>
        <v>197</v>
      </c>
      <c r="M63" s="446"/>
      <c r="N63" s="216" t="s">
        <v>2658</v>
      </c>
      <c r="O63" s="454">
        <f>I63/L63</f>
        <v>108.91935788090422</v>
      </c>
      <c r="P63" s="454"/>
      <c r="Q63" s="454"/>
      <c r="R63" s="216" t="s">
        <v>2703</v>
      </c>
      <c r="S63" s="226"/>
      <c r="T63" s="216"/>
      <c r="U63" s="216"/>
      <c r="V63" s="216"/>
      <c r="W63" s="216"/>
      <c r="X63" s="216"/>
      <c r="Y63" s="216"/>
      <c r="Z63" s="216"/>
      <c r="AA63" s="216"/>
      <c r="AB63" s="216"/>
      <c r="AC63" s="216"/>
      <c r="AD63" s="216"/>
      <c r="AE63" s="216"/>
    </row>
    <row r="64" spans="1:31" s="203" customFormat="1" ht="3.75" customHeight="1" x14ac:dyDescent="0.25">
      <c r="A64" s="216"/>
      <c r="B64" s="216"/>
      <c r="C64" s="216"/>
      <c r="D64" s="216"/>
      <c r="E64" s="216"/>
      <c r="F64" s="216"/>
      <c r="G64" s="216"/>
      <c r="H64" s="216"/>
      <c r="I64" s="216"/>
      <c r="J64" s="216"/>
      <c r="K64" s="216"/>
      <c r="L64" s="216"/>
      <c r="M64" s="216"/>
      <c r="N64" s="216"/>
      <c r="O64" s="216"/>
      <c r="P64" s="216"/>
      <c r="Q64" s="216"/>
      <c r="R64" s="216"/>
      <c r="S64" s="216"/>
      <c r="T64" s="216"/>
      <c r="U64" s="216"/>
      <c r="V64" s="216"/>
      <c r="W64" s="216"/>
      <c r="X64" s="216"/>
      <c r="Y64" s="216"/>
      <c r="Z64" s="216"/>
      <c r="AA64" s="216"/>
      <c r="AB64" s="216"/>
      <c r="AC64" s="216"/>
      <c r="AD64" s="216"/>
      <c r="AE64" s="216"/>
    </row>
    <row r="65" spans="1:31" s="203" customFormat="1" ht="15.75" customHeight="1" x14ac:dyDescent="0.25">
      <c r="A65" s="216"/>
      <c r="B65" s="216" t="s">
        <v>2704</v>
      </c>
      <c r="C65" s="216"/>
      <c r="D65" s="216"/>
      <c r="E65" s="216"/>
      <c r="F65" s="216"/>
      <c r="G65" s="216"/>
      <c r="H65" s="216"/>
      <c r="I65" s="216"/>
      <c r="K65" s="207"/>
      <c r="L65" s="207"/>
      <c r="M65" s="438">
        <f>Параметры!$D$42</f>
        <v>21457.11350253813</v>
      </c>
      <c r="N65" s="438"/>
      <c r="O65" s="438"/>
      <c r="P65" s="216" t="s">
        <v>2458</v>
      </c>
      <c r="Q65" s="216"/>
      <c r="R65" s="216"/>
      <c r="S65" s="216"/>
      <c r="T65" s="216"/>
      <c r="U65" s="216"/>
      <c r="V65" s="216"/>
      <c r="W65" s="216"/>
      <c r="X65" s="216"/>
      <c r="Y65" s="216"/>
      <c r="Z65" s="216"/>
      <c r="AA65" s="216"/>
      <c r="AB65" s="216"/>
      <c r="AC65" s="216"/>
      <c r="AD65" s="216"/>
      <c r="AE65" s="216"/>
    </row>
    <row r="66" spans="1:31" s="203" customFormat="1" ht="4.5" customHeight="1" x14ac:dyDescent="0.25">
      <c r="A66" s="216"/>
      <c r="B66" s="216"/>
      <c r="C66" s="216"/>
      <c r="D66" s="216"/>
      <c r="E66" s="216"/>
      <c r="F66" s="216"/>
      <c r="G66" s="216"/>
      <c r="H66" s="216"/>
      <c r="I66" s="216"/>
      <c r="J66" s="216"/>
      <c r="K66" s="216"/>
      <c r="L66" s="216"/>
      <c r="M66" s="216"/>
      <c r="N66" s="216"/>
      <c r="O66" s="216"/>
      <c r="P66" s="216"/>
      <c r="Q66" s="216"/>
      <c r="R66" s="216"/>
      <c r="S66" s="216"/>
      <c r="T66" s="216"/>
      <c r="U66" s="216"/>
      <c r="V66" s="216"/>
      <c r="W66" s="216"/>
      <c r="X66" s="216"/>
      <c r="Y66" s="216"/>
      <c r="Z66" s="216"/>
      <c r="AA66" s="216"/>
      <c r="AB66" s="216"/>
      <c r="AC66" s="216"/>
      <c r="AD66" s="216"/>
      <c r="AE66" s="216"/>
    </row>
    <row r="67" spans="1:31" s="203" customFormat="1" ht="15.75" customHeight="1" x14ac:dyDescent="0.25">
      <c r="A67" s="436" t="s">
        <v>2876</v>
      </c>
      <c r="B67" s="436"/>
      <c r="C67" s="436"/>
      <c r="D67" s="436"/>
      <c r="E67" s="436"/>
      <c r="F67" s="436"/>
      <c r="G67" s="436"/>
      <c r="H67" s="436"/>
      <c r="I67" s="436"/>
      <c r="J67" s="436"/>
      <c r="K67" s="436"/>
      <c r="L67" s="436"/>
      <c r="M67" s="436"/>
      <c r="N67" s="436"/>
      <c r="O67" s="436"/>
      <c r="P67" s="436"/>
      <c r="Q67" s="436"/>
      <c r="R67" s="436"/>
      <c r="S67" s="436"/>
      <c r="T67" s="436"/>
      <c r="U67" s="436"/>
      <c r="V67" s="436"/>
      <c r="W67" s="436"/>
      <c r="X67" s="436"/>
      <c r="Y67" s="436"/>
      <c r="Z67" s="436"/>
      <c r="AA67" s="436"/>
      <c r="AB67" s="436"/>
      <c r="AC67" s="436"/>
      <c r="AD67" s="436"/>
      <c r="AE67" s="436"/>
    </row>
    <row r="68" spans="1:31" hidden="1" x14ac:dyDescent="0.25"/>
    <row r="69" spans="1:31" hidden="1" x14ac:dyDescent="0.25"/>
    <row r="70" spans="1:31" ht="14.25" hidden="1" customHeight="1" x14ac:dyDescent="0.25">
      <c r="P70" s="451"/>
      <c r="Q70" s="452"/>
      <c r="R70" s="452"/>
      <c r="S70" s="452"/>
      <c r="T70" s="452"/>
      <c r="U70" s="452"/>
      <c r="V70" s="452"/>
      <c r="W70" s="452"/>
      <c r="X70" s="452"/>
      <c r="Y70" s="452"/>
      <c r="Z70" s="452"/>
      <c r="AA70" s="452"/>
      <c r="AB70" s="452"/>
      <c r="AC70" s="452"/>
      <c r="AD70" s="452"/>
    </row>
    <row r="71" spans="1:31" hidden="1" x14ac:dyDescent="0.25"/>
    <row r="72" spans="1:31" hidden="1" x14ac:dyDescent="0.25"/>
    <row r="73" spans="1:31" hidden="1" x14ac:dyDescent="0.25"/>
    <row r="74" spans="1:31" hidden="1" x14ac:dyDescent="0.25"/>
    <row r="75" spans="1:31" hidden="1" x14ac:dyDescent="0.25"/>
    <row r="76" spans="1:31" hidden="1" x14ac:dyDescent="0.25"/>
    <row r="77" spans="1:31" hidden="1" x14ac:dyDescent="0.25"/>
    <row r="78" spans="1:31" hidden="1" x14ac:dyDescent="0.25"/>
    <row r="79" spans="1:31" hidden="1" x14ac:dyDescent="0.25"/>
    <row r="80" spans="1:31" hidden="1" x14ac:dyDescent="0.25"/>
    <row r="81" hidden="1" x14ac:dyDescent="0.25"/>
    <row r="82" hidden="1" x14ac:dyDescent="0.25"/>
  </sheetData>
  <mergeCells count="46">
    <mergeCell ref="P70:AD70"/>
    <mergeCell ref="U15:X15"/>
    <mergeCell ref="A67:AE67"/>
    <mergeCell ref="A58:AE58"/>
    <mergeCell ref="A38:AE38"/>
    <mergeCell ref="B63:H63"/>
    <mergeCell ref="I63:J63"/>
    <mergeCell ref="L63:M63"/>
    <mergeCell ref="O63:Q63"/>
    <mergeCell ref="A59:AD59"/>
    <mergeCell ref="C29:AD29"/>
    <mergeCell ref="B61:J61"/>
    <mergeCell ref="I56:J56"/>
    <mergeCell ref="L56:N56"/>
    <mergeCell ref="A42:C42"/>
    <mergeCell ref="F42:G42"/>
    <mergeCell ref="K7:L7"/>
    <mergeCell ref="F25:G25"/>
    <mergeCell ref="F15:G15"/>
    <mergeCell ref="F7:G7"/>
    <mergeCell ref="I25:J25"/>
    <mergeCell ref="K21:L21"/>
    <mergeCell ref="F10:G10"/>
    <mergeCell ref="K15:L15"/>
    <mergeCell ref="N31:P31"/>
    <mergeCell ref="C31:M31"/>
    <mergeCell ref="A37:W37"/>
    <mergeCell ref="V21:X21"/>
    <mergeCell ref="V17:X17"/>
    <mergeCell ref="A26:AE26"/>
    <mergeCell ref="A4:AD4"/>
    <mergeCell ref="A11:AD11"/>
    <mergeCell ref="A33:AD33"/>
    <mergeCell ref="A40:AD40"/>
    <mergeCell ref="M65:O65"/>
    <mergeCell ref="A60:AD60"/>
    <mergeCell ref="C27:AD27"/>
    <mergeCell ref="C28:AD28"/>
    <mergeCell ref="C30:AD30"/>
    <mergeCell ref="A56:E56"/>
    <mergeCell ref="F56:G56"/>
    <mergeCell ref="O56:S56"/>
    <mergeCell ref="M21:N21"/>
    <mergeCell ref="A35:C35"/>
    <mergeCell ref="D35:E35"/>
    <mergeCell ref="I21:J21"/>
  </mergeCells>
  <pageMargins left="0.59055118110236227" right="0.39370078740157483" top="0.74803149606299213" bottom="0.74803149606299213" header="0.31496062992125984" footer="0.31496062992125984"/>
  <pageSetup paperSize="9" orientation="portrait" r:id="rId1" fitToWidth="1" fitToHeight="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18">
    <tabColor rgb="FFFF0000"/>
  </sheetPr>
  <dimension ref="A1:L87"/>
  <sheetViews>
    <sheetView showGridLines="0" showRowColHeaders="0" topLeftCell="A13" workbookViewId="0">
      <selection activeCell="E20" sqref="E20"/>
    </sheetView>
  </sheetViews>
  <sheetFormatPr defaultColWidth="0" defaultRowHeight="15" zeroHeight="1" x14ac:dyDescent="0.25"/>
  <cols>
    <col min="1" max="2" width="6.42578125" style="77" customWidth="1"/>
    <col min="3" max="3" width="42.42578125" style="77" customWidth="1"/>
    <col min="4" max="4" width="12" style="77" customWidth="1"/>
    <col min="5" max="5" width="12.140625" style="77" customWidth="1"/>
    <col min="6" max="6" width="1.28515625" style="77" customWidth="1"/>
    <col min="7" max="9" width="9.140625" style="77" hidden="1" customWidth="1"/>
    <col min="10" max="12" width="0" style="77" hidden="1" customWidth="1"/>
    <col min="13" max="13" width="9.140625" style="77" hidden="1" customWidth="1"/>
    <col min="14" max="16384" width="9.140625" style="77" hidden="1"/>
  </cols>
  <sheetData>
    <row r="1" spans="1:7" ht="15.75" customHeight="1" x14ac:dyDescent="0.25">
      <c r="A1" s="141"/>
      <c r="B1" s="254" t="s">
        <v>2705</v>
      </c>
      <c r="C1" s="254"/>
      <c r="D1" s="254"/>
      <c r="E1" s="141"/>
    </row>
    <row r="2" spans="1:7" ht="19.5" customHeight="1" x14ac:dyDescent="0.25">
      <c r="A2" s="141"/>
      <c r="B2" s="358" t="str">
        <f>"Qселитры = Nскв.* Qскв  =  "&amp;Параметры!$D$40&amp;" * "&amp;ROUND(Параметры!$D$59,2)&amp;" = "&amp;TEXT(Параметры!$D$40*Параметры!D59/1000,"0.00")&amp;" т"</f>
        <v>Qселитры = Nскв.* Qскв  =  197 * 156,25 = 30,78 т</v>
      </c>
      <c r="C2" s="349"/>
      <c r="D2" s="349"/>
      <c r="E2" s="349"/>
    </row>
    <row r="3" spans="1:7" ht="18.75" customHeight="1" x14ac:dyDescent="0.25">
      <c r="A3" s="141"/>
      <c r="B3" s="151" t="str">
        <f>"Qдт = Qселитры * 0,055 = "&amp;TEXT(ROUND(Параметры!$D$54/1000*0.055,2),"0.00")&amp;" тонн "</f>
        <v xml:space="preserve">Qдт = Qселитры * 0,055 = 1,69 тонн </v>
      </c>
      <c r="C3" s="141"/>
      <c r="D3" s="150"/>
      <c r="E3" s="250"/>
      <c r="G3" s="65"/>
    </row>
    <row r="4" spans="1:7" ht="19.5" customHeight="1" x14ac:dyDescent="0.25">
      <c r="A4" s="141"/>
      <c r="B4" s="121" t="str">
        <f>"Mгранулита = "&amp;TEXT(Параметры!$D$54/1000,"0.00")&amp;" + "&amp;TEXT(ROUND(Параметры!$D$55/1000,2),"0.00")&amp;" = "&amp;TEXT(ROUND(Параметры!$D$54*1.05/1000,2),"0.00")&amp;" тонн"</f>
        <v>Mгранулита = 30,78 + 1,69 = 32,32 тонн</v>
      </c>
      <c r="C4" s="121"/>
      <c r="D4" s="121"/>
      <c r="E4" s="141"/>
    </row>
    <row r="5" spans="1:7" ht="15.75" customHeight="1" x14ac:dyDescent="0.25">
      <c r="A5" s="141"/>
      <c r="B5" s="141"/>
      <c r="C5" s="456" t="s">
        <v>2706</v>
      </c>
      <c r="D5" s="349"/>
      <c r="E5" s="349"/>
    </row>
    <row r="6" spans="1:7" ht="15.75" customHeight="1" x14ac:dyDescent="0.25">
      <c r="A6" s="141"/>
      <c r="B6" s="141"/>
      <c r="C6" s="196" t="str">
        <f>"Искра-С: "&amp;Параметры!$D$65&amp;" "&amp;Параметры!$C$65</f>
        <v>Искра-С: 197 шт</v>
      </c>
      <c r="D6" s="121"/>
      <c r="E6" s="121"/>
    </row>
    <row r="7" spans="1:7" ht="15.75" customHeight="1" x14ac:dyDescent="0.25">
      <c r="A7" s="141"/>
      <c r="B7" s="141"/>
      <c r="C7" s="196" t="str">
        <f>"Искра-П (67 мс): "&amp;Параметры!$D$66&amp;" "&amp;Параметры!$C$66</f>
        <v>Искра-П (67 мс): 177 шт</v>
      </c>
      <c r="D7" s="196"/>
      <c r="E7" s="196"/>
    </row>
    <row r="8" spans="1:7" ht="15.75" customHeight="1" x14ac:dyDescent="0.25">
      <c r="A8" s="141"/>
      <c r="B8" s="141"/>
      <c r="C8" s="196" t="str">
        <f>"Искра-П (42 мс): "&amp;Параметры!$D$67&amp;" "&amp;Параметры!$C$67</f>
        <v>Искра-П (42 мс): 20 шт</v>
      </c>
      <c r="D8" s="196"/>
      <c r="E8" s="196"/>
    </row>
    <row r="9" spans="1:7" ht="15.75" customHeight="1" x14ac:dyDescent="0.25">
      <c r="A9" s="141"/>
      <c r="B9" s="141"/>
      <c r="C9" s="196" t="s">
        <v>2707</v>
      </c>
      <c r="D9" s="196"/>
      <c r="E9" s="196"/>
    </row>
    <row r="10" spans="1:7" ht="15.75" customHeight="1" x14ac:dyDescent="0.25">
      <c r="A10" s="141"/>
      <c r="B10" s="141"/>
      <c r="C10" s="196"/>
      <c r="D10" s="196"/>
      <c r="E10" s="196"/>
    </row>
    <row r="11" spans="1:7" ht="15.75" customHeight="1" x14ac:dyDescent="0.25">
      <c r="A11" s="141"/>
      <c r="B11" s="456" t="str">
        <f>"Расход "&amp;Параметры!$B$61&amp;" на боевики составит:"</f>
        <v>Расход ПТ-П-500 на боевики составит:</v>
      </c>
      <c r="C11" s="349"/>
      <c r="D11" s="349"/>
      <c r="E11" s="349"/>
    </row>
    <row r="12" spans="1:7" ht="15.75" customHeight="1" x14ac:dyDescent="0.25">
      <c r="A12" s="141"/>
      <c r="B12" s="457" t="str">
        <f>Параметры!$B$61&amp;"= Mб*Nскв ="&amp;Параметры!$D$61&amp;"* "&amp;Параметры!$D$40&amp;" = "&amp;Параметры!$D$56&amp;" "&amp;Параметры!$C$56&amp;", где:"</f>
        <v>ПТ-П-500= Mб*Nскв =0,5* 197 = 98,5 кг, где:</v>
      </c>
      <c r="C12" s="349"/>
      <c r="D12" s="349"/>
      <c r="E12" s="349"/>
    </row>
    <row r="13" spans="1:7" ht="15.75" customHeight="1" x14ac:dyDescent="0.25">
      <c r="A13" s="141"/>
      <c r="B13" s="141"/>
      <c r="C13" s="235" t="str">
        <f>"Mб– масса боевика на скважину,  кг;"</f>
        <v>Mб– масса боевика на скважину,  кг;</v>
      </c>
      <c r="D13" s="141"/>
      <c r="E13" s="141"/>
    </row>
    <row r="14" spans="1:7" ht="18.75" customHeight="1" x14ac:dyDescent="0.25">
      <c r="A14" s="141"/>
      <c r="B14" s="141"/>
      <c r="C14" s="151" t="s">
        <v>2708</v>
      </c>
      <c r="D14" s="141"/>
      <c r="E14" s="141"/>
    </row>
    <row r="15" spans="1:7" ht="11.25" customHeight="1" x14ac:dyDescent="0.25">
      <c r="A15" s="141"/>
      <c r="B15" s="141"/>
      <c r="C15" s="141"/>
      <c r="D15" s="141"/>
      <c r="E15" s="141"/>
    </row>
    <row r="16" spans="1:7" ht="15.75" customHeight="1" x14ac:dyDescent="0.25">
      <c r="A16" s="141"/>
      <c r="B16" s="459" t="s">
        <v>2709</v>
      </c>
      <c r="C16" s="349"/>
      <c r="D16" s="349"/>
      <c r="E16" s="349"/>
    </row>
    <row r="17" spans="1:5" ht="4.5" customHeight="1" x14ac:dyDescent="0.25">
      <c r="A17" s="141"/>
      <c r="B17" s="349"/>
      <c r="C17" s="349"/>
      <c r="D17" s="349"/>
      <c r="E17" s="349"/>
    </row>
    <row r="18" spans="1:5" ht="30" customHeight="1" x14ac:dyDescent="0.25">
      <c r="A18" s="141"/>
      <c r="B18" s="139" t="s">
        <v>1</v>
      </c>
      <c r="C18" s="49" t="s">
        <v>2421</v>
      </c>
      <c r="D18" s="139" t="s">
        <v>2710</v>
      </c>
      <c r="E18" s="139" t="s">
        <v>2711</v>
      </c>
    </row>
    <row r="19" spans="1:5" x14ac:dyDescent="0.25">
      <c r="A19" s="141"/>
      <c r="B19" s="144">
        <v>1</v>
      </c>
      <c r="C19" s="126" t="s">
        <v>2712</v>
      </c>
      <c r="D19" s="144" t="s">
        <v>2713</v>
      </c>
      <c r="E19" s="127">
        <f>Параметры!$D$41/1000</f>
        <v>3.4420000000000002</v>
      </c>
    </row>
    <row r="20" spans="1:5" x14ac:dyDescent="0.25">
      <c r="A20" s="141"/>
      <c r="B20" s="144">
        <v>2</v>
      </c>
      <c r="C20" s="126" t="s">
        <v>2714</v>
      </c>
      <c r="D20" s="144" t="s">
        <v>2435</v>
      </c>
      <c r="E20" s="128">
        <f>ROUND(h_уступа,2)</f>
        <v>6.23</v>
      </c>
    </row>
    <row r="21" spans="1:5" x14ac:dyDescent="0.25">
      <c r="A21" s="141"/>
      <c r="B21" s="144">
        <v>3</v>
      </c>
      <c r="C21" s="126" t="s">
        <v>2715</v>
      </c>
      <c r="D21" s="144" t="s">
        <v>2716</v>
      </c>
      <c r="E21" s="129">
        <f>Параметры!$D$42/1000</f>
        <v>21.457113502538132</v>
      </c>
    </row>
    <row r="22" spans="1:5" x14ac:dyDescent="0.25">
      <c r="A22" s="141"/>
      <c r="B22" s="144">
        <v>4</v>
      </c>
      <c r="C22" s="126" t="s">
        <v>2461</v>
      </c>
      <c r="D22" s="144" t="s">
        <v>2435</v>
      </c>
      <c r="E22" s="129">
        <f>Параметры!$D$44</f>
        <v>7.248730964467005</v>
      </c>
    </row>
    <row r="23" spans="1:5" x14ac:dyDescent="0.25">
      <c r="A23" s="141"/>
      <c r="B23" s="144">
        <v>5</v>
      </c>
      <c r="C23" s="130" t="s">
        <v>2717</v>
      </c>
      <c r="D23" s="144" t="s">
        <v>2435</v>
      </c>
      <c r="E23" s="129">
        <f>Параметры!$D$46</f>
        <v>1.0148223350253833</v>
      </c>
    </row>
    <row r="24" spans="1:5" x14ac:dyDescent="0.25">
      <c r="A24" s="141"/>
      <c r="B24" s="144">
        <v>6</v>
      </c>
      <c r="C24" s="126" t="s">
        <v>2718</v>
      </c>
      <c r="D24" s="144" t="s">
        <v>2719</v>
      </c>
      <c r="E24" s="131">
        <f>d_скважины*1000</f>
        <v>215</v>
      </c>
    </row>
    <row r="25" spans="1:5" x14ac:dyDescent="0.25">
      <c r="A25" s="141"/>
      <c r="B25" s="144">
        <v>7</v>
      </c>
      <c r="C25" s="126" t="s">
        <v>2720</v>
      </c>
      <c r="D25" s="144"/>
      <c r="E25" s="127">
        <f>КИС</f>
        <v>0.86</v>
      </c>
    </row>
    <row r="26" spans="1:5" x14ac:dyDescent="0.25">
      <c r="A26" s="141"/>
      <c r="B26" s="144">
        <v>8</v>
      </c>
      <c r="C26" s="126" t="s">
        <v>2721</v>
      </c>
      <c r="D26" s="144" t="s">
        <v>2435</v>
      </c>
      <c r="E26" s="131">
        <f>Параметры!$D$49</f>
        <v>6.5</v>
      </c>
    </row>
    <row r="27" spans="1:5" x14ac:dyDescent="0.25">
      <c r="A27" s="141"/>
      <c r="B27" s="144">
        <v>9</v>
      </c>
      <c r="C27" s="126" t="s">
        <v>2443</v>
      </c>
      <c r="D27" s="144" t="s">
        <v>2435</v>
      </c>
      <c r="E27" s="128">
        <f>Параметры!$D$33</f>
        <v>5.5</v>
      </c>
    </row>
    <row r="28" spans="1:5" x14ac:dyDescent="0.25">
      <c r="A28" s="141"/>
      <c r="B28" s="144">
        <v>10</v>
      </c>
      <c r="C28" s="126" t="s">
        <v>2444</v>
      </c>
      <c r="D28" s="144" t="s">
        <v>2435</v>
      </c>
      <c r="E28" s="128">
        <f>Параметры!$D$34</f>
        <v>5</v>
      </c>
    </row>
    <row r="29" spans="1:5" x14ac:dyDescent="0.25">
      <c r="A29" s="141"/>
      <c r="B29" s="144">
        <v>11</v>
      </c>
      <c r="C29" s="126" t="s">
        <v>2424</v>
      </c>
      <c r="D29" s="458" t="str">
        <f>Параметры!$D$20</f>
        <v>Шахматное</v>
      </c>
      <c r="E29" s="382"/>
    </row>
    <row r="30" spans="1:5" x14ac:dyDescent="0.25">
      <c r="A30" s="141"/>
      <c r="B30" s="144">
        <v>12</v>
      </c>
      <c r="C30" s="126" t="s">
        <v>2454</v>
      </c>
      <c r="D30" s="144" t="s">
        <v>2453</v>
      </c>
      <c r="E30" s="144">
        <f>n_скважин</f>
        <v>197</v>
      </c>
    </row>
    <row r="31" spans="1:5" x14ac:dyDescent="0.25">
      <c r="A31" s="141"/>
      <c r="B31" s="144">
        <v>13</v>
      </c>
      <c r="C31" s="126" t="s">
        <v>2722</v>
      </c>
      <c r="D31" s="144" t="s">
        <v>2723</v>
      </c>
      <c r="E31" s="131">
        <f>Параметры!$D$43</f>
        <v>1428</v>
      </c>
    </row>
    <row r="32" spans="1:5" x14ac:dyDescent="0.25">
      <c r="A32" s="141"/>
      <c r="B32" s="144">
        <v>14</v>
      </c>
      <c r="C32" s="126" t="s">
        <v>2724</v>
      </c>
      <c r="D32" s="144" t="s">
        <v>2448</v>
      </c>
      <c r="E32" s="132">
        <f>Параметры!$D$38</f>
        <v>1.5180839629779137</v>
      </c>
    </row>
    <row r="33" spans="1:5" x14ac:dyDescent="0.25">
      <c r="A33" s="141"/>
      <c r="B33" s="144">
        <v>15</v>
      </c>
      <c r="C33" s="126" t="s">
        <v>2725</v>
      </c>
      <c r="D33" s="144" t="s">
        <v>2435</v>
      </c>
      <c r="E33" s="128">
        <f>Параметры!$D$47</f>
        <v>5.248730964467005</v>
      </c>
    </row>
    <row r="34" spans="1:5" x14ac:dyDescent="0.25">
      <c r="A34" s="141"/>
      <c r="B34" s="144">
        <v>16</v>
      </c>
      <c r="C34" s="126" t="s">
        <v>2726</v>
      </c>
      <c r="D34" s="144" t="s">
        <v>2435</v>
      </c>
      <c r="E34" s="129">
        <f>Параметры!$D$48</f>
        <v>2</v>
      </c>
    </row>
    <row r="35" spans="1:5" x14ac:dyDescent="0.25">
      <c r="A35" s="141"/>
      <c r="B35" s="144">
        <v>17</v>
      </c>
      <c r="C35" s="126" t="s">
        <v>2727</v>
      </c>
      <c r="D35" s="144" t="s">
        <v>2448</v>
      </c>
      <c r="E35" s="131">
        <f>Параметры!$D$58</f>
        <v>165.34873045685276</v>
      </c>
    </row>
    <row r="36" spans="1:5" x14ac:dyDescent="0.25">
      <c r="A36" s="141"/>
      <c r="B36" s="144">
        <v>18</v>
      </c>
      <c r="C36" s="126" t="s">
        <v>2728</v>
      </c>
      <c r="D36" s="144" t="s">
        <v>2729</v>
      </c>
      <c r="E36" s="131">
        <f>Параметры!$D$37</f>
        <v>17.472081218274113</v>
      </c>
    </row>
    <row r="37" spans="1:5" x14ac:dyDescent="0.25">
      <c r="A37" s="141"/>
      <c r="B37" s="144">
        <v>19</v>
      </c>
      <c r="C37" s="126" t="s">
        <v>2730</v>
      </c>
      <c r="D37" s="144" t="s">
        <v>2731</v>
      </c>
      <c r="E37" s="129">
        <f>(Параметры!D54+Параметры!D55)/1000</f>
        <v>32.475199899999986</v>
      </c>
    </row>
    <row r="38" spans="1:5" x14ac:dyDescent="0.25">
      <c r="A38" s="141"/>
      <c r="B38" s="144">
        <v>20</v>
      </c>
      <c r="C38" s="126" t="s">
        <v>2732</v>
      </c>
      <c r="D38" s="144" t="s">
        <v>2733</v>
      </c>
      <c r="E38" s="127">
        <f>Параметры!$D$54/Параметры!$D$42</f>
        <v>1.4345909106720625</v>
      </c>
    </row>
    <row r="39" spans="1:5" x14ac:dyDescent="0.25">
      <c r="A39" s="141"/>
      <c r="B39" s="144">
        <v>21</v>
      </c>
      <c r="C39" s="126" t="str">
        <f>Параметры!B69</f>
        <v>ПТ-П-500</v>
      </c>
      <c r="D39" s="144" t="s">
        <v>2470</v>
      </c>
      <c r="E39" s="129">
        <f>Параметры!D69</f>
        <v>98.5</v>
      </c>
    </row>
    <row r="40" spans="1:5" x14ac:dyDescent="0.25">
      <c r="A40" s="141"/>
      <c r="B40" s="144">
        <v>22</v>
      </c>
      <c r="C40" s="126" t="s">
        <v>2734</v>
      </c>
      <c r="D40" s="144" t="s">
        <v>2453</v>
      </c>
      <c r="E40" s="131">
        <f>Параметры!D65</f>
        <v>197</v>
      </c>
    </row>
    <row r="41" spans="1:5" x14ac:dyDescent="0.25">
      <c r="A41" s="141"/>
      <c r="B41" s="144">
        <v>23</v>
      </c>
      <c r="C41" s="126" t="s">
        <v>2735</v>
      </c>
      <c r="D41" s="144" t="s">
        <v>2453</v>
      </c>
      <c r="E41" s="131">
        <f>Параметры!D66</f>
        <v>177</v>
      </c>
    </row>
    <row r="42" spans="1:5" x14ac:dyDescent="0.25">
      <c r="A42" s="141"/>
      <c r="B42" s="144">
        <v>24</v>
      </c>
      <c r="C42" s="126" t="s">
        <v>2736</v>
      </c>
      <c r="D42" s="144" t="s">
        <v>2453</v>
      </c>
      <c r="E42" s="131">
        <f>Параметры!D67</f>
        <v>20</v>
      </c>
    </row>
    <row r="43" spans="1:5" x14ac:dyDescent="0.25">
      <c r="A43" s="141"/>
      <c r="B43" s="144">
        <v>25</v>
      </c>
      <c r="C43" s="126" t="s">
        <v>2737</v>
      </c>
      <c r="D43" s="144" t="s">
        <v>2453</v>
      </c>
      <c r="E43" s="131">
        <f>Параметры!D68</f>
        <v>1</v>
      </c>
    </row>
    <row r="44" spans="1:5" x14ac:dyDescent="0.25">
      <c r="A44" s="141"/>
      <c r="B44" s="144">
        <v>26</v>
      </c>
      <c r="C44" s="126" t="s">
        <v>2738</v>
      </c>
      <c r="D44" s="144" t="s">
        <v>2731</v>
      </c>
      <c r="E44" s="129">
        <f>Параметры!D54/1000</f>
        <v>30.782179999999986</v>
      </c>
    </row>
    <row r="45" spans="1:5" x14ac:dyDescent="0.25">
      <c r="A45" s="141"/>
      <c r="B45" s="144">
        <v>27</v>
      </c>
      <c r="C45" s="126" t="s">
        <v>2739</v>
      </c>
      <c r="D45" s="144" t="s">
        <v>2740</v>
      </c>
      <c r="E45" s="127">
        <f>IFERROR(Параметры!$D$54/Параметры!$D$42,0)</f>
        <v>1.4345909106720625</v>
      </c>
    </row>
    <row r="46" spans="1:5" hidden="1" x14ac:dyDescent="0.25"/>
    <row r="47" spans="1:5" hidden="1" x14ac:dyDescent="0.25"/>
    <row r="48" spans="1:5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</sheetData>
  <mergeCells count="6">
    <mergeCell ref="B2:E2"/>
    <mergeCell ref="C5:E5"/>
    <mergeCell ref="B12:E12"/>
    <mergeCell ref="D29:E29"/>
    <mergeCell ref="B16:E17"/>
    <mergeCell ref="B11:E11"/>
  </mergeCells>
  <pageMargins left="0.59055118110236227" right="0.39370078740157483" top="0.74803149606299213" bottom="0.74803149606299213" header="0.31496062992125984" footer="0.31496062992125984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19">
    <tabColor theme="6" tint="0.59999389629810485"/>
    <pageSetUpPr fitToPage="1"/>
  </sheetPr>
  <dimension ref="A1:AB62"/>
  <sheetViews>
    <sheetView showGridLines="0" zoomScaleNormal="100" workbookViewId="0">
      <selection activeCell="B22" sqref="B22:N22"/>
    </sheetView>
  </sheetViews>
  <sheetFormatPr defaultColWidth="0" defaultRowHeight="15" customHeight="1" zeroHeight="1" x14ac:dyDescent="0.25"/>
  <cols>
    <col min="1" max="1" width="2.85546875" style="77" customWidth="1"/>
    <col min="2" max="2" width="10.7109375" style="77" customWidth="1"/>
    <col min="3" max="3" width="8.42578125" style="77" customWidth="1"/>
    <col min="4" max="4" width="5.5703125" style="77" customWidth="1"/>
    <col min="5" max="5" width="1.85546875" style="77" customWidth="1"/>
    <col min="6" max="6" width="4.7109375" style="77" customWidth="1"/>
    <col min="7" max="7" width="2" style="77" customWidth="1"/>
    <col min="8" max="8" width="5" style="77" customWidth="1"/>
    <col min="9" max="9" width="3.7109375" style="77" customWidth="1"/>
    <col min="10" max="10" width="5" style="77" customWidth="1"/>
    <col min="11" max="11" width="9.140625" style="77" customWidth="1"/>
    <col min="12" max="14" width="9.140625" style="138" customWidth="1"/>
    <col min="15" max="28" width="0" style="77" hidden="1" customWidth="1"/>
    <col min="29" max="16384" width="9.140625" style="77" hidden="1"/>
  </cols>
  <sheetData>
    <row r="1" spans="1:23" ht="15" customHeight="1" x14ac:dyDescent="0.25">
      <c r="A1" s="141"/>
      <c r="B1" s="347" t="s">
        <v>2741</v>
      </c>
      <c r="C1" s="349"/>
      <c r="D1" s="349"/>
      <c r="E1" s="349"/>
      <c r="F1" s="349"/>
      <c r="G1" s="349"/>
      <c r="H1" s="349"/>
      <c r="I1" s="349"/>
      <c r="J1" s="349"/>
      <c r="K1" s="349"/>
      <c r="L1" s="349"/>
      <c r="M1" s="349"/>
      <c r="N1" s="349"/>
    </row>
    <row r="2" spans="1:23" ht="48.75" customHeight="1" x14ac:dyDescent="0.25">
      <c r="A2" s="141"/>
      <c r="B2" s="460" t="s">
        <v>2742</v>
      </c>
      <c r="C2" s="349"/>
      <c r="D2" s="349"/>
      <c r="E2" s="349"/>
      <c r="F2" s="349"/>
      <c r="G2" s="349"/>
      <c r="H2" s="349"/>
      <c r="I2" s="349"/>
      <c r="J2" s="349"/>
      <c r="K2" s="349"/>
      <c r="L2" s="349"/>
      <c r="M2" s="349"/>
      <c r="N2" s="349"/>
    </row>
    <row r="3" spans="1:23" ht="4.5" customHeight="1" x14ac:dyDescent="0.25">
      <c r="A3" s="141"/>
      <c r="B3" s="192"/>
      <c r="C3" s="192"/>
      <c r="D3" s="192"/>
      <c r="E3" s="192"/>
      <c r="F3" s="192"/>
      <c r="G3" s="192"/>
      <c r="H3" s="192"/>
      <c r="I3" s="192"/>
      <c r="J3" s="192"/>
      <c r="K3" s="192"/>
      <c r="L3" s="192"/>
      <c r="M3" s="192"/>
      <c r="N3" s="192"/>
    </row>
    <row r="4" spans="1:23" ht="15" customHeight="1" x14ac:dyDescent="0.25">
      <c r="A4" s="141"/>
      <c r="B4" s="347" t="s">
        <v>2743</v>
      </c>
      <c r="C4" s="349"/>
      <c r="D4" s="349"/>
      <c r="E4" s="349"/>
      <c r="F4" s="349"/>
      <c r="G4" s="349"/>
      <c r="H4" s="349"/>
      <c r="I4" s="349"/>
      <c r="J4" s="349"/>
      <c r="K4" s="349"/>
      <c r="L4" s="349"/>
      <c r="M4" s="349"/>
      <c r="N4" s="349"/>
    </row>
    <row r="5" spans="1:23" ht="5.25" customHeight="1" x14ac:dyDescent="0.25">
      <c r="A5" s="141"/>
      <c r="B5" s="150"/>
      <c r="C5" s="150"/>
      <c r="D5" s="150"/>
      <c r="E5" s="150"/>
      <c r="F5" s="150"/>
      <c r="G5" s="150"/>
      <c r="H5" s="150"/>
      <c r="I5" s="150"/>
      <c r="J5" s="150"/>
      <c r="K5" s="150"/>
      <c r="L5" s="150"/>
      <c r="M5" s="150"/>
      <c r="N5" s="150"/>
    </row>
    <row r="6" spans="1:23" ht="33" customHeight="1" x14ac:dyDescent="0.25">
      <c r="A6" s="141"/>
      <c r="B6" s="421" t="s">
        <v>2744</v>
      </c>
      <c r="C6" s="349"/>
      <c r="D6" s="349"/>
      <c r="E6" s="349"/>
      <c r="F6" s="349"/>
      <c r="G6" s="349"/>
      <c r="H6" s="349"/>
      <c r="I6" s="349"/>
      <c r="J6" s="349"/>
      <c r="K6" s="349"/>
      <c r="L6" s="349"/>
      <c r="M6" s="349"/>
      <c r="N6" s="349"/>
      <c r="O6" s="98"/>
      <c r="P6" s="98"/>
      <c r="Q6" s="98"/>
      <c r="R6" s="98"/>
      <c r="S6" s="98"/>
      <c r="T6" s="98"/>
    </row>
    <row r="7" spans="1:23" ht="39.75" customHeight="1" x14ac:dyDescent="0.25">
      <c r="A7" s="141"/>
      <c r="B7" s="141"/>
      <c r="C7" s="141"/>
      <c r="D7" s="153" t="s">
        <v>2745</v>
      </c>
      <c r="E7" s="141"/>
      <c r="F7" s="141"/>
      <c r="G7" s="141"/>
      <c r="H7" s="119" t="s">
        <v>2746</v>
      </c>
      <c r="I7" s="141"/>
      <c r="J7" s="141"/>
      <c r="K7" s="141"/>
      <c r="L7" s="141"/>
      <c r="M7" s="141"/>
      <c r="N7" s="141"/>
    </row>
    <row r="8" spans="1:23" ht="3.75" customHeight="1" x14ac:dyDescent="0.25">
      <c r="A8" s="141"/>
      <c r="B8" s="141"/>
      <c r="C8" s="119"/>
      <c r="D8" s="141"/>
      <c r="E8" s="141"/>
      <c r="F8" s="141"/>
      <c r="G8" s="141"/>
      <c r="H8" s="141"/>
      <c r="I8" s="141"/>
      <c r="J8" s="141"/>
      <c r="K8" s="141"/>
      <c r="L8" s="141"/>
      <c r="M8" s="141"/>
      <c r="N8" s="141"/>
    </row>
    <row r="9" spans="1:23" ht="17.25" customHeight="1" x14ac:dyDescent="0.25">
      <c r="A9" s="141"/>
      <c r="B9" s="141"/>
      <c r="C9" s="153" t="s">
        <v>2747</v>
      </c>
      <c r="D9" s="119">
        <v>1250</v>
      </c>
      <c r="E9" s="119" t="s">
        <v>2656</v>
      </c>
      <c r="F9" s="120">
        <f>H20</f>
        <v>0.72408963585434172</v>
      </c>
      <c r="G9" s="119" t="s">
        <v>2656</v>
      </c>
      <c r="H9" s="119">
        <f>ROUND(SQRT(4*d_скважины/((1+1)*Параметры!$D$34)),2)</f>
        <v>0.28999999999999998</v>
      </c>
      <c r="I9" s="119" t="s">
        <v>2658</v>
      </c>
      <c r="J9" s="249">
        <f>D9*F9*H9</f>
        <v>262.48249299719885</v>
      </c>
      <c r="K9" s="121" t="s">
        <v>2435</v>
      </c>
      <c r="L9" s="121"/>
      <c r="M9" s="121"/>
      <c r="N9" s="121"/>
    </row>
    <row r="10" spans="1:23" ht="5.25" customHeight="1" x14ac:dyDescent="0.25">
      <c r="A10" s="141"/>
      <c r="B10" s="141"/>
      <c r="C10" s="153"/>
      <c r="D10" s="119"/>
      <c r="E10" s="119"/>
      <c r="F10" s="119"/>
      <c r="G10" s="119"/>
      <c r="H10" s="119"/>
      <c r="I10" s="119"/>
      <c r="J10" s="249"/>
      <c r="K10" s="121"/>
      <c r="L10" s="121"/>
      <c r="M10" s="121"/>
      <c r="N10" s="121"/>
    </row>
    <row r="11" spans="1:23" ht="15" customHeight="1" x14ac:dyDescent="0.25">
      <c r="A11" s="141"/>
      <c r="B11" s="141" t="s">
        <v>2748</v>
      </c>
      <c r="C11" s="121"/>
      <c r="D11" s="121"/>
      <c r="E11" s="121"/>
      <c r="F11" s="121"/>
      <c r="G11" s="121"/>
      <c r="H11" s="121"/>
      <c r="I11" s="121"/>
      <c r="J11" s="121"/>
      <c r="K11" s="141"/>
      <c r="L11" s="141"/>
      <c r="M11" s="141"/>
      <c r="N11" s="141"/>
    </row>
    <row r="12" spans="1:23" ht="15" customHeight="1" x14ac:dyDescent="0.25">
      <c r="A12" s="141"/>
      <c r="B12" s="358" t="s">
        <v>2749</v>
      </c>
      <c r="C12" s="349"/>
      <c r="D12" s="349"/>
      <c r="E12" s="349"/>
      <c r="F12" s="349"/>
      <c r="G12" s="349"/>
      <c r="H12" s="349"/>
      <c r="I12" s="349"/>
      <c r="J12" s="349"/>
      <c r="K12" s="349"/>
      <c r="L12" s="349"/>
      <c r="M12" s="349"/>
      <c r="N12" s="349"/>
      <c r="W12" s="96"/>
    </row>
    <row r="13" spans="1:23" ht="15" customHeight="1" x14ac:dyDescent="0.25">
      <c r="A13" s="141"/>
      <c r="B13" s="301" t="str">
        <f>"       d – диаметр взрываемой скважины (м), d ="&amp;Параметры!$D$26&amp;" "&amp;Параметры!$C$26&amp;";"</f>
        <v xml:space="preserve">       d – диаметр взрываемой скважины (м), d =0,215 м;</v>
      </c>
      <c r="C13" s="302"/>
      <c r="D13" s="302"/>
      <c r="E13" s="302"/>
      <c r="F13" s="302"/>
      <c r="G13" s="302"/>
      <c r="H13" s="302"/>
      <c r="I13" s="302"/>
      <c r="J13" s="302"/>
      <c r="K13" s="296"/>
      <c r="L13" s="141"/>
      <c r="M13" s="141"/>
      <c r="N13" s="141"/>
    </row>
    <row r="14" spans="1:23" ht="15" customHeight="1" x14ac:dyDescent="0.25">
      <c r="A14" s="141"/>
      <c r="B14" s="358" t="s">
        <v>2750</v>
      </c>
      <c r="C14" s="349"/>
      <c r="D14" s="349"/>
      <c r="E14" s="349"/>
      <c r="F14" s="349"/>
      <c r="G14" s="349"/>
      <c r="H14" s="349"/>
      <c r="I14" s="349"/>
      <c r="J14" s="349"/>
      <c r="K14" s="141"/>
      <c r="L14" s="141"/>
      <c r="M14" s="141"/>
      <c r="N14" s="141"/>
    </row>
    <row r="15" spans="1:23" ht="15" customHeight="1" x14ac:dyDescent="0.25">
      <c r="A15" s="141"/>
      <c r="B15" s="121" t="s">
        <v>2751</v>
      </c>
      <c r="C15" s="121"/>
      <c r="D15" s="121"/>
      <c r="E15" s="121"/>
      <c r="F15" s="121"/>
      <c r="G15" s="121"/>
      <c r="H15" s="121"/>
      <c r="I15" s="121"/>
      <c r="J15" s="121"/>
      <c r="K15" s="141"/>
      <c r="L15" s="141"/>
      <c r="M15" s="141"/>
      <c r="N15" s="141"/>
    </row>
    <row r="16" spans="1:23" ht="6.75" customHeight="1" x14ac:dyDescent="0.25">
      <c r="A16" s="141"/>
      <c r="B16" s="354"/>
      <c r="C16" s="349"/>
      <c r="D16" s="349"/>
      <c r="E16" s="349"/>
      <c r="F16" s="349"/>
      <c r="G16" s="349"/>
      <c r="H16" s="349"/>
      <c r="I16" s="349"/>
      <c r="J16" s="349"/>
      <c r="K16" s="141"/>
      <c r="L16" s="141"/>
      <c r="M16" s="141"/>
      <c r="N16" s="141"/>
    </row>
    <row r="17" spans="1:25" ht="18.75" customHeight="1" x14ac:dyDescent="0.25">
      <c r="A17" s="141"/>
      <c r="B17" s="230" t="s">
        <v>2692</v>
      </c>
      <c r="C17" s="253" t="s">
        <v>2752</v>
      </c>
      <c r="D17" s="141"/>
      <c r="E17" s="141"/>
      <c r="F17" s="141"/>
      <c r="G17" s="141"/>
      <c r="H17" s="141"/>
      <c r="I17" s="141"/>
      <c r="J17" s="141"/>
      <c r="K17" s="141"/>
      <c r="L17" s="141"/>
      <c r="M17" s="141"/>
      <c r="N17" s="141"/>
    </row>
    <row r="18" spans="1:25" ht="13.5" customHeight="1" x14ac:dyDescent="0.25">
      <c r="A18" s="141"/>
      <c r="B18" s="141"/>
      <c r="C18" s="235" t="s">
        <v>2753</v>
      </c>
      <c r="D18" s="235"/>
      <c r="E18" s="235"/>
      <c r="F18" s="141"/>
      <c r="G18" s="235"/>
      <c r="H18" s="235"/>
      <c r="I18" s="119"/>
      <c r="J18" s="119"/>
      <c r="K18" s="141"/>
      <c r="L18" s="141"/>
      <c r="M18" s="141"/>
      <c r="N18" s="141"/>
    </row>
    <row r="19" spans="1:25" ht="4.5" customHeight="1" x14ac:dyDescent="0.25">
      <c r="A19" s="141"/>
      <c r="B19" s="122"/>
      <c r="C19" s="141"/>
      <c r="D19" s="141"/>
      <c r="E19" s="141"/>
      <c r="F19" s="141"/>
      <c r="G19" s="141"/>
      <c r="H19" s="141"/>
      <c r="I19" s="141"/>
      <c r="J19" s="141"/>
      <c r="K19" s="141"/>
      <c r="L19" s="141"/>
      <c r="M19" s="141"/>
      <c r="N19" s="141"/>
      <c r="S19" s="96"/>
    </row>
    <row r="20" spans="1:25" ht="18.75" customHeight="1" x14ac:dyDescent="0.25">
      <c r="A20" s="141"/>
      <c r="B20" s="141"/>
      <c r="C20" s="153" t="s">
        <v>2754</v>
      </c>
      <c r="D20" s="238">
        <f>Параметры!$D$47</f>
        <v>5.248730964467005</v>
      </c>
      <c r="E20" s="119" t="s">
        <v>2755</v>
      </c>
      <c r="F20" s="250">
        <f>Параметры!$D$44</f>
        <v>7.248730964467005</v>
      </c>
      <c r="G20" s="122" t="s">
        <v>2658</v>
      </c>
      <c r="H20" s="134">
        <f>IFERROR(D20/F20,0)</f>
        <v>0.72408963585434172</v>
      </c>
      <c r="I20" s="119"/>
      <c r="J20" s="250"/>
      <c r="K20" s="141"/>
      <c r="L20" s="141"/>
      <c r="M20" s="141"/>
      <c r="N20" s="141"/>
    </row>
    <row r="21" spans="1:25" ht="3.75" customHeight="1" x14ac:dyDescent="0.25">
      <c r="A21" s="141"/>
      <c r="B21" s="141"/>
      <c r="C21" s="141"/>
      <c r="D21" s="141"/>
      <c r="E21" s="141"/>
      <c r="F21" s="141"/>
      <c r="G21" s="141"/>
      <c r="H21" s="141"/>
      <c r="I21" s="141"/>
      <c r="J21" s="141"/>
      <c r="K21" s="141"/>
      <c r="L21" s="141"/>
      <c r="M21" s="141"/>
      <c r="N21" s="141"/>
    </row>
    <row r="22" spans="1:25" ht="52.5" customHeight="1" x14ac:dyDescent="0.25">
      <c r="A22" s="141"/>
      <c r="B22" s="421" t="s">
        <v>2889</v>
      </c>
      <c r="C22" s="349"/>
      <c r="D22" s="349"/>
      <c r="E22" s="349"/>
      <c r="F22" s="349"/>
      <c r="G22" s="349"/>
      <c r="H22" s="349"/>
      <c r="I22" s="349"/>
      <c r="J22" s="349"/>
      <c r="K22" s="349"/>
      <c r="L22" s="349"/>
      <c r="M22" s="349"/>
      <c r="N22" s="349"/>
    </row>
    <row r="23" spans="1:25" ht="12.75" customHeight="1" x14ac:dyDescent="0.25">
      <c r="A23" s="141"/>
      <c r="B23" s="141"/>
      <c r="C23" s="141" t="s">
        <v>2756</v>
      </c>
      <c r="D23" s="121"/>
      <c r="E23" s="121"/>
      <c r="F23" s="121"/>
      <c r="G23" s="121"/>
      <c r="H23" s="121"/>
      <c r="I23" s="121"/>
      <c r="J23" s="141"/>
      <c r="K23" s="141"/>
      <c r="L23" s="141"/>
      <c r="M23" s="141"/>
      <c r="N23" s="141"/>
    </row>
    <row r="24" spans="1:25" ht="18.75" customHeight="1" x14ac:dyDescent="0.25">
      <c r="A24" s="141"/>
      <c r="B24" s="141"/>
      <c r="C24" s="141" t="s">
        <v>2757</v>
      </c>
      <c r="D24" s="121"/>
      <c r="E24" s="121"/>
      <c r="F24" s="121"/>
      <c r="G24" s="121"/>
      <c r="H24" s="121"/>
      <c r="I24" s="121"/>
      <c r="J24" s="141"/>
      <c r="K24" s="141"/>
      <c r="L24" s="141"/>
      <c r="M24" s="141"/>
      <c r="N24" s="141"/>
    </row>
    <row r="25" spans="1:25" ht="75.75" customHeight="1" x14ac:dyDescent="0.25">
      <c r="A25" s="141"/>
      <c r="B25" s="421" t="s">
        <v>2758</v>
      </c>
      <c r="C25" s="349"/>
      <c r="D25" s="349"/>
      <c r="E25" s="349"/>
      <c r="F25" s="349"/>
      <c r="G25" s="349"/>
      <c r="H25" s="349"/>
      <c r="I25" s="349"/>
      <c r="J25" s="349"/>
      <c r="K25" s="349"/>
      <c r="L25" s="349"/>
      <c r="M25" s="349"/>
      <c r="N25" s="349"/>
    </row>
    <row r="26" spans="1:25" ht="18" customHeight="1" x14ac:dyDescent="0.25">
      <c r="A26" s="141"/>
      <c r="B26" s="141"/>
      <c r="C26" s="121" t="s">
        <v>2759</v>
      </c>
      <c r="D26" s="141"/>
      <c r="E26" s="141"/>
      <c r="F26" s="141"/>
      <c r="G26" s="141"/>
      <c r="H26" s="141"/>
      <c r="I26" s="141"/>
      <c r="J26" s="141"/>
      <c r="K26" s="141"/>
      <c r="L26" s="141"/>
      <c r="M26" s="141"/>
      <c r="N26" s="141"/>
    </row>
    <row r="27" spans="1:25" ht="51.75" customHeight="1" x14ac:dyDescent="0.25">
      <c r="A27" s="141"/>
      <c r="B27" s="421" t="s">
        <v>2760</v>
      </c>
      <c r="C27" s="349"/>
      <c r="D27" s="349"/>
      <c r="E27" s="349"/>
      <c r="F27" s="349"/>
      <c r="G27" s="349"/>
      <c r="H27" s="349"/>
      <c r="I27" s="349"/>
      <c r="J27" s="349"/>
      <c r="K27" s="349"/>
      <c r="L27" s="349"/>
      <c r="M27" s="349"/>
      <c r="N27" s="349"/>
      <c r="O27" s="98"/>
      <c r="P27" s="98"/>
      <c r="Q27" s="98"/>
      <c r="R27" s="98"/>
      <c r="S27" s="98"/>
      <c r="T27" s="98"/>
      <c r="U27" s="98"/>
      <c r="V27" s="98"/>
      <c r="W27" s="98"/>
      <c r="X27" s="98"/>
      <c r="Y27" s="101"/>
    </row>
    <row r="28" spans="1:25" ht="33" customHeight="1" x14ac:dyDescent="0.25">
      <c r="A28" s="141"/>
      <c r="B28" s="421" t="s">
        <v>2761</v>
      </c>
      <c r="C28" s="349"/>
      <c r="D28" s="349"/>
      <c r="E28" s="349"/>
      <c r="F28" s="349"/>
      <c r="G28" s="349"/>
      <c r="H28" s="349"/>
      <c r="I28" s="349"/>
      <c r="J28" s="349"/>
      <c r="K28" s="349"/>
      <c r="L28" s="349"/>
      <c r="M28" s="349"/>
      <c r="N28" s="349"/>
    </row>
    <row r="29" spans="1:25" ht="15.75" customHeight="1" x14ac:dyDescent="0.25">
      <c r="A29" s="141"/>
      <c r="B29" s="141"/>
      <c r="C29" s="121"/>
      <c r="D29" s="141"/>
      <c r="E29" s="141"/>
      <c r="F29" s="141"/>
      <c r="G29" s="141"/>
      <c r="H29" s="141"/>
      <c r="I29" s="141"/>
      <c r="J29" s="123"/>
      <c r="K29" s="141"/>
      <c r="L29" s="141"/>
      <c r="M29" s="141"/>
      <c r="N29" s="141"/>
    </row>
    <row r="30" spans="1:25" ht="15" customHeight="1" x14ac:dyDescent="0.25">
      <c r="A30" s="141"/>
      <c r="B30" s="151" t="s">
        <v>2762</v>
      </c>
      <c r="C30" s="151"/>
      <c r="D30" s="151"/>
      <c r="E30" s="119"/>
      <c r="F30" s="124" t="s">
        <v>2763</v>
      </c>
      <c r="G30" s="141"/>
      <c r="H30" s="123">
        <f>SQRT(1+4*Параметры!$D$31/$J$9)</f>
        <v>1</v>
      </c>
      <c r="I30" s="141" t="s">
        <v>2764</v>
      </c>
      <c r="J30" s="251">
        <f>IFERROR(ROUND(0.5*(1+SQRT(1+4*Параметры!$D$31/$J$9)),2),0)</f>
        <v>1</v>
      </c>
      <c r="K30" s="141"/>
      <c r="L30" s="141"/>
      <c r="M30" s="141"/>
      <c r="N30" s="141"/>
    </row>
    <row r="31" spans="1:25" ht="15" customHeight="1" x14ac:dyDescent="0.25">
      <c r="A31" s="141"/>
      <c r="B31" s="141"/>
      <c r="C31" s="141"/>
      <c r="D31" s="141"/>
      <c r="E31" s="141"/>
      <c r="F31" s="141"/>
      <c r="G31" s="141"/>
      <c r="H31" s="141"/>
      <c r="I31" s="141"/>
      <c r="J31" s="252"/>
      <c r="K31" s="141"/>
      <c r="L31" s="141"/>
      <c r="M31" s="141"/>
      <c r="N31" s="141"/>
    </row>
    <row r="32" spans="1:25" ht="36.75" customHeight="1" x14ac:dyDescent="0.25">
      <c r="A32" s="141"/>
      <c r="B32" s="421" t="str">
        <f>"где: где H - превышение верхней отметки взрываемого участка над участком границы опасной зоны, м. H = "&amp;Параметры!$D$31&amp;" "&amp;Параметры!$C$31</f>
        <v>где: где H - превышение верхней отметки взрываемого участка над участком границы опасной зоны, м. H = 0 м</v>
      </c>
      <c r="C32" s="349"/>
      <c r="D32" s="349"/>
      <c r="E32" s="349"/>
      <c r="F32" s="349"/>
      <c r="G32" s="349"/>
      <c r="H32" s="349"/>
      <c r="I32" s="349"/>
      <c r="J32" s="349"/>
      <c r="K32" s="349"/>
      <c r="L32" s="349"/>
      <c r="M32" s="349"/>
      <c r="N32" s="349"/>
    </row>
    <row r="33" spans="1:14" s="138" customFormat="1" ht="36.75" customHeight="1" x14ac:dyDescent="0.25">
      <c r="A33" s="141"/>
      <c r="B33" s="193"/>
      <c r="C33" s="119" t="s">
        <v>2765</v>
      </c>
      <c r="D33" s="249">
        <f>J9</f>
        <v>262.48249299719885</v>
      </c>
      <c r="E33" s="122" t="s">
        <v>2656</v>
      </c>
      <c r="F33" s="119">
        <f>J30</f>
        <v>1</v>
      </c>
      <c r="G33" s="119" t="s">
        <v>2658</v>
      </c>
      <c r="H33" s="249">
        <f>D33*F33</f>
        <v>262.48249299719885</v>
      </c>
      <c r="I33" s="141" t="s">
        <v>2435</v>
      </c>
      <c r="J33" s="141"/>
      <c r="K33" s="141"/>
      <c r="L33" s="141"/>
      <c r="M33" s="141"/>
      <c r="N33" s="141"/>
    </row>
    <row r="34" spans="1:14" ht="29.25" customHeight="1" x14ac:dyDescent="0.25">
      <c r="A34" s="141"/>
      <c r="B34" s="353" t="str">
        <f>"Окончательное значение радиуса опасной зоны по разлету отдельных кусков породы принимается равным "&amp;MAX(1000,INT(ROUNDUP('15'!$H$33/100,0))*100)&amp;" м."</f>
        <v>Окончательное значение радиуса опасной зоны по разлету отдельных кусков породы принимается равным 1000 м.</v>
      </c>
      <c r="C34" s="353"/>
      <c r="D34" s="353"/>
      <c r="E34" s="353"/>
      <c r="F34" s="353"/>
      <c r="G34" s="353"/>
      <c r="H34" s="353"/>
      <c r="I34" s="353"/>
      <c r="J34" s="353"/>
      <c r="K34" s="353"/>
      <c r="L34" s="353"/>
      <c r="M34" s="353"/>
      <c r="N34" s="353"/>
    </row>
    <row r="35" spans="1:14" ht="21" customHeight="1" x14ac:dyDescent="0.25">
      <c r="A35" s="141"/>
      <c r="B35" s="141"/>
      <c r="J35" s="141"/>
      <c r="K35" s="141"/>
      <c r="L35" s="141"/>
      <c r="M35" s="141"/>
      <c r="N35" s="141"/>
    </row>
    <row r="36" spans="1:14" hidden="1" x14ac:dyDescent="0.25">
      <c r="A36" s="111"/>
      <c r="B36" s="111"/>
      <c r="C36" s="111"/>
      <c r="D36" s="125"/>
      <c r="E36" s="111"/>
      <c r="F36" s="111"/>
      <c r="G36" s="111"/>
      <c r="H36" s="111"/>
      <c r="I36" s="111"/>
      <c r="J36" s="111"/>
      <c r="K36" s="111"/>
      <c r="L36" s="141"/>
      <c r="M36" s="141"/>
      <c r="N36" s="141"/>
    </row>
    <row r="37" spans="1:14" hidden="1" x14ac:dyDescent="0.25">
      <c r="A37" s="111"/>
      <c r="B37" s="111"/>
      <c r="C37" s="111"/>
      <c r="D37" s="111"/>
      <c r="E37" s="111"/>
      <c r="F37" s="111"/>
      <c r="G37" s="111"/>
      <c r="H37" s="111"/>
      <c r="I37" s="111"/>
      <c r="J37" s="111"/>
      <c r="K37" s="111"/>
      <c r="L37" s="141"/>
      <c r="M37" s="141"/>
      <c r="N37" s="141"/>
    </row>
    <row r="38" spans="1:14" hidden="1" x14ac:dyDescent="0.25">
      <c r="A38" s="111"/>
      <c r="B38" s="111"/>
      <c r="C38" s="111"/>
      <c r="D38" s="111"/>
      <c r="E38" s="111"/>
      <c r="F38" s="111"/>
      <c r="G38" s="111"/>
      <c r="H38" s="111"/>
      <c r="I38" s="111"/>
      <c r="J38" s="111"/>
      <c r="K38" s="111"/>
      <c r="L38" s="141"/>
      <c r="M38" s="141"/>
      <c r="N38" s="141"/>
    </row>
    <row r="39" spans="1:14" hidden="1" x14ac:dyDescent="0.25">
      <c r="A39" s="111"/>
      <c r="B39" s="111"/>
      <c r="C39" s="111"/>
      <c r="D39" s="111"/>
      <c r="E39" s="111"/>
      <c r="F39" s="111"/>
      <c r="G39" s="111"/>
      <c r="H39" s="111"/>
      <c r="I39" s="111"/>
      <c r="J39" s="111"/>
      <c r="K39" s="111"/>
      <c r="L39" s="141"/>
      <c r="M39" s="141"/>
      <c r="N39" s="141"/>
    </row>
    <row r="40" spans="1:14" hidden="1" x14ac:dyDescent="0.25">
      <c r="A40" s="111"/>
      <c r="B40" s="111"/>
      <c r="C40" s="111"/>
      <c r="D40" s="111"/>
      <c r="E40" s="111"/>
      <c r="F40" s="111"/>
      <c r="G40" s="111"/>
      <c r="H40" s="111"/>
      <c r="I40" s="111"/>
      <c r="J40" s="111"/>
      <c r="K40" s="111"/>
      <c r="L40" s="141"/>
      <c r="M40" s="141"/>
      <c r="N40" s="141"/>
    </row>
    <row r="41" spans="1:14" hidden="1" x14ac:dyDescent="0.25">
      <c r="A41" s="111"/>
      <c r="B41" s="111"/>
      <c r="C41" s="111"/>
      <c r="D41" s="111"/>
      <c r="E41" s="111"/>
      <c r="F41" s="111"/>
      <c r="G41" s="111"/>
      <c r="H41" s="111"/>
      <c r="I41" s="111"/>
      <c r="J41" s="111"/>
      <c r="K41" s="111"/>
      <c r="L41" s="141"/>
      <c r="M41" s="141"/>
      <c r="N41" s="141"/>
    </row>
    <row r="42" spans="1:14" hidden="1" x14ac:dyDescent="0.25">
      <c r="A42" s="111"/>
      <c r="B42" s="111"/>
      <c r="C42" s="111"/>
      <c r="D42" s="111"/>
      <c r="E42" s="111"/>
      <c r="F42" s="111"/>
      <c r="G42" s="111"/>
      <c r="H42" s="111"/>
      <c r="I42" s="111"/>
      <c r="J42" s="111"/>
      <c r="K42" s="111"/>
      <c r="L42" s="141"/>
      <c r="M42" s="141"/>
      <c r="N42" s="141"/>
    </row>
    <row r="43" spans="1:14" hidden="1" x14ac:dyDescent="0.25">
      <c r="A43" s="111"/>
      <c r="B43" s="111"/>
      <c r="C43" s="111"/>
      <c r="D43" s="111"/>
      <c r="E43" s="111"/>
      <c r="F43" s="111"/>
      <c r="G43" s="111"/>
      <c r="H43" s="111"/>
      <c r="I43" s="111"/>
      <c r="J43" s="111"/>
      <c r="K43" s="111"/>
      <c r="L43" s="141"/>
      <c r="M43" s="141"/>
      <c r="N43" s="141"/>
    </row>
    <row r="44" spans="1:14" hidden="1" x14ac:dyDescent="0.25">
      <c r="A44" s="111"/>
      <c r="B44" s="111"/>
      <c r="C44" s="111"/>
      <c r="D44" s="111"/>
      <c r="E44" s="111"/>
      <c r="F44" s="111"/>
      <c r="G44" s="111"/>
      <c r="H44" s="111"/>
      <c r="I44" s="111"/>
      <c r="J44" s="111"/>
      <c r="K44" s="111"/>
      <c r="L44" s="141"/>
      <c r="M44" s="141"/>
      <c r="N44" s="141"/>
    </row>
    <row r="45" spans="1:14" hidden="1" x14ac:dyDescent="0.25"/>
    <row r="46" spans="1:14" hidden="1" x14ac:dyDescent="0.25"/>
    <row r="47" spans="1:14" ht="15" hidden="1" customHeight="1" x14ac:dyDescent="0.25">
      <c r="F47" t="s">
        <v>2494</v>
      </c>
    </row>
    <row r="48" spans="1:14" ht="15" hidden="1" customHeight="1" x14ac:dyDescent="0.25"/>
    <row r="49" ht="15" hidden="1" customHeight="1" x14ac:dyDescent="0.25"/>
    <row r="50" ht="15" hidden="1" customHeight="1" x14ac:dyDescent="0.25"/>
    <row r="51" ht="15" hidden="1" customHeight="1" x14ac:dyDescent="0.25"/>
    <row r="52" ht="15" hidden="1" customHeight="1" x14ac:dyDescent="0.25"/>
    <row r="53" ht="15" hidden="1" customHeight="1" x14ac:dyDescent="0.25"/>
    <row r="54" ht="15" hidden="1" customHeight="1" x14ac:dyDescent="0.25"/>
    <row r="55" ht="15" hidden="1" customHeight="1" x14ac:dyDescent="0.25"/>
    <row r="56" ht="15" hidden="1" customHeight="1" x14ac:dyDescent="0.25"/>
    <row r="57" ht="15" hidden="1" customHeight="1" x14ac:dyDescent="0.25"/>
    <row r="58" ht="15" hidden="1" customHeight="1" x14ac:dyDescent="0.25"/>
    <row r="59" ht="15" hidden="1" customHeight="1" x14ac:dyDescent="0.25"/>
    <row r="60" ht="15" hidden="1" customHeight="1" x14ac:dyDescent="0.25"/>
    <row r="61" ht="15" hidden="1" customHeight="1" x14ac:dyDescent="0.25"/>
    <row r="62" ht="15" hidden="1" customHeight="1" x14ac:dyDescent="0.25"/>
  </sheetData>
  <mergeCells count="13">
    <mergeCell ref="B34:N34"/>
    <mergeCell ref="B2:N2"/>
    <mergeCell ref="B28:N28"/>
    <mergeCell ref="B22:N22"/>
    <mergeCell ref="B1:N1"/>
    <mergeCell ref="B32:N32"/>
    <mergeCell ref="B27:N27"/>
    <mergeCell ref="B16:J16"/>
    <mergeCell ref="B4:N4"/>
    <mergeCell ref="B12:N12"/>
    <mergeCell ref="B6:N6"/>
    <mergeCell ref="B14:J14"/>
    <mergeCell ref="B25:N25"/>
  </mergeCells>
  <pageMargins left="0.59055118110236227" right="0.39370078740157483" top="0.74803149606299213" bottom="0.74803149606299213" header="0.31496062992125984" footer="0.31496062992125984"/>
  <pageSetup paperSize="9" orientation="portrait" r:id="rId1" fitToWidth="1" fitToHeight="1"/>
  <drawing r:id="rId2"/>
  <legacyDrawing r:id="rId3"/>
  <oleObjects>
    <mc:AlternateContent xmlns:mc="http://schemas.openxmlformats.org/markup-compatibility/2006">
      <mc:Choice Requires="x14">
        <oleObject progId="Equation.3" shapeId="22529" r:id="rId4">
          <objectPr defaultSize="0" autoPict="0" r:id="rId5">
            <anchor moveWithCells="1" sizeWithCells="1">
              <from>
                <xdr:col>3</xdr:col>
                <xdr:colOff>523875</xdr:colOff>
                <xdr:row>5</xdr:row>
                <xdr:rowOff>419100</xdr:rowOff>
              </from>
              <to>
                <xdr:col>7</xdr:col>
                <xdr:colOff>152400</xdr:colOff>
                <xdr:row>7</xdr:row>
                <xdr:rowOff>38100</xdr:rowOff>
              </to>
            </anchor>
          </objectPr>
        </oleObject>
      </mc:Choice>
      <mc:Fallback>
        <oleObject progId="Equation.3" shapeId="22529" r:id="rId4"/>
      </mc:Fallback>
    </mc:AlternateContent>
    <mc:AlternateContent xmlns:mc="http://schemas.openxmlformats.org/markup-compatibility/2006">
      <mc:Choice Requires="x14">
        <oleObject progId="Equation.3" shapeId="22530" r:id="rId6">
          <objectPr defaultSize="0" autoPict="0" r:id="rId7">
            <anchor moveWithCells="1" sizeWithCells="1">
              <from>
                <xdr:col>0</xdr:col>
                <xdr:colOff>95250</xdr:colOff>
                <xdr:row>19</xdr:row>
                <xdr:rowOff>190500</xdr:rowOff>
              </from>
              <to>
                <xdr:col>1</xdr:col>
                <xdr:colOff>285750</xdr:colOff>
                <xdr:row>21</xdr:row>
                <xdr:rowOff>200025</xdr:rowOff>
              </to>
            </anchor>
          </objectPr>
        </oleObject>
      </mc:Choice>
      <mc:Fallback>
        <oleObject progId="Equation.3" shapeId="22530" r:id="rId6"/>
      </mc:Fallback>
    </mc:AlternateContent>
    <mc:AlternateContent xmlns:mc="http://schemas.openxmlformats.org/markup-compatibility/2006">
      <mc:Choice Requires="x14">
        <oleObject progId="Equation.3" shapeId="22531" r:id="rId8">
          <objectPr defaultSize="0" autoPict="0" r:id="rId9">
            <anchor moveWithCells="1" sizeWithCells="1">
              <from>
                <xdr:col>1</xdr:col>
                <xdr:colOff>552450</xdr:colOff>
                <xdr:row>28</xdr:row>
                <xdr:rowOff>85725</xdr:rowOff>
              </from>
              <to>
                <xdr:col>5</xdr:col>
                <xdr:colOff>171450</xdr:colOff>
                <xdr:row>30</xdr:row>
                <xdr:rowOff>133350</xdr:rowOff>
              </to>
            </anchor>
          </objectPr>
        </oleObject>
      </mc:Choice>
      <mc:Fallback>
        <oleObject progId="Equation.3" shapeId="22531" r:id="rId8"/>
      </mc:Fallback>
    </mc:AlternateContent>
  </oleObjec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20">
    <tabColor theme="6" tint="0.59999389629810485"/>
    <pageSetUpPr fitToPage="1"/>
  </sheetPr>
  <dimension ref="A1:XFC59"/>
  <sheetViews>
    <sheetView showGridLines="0" topLeftCell="A2" zoomScaleNormal="100" workbookViewId="0">
      <selection activeCell="B14" sqref="B14:M14"/>
    </sheetView>
  </sheetViews>
  <sheetFormatPr defaultColWidth="0" defaultRowHeight="15" customHeight="1" zeroHeight="1" x14ac:dyDescent="0.25"/>
  <cols>
    <col min="1" max="1" width="9.42578125" style="111" customWidth="1"/>
    <col min="2" max="2" width="5" style="111" customWidth="1"/>
    <col min="3" max="3" width="3" style="111" customWidth="1"/>
    <col min="4" max="4" width="9.28515625" style="111" customWidth="1"/>
    <col min="5" max="5" width="6.5703125" style="111" customWidth="1"/>
    <col min="6" max="6" width="6.140625" style="111" customWidth="1"/>
    <col min="7" max="7" width="5" style="111" customWidth="1"/>
    <col min="8" max="8" width="2.85546875" style="111" customWidth="1"/>
    <col min="9" max="9" width="4" style="111" customWidth="1"/>
    <col min="10" max="10" width="7" style="111" customWidth="1"/>
    <col min="11" max="11" width="7.140625" style="111" customWidth="1"/>
    <col min="12" max="12" width="6.42578125" style="111" customWidth="1"/>
    <col min="13" max="13" width="10.5703125" style="111" customWidth="1"/>
    <col min="14" max="15" width="9.140625" style="77" hidden="1" customWidth="1"/>
    <col min="16" max="27" width="0" style="77" hidden="1" customWidth="1"/>
    <col min="28" max="16383" width="9.140625" style="77" hidden="1"/>
    <col min="16384" max="16384" width="2.28515625" style="77" customWidth="1"/>
  </cols>
  <sheetData>
    <row r="1" spans="1:25" hidden="1" x14ac:dyDescent="0.25">
      <c r="A1" s="141"/>
      <c r="B1" s="141"/>
      <c r="C1" s="141"/>
      <c r="D1" s="141"/>
      <c r="E1" s="141"/>
      <c r="F1" s="141"/>
      <c r="G1" s="141"/>
      <c r="H1" s="141"/>
      <c r="I1" s="141"/>
      <c r="J1" s="141"/>
      <c r="K1" s="141"/>
      <c r="L1" s="141"/>
      <c r="M1" s="141"/>
    </row>
    <row r="2" spans="1:25" ht="29.25" customHeight="1" x14ac:dyDescent="0.25">
      <c r="A2" s="461" t="s">
        <v>2766</v>
      </c>
      <c r="B2" s="349"/>
      <c r="C2" s="349"/>
      <c r="D2" s="349"/>
      <c r="E2" s="349"/>
      <c r="F2" s="349"/>
      <c r="G2" s="349"/>
      <c r="H2" s="349"/>
      <c r="I2" s="349"/>
      <c r="J2" s="349"/>
      <c r="K2" s="349"/>
      <c r="L2" s="349"/>
      <c r="M2" s="349"/>
    </row>
    <row r="3" spans="1:25" ht="2.25" customHeight="1" x14ac:dyDescent="0.25">
      <c r="A3" s="141"/>
      <c r="B3" s="121"/>
      <c r="C3" s="121"/>
      <c r="D3" s="141"/>
      <c r="E3" s="141"/>
      <c r="F3" s="141"/>
      <c r="G3" s="141"/>
      <c r="H3" s="141"/>
      <c r="I3" s="141"/>
      <c r="J3" s="141"/>
      <c r="K3" s="141"/>
      <c r="L3" s="141"/>
      <c r="M3" s="141"/>
    </row>
    <row r="4" spans="1:25" ht="45" customHeight="1" x14ac:dyDescent="0.25">
      <c r="A4" s="117"/>
      <c r="B4" s="353" t="s">
        <v>2767</v>
      </c>
      <c r="C4" s="349"/>
      <c r="D4" s="349"/>
      <c r="E4" s="349"/>
      <c r="F4" s="349"/>
      <c r="G4" s="349"/>
      <c r="H4" s="349"/>
      <c r="I4" s="349"/>
      <c r="J4" s="349"/>
      <c r="K4" s="349"/>
      <c r="L4" s="349"/>
      <c r="M4" s="349"/>
    </row>
    <row r="5" spans="1:25" ht="22.5" customHeight="1" x14ac:dyDescent="0.25">
      <c r="A5" s="141"/>
      <c r="B5" s="141"/>
      <c r="C5" s="121"/>
      <c r="D5" s="121"/>
      <c r="E5" s="121"/>
      <c r="F5" s="121"/>
      <c r="G5" s="121"/>
      <c r="H5" s="121"/>
      <c r="I5" s="121"/>
      <c r="J5" s="121"/>
      <c r="K5" s="141"/>
      <c r="L5" s="121"/>
      <c r="M5" s="141"/>
    </row>
    <row r="6" spans="1:25" ht="14.25" customHeight="1" x14ac:dyDescent="0.25">
      <c r="A6" s="141"/>
      <c r="B6" s="121" t="s">
        <v>2768</v>
      </c>
      <c r="C6" s="141"/>
      <c r="D6" s="141"/>
      <c r="E6" s="141"/>
      <c r="F6" s="141"/>
      <c r="G6" s="141"/>
      <c r="H6" s="141"/>
      <c r="I6" s="141"/>
      <c r="J6" s="141"/>
      <c r="K6" s="141"/>
      <c r="L6" s="141"/>
      <c r="M6" s="141"/>
    </row>
    <row r="7" spans="1:25" ht="16.5" customHeight="1" x14ac:dyDescent="0.4">
      <c r="A7" s="141"/>
      <c r="B7" s="141"/>
      <c r="C7" s="121" t="s">
        <v>2769</v>
      </c>
      <c r="D7" s="121"/>
      <c r="E7" s="121"/>
      <c r="F7" s="121"/>
      <c r="G7" s="121"/>
      <c r="H7" s="121"/>
      <c r="I7" s="119"/>
      <c r="J7" s="151"/>
      <c r="K7" s="141"/>
      <c r="L7" s="168">
        <f>Параметры!$D$53</f>
        <v>32573.699899999989</v>
      </c>
      <c r="M7" s="141" t="s">
        <v>2470</v>
      </c>
      <c r="N7" s="50"/>
    </row>
    <row r="8" spans="1:25" ht="36.75" customHeight="1" x14ac:dyDescent="0.25">
      <c r="A8" s="236"/>
      <c r="B8" s="141"/>
      <c r="C8" s="353" t="s">
        <v>2770</v>
      </c>
      <c r="D8" s="349"/>
      <c r="E8" s="349"/>
      <c r="F8" s="349"/>
      <c r="G8" s="349"/>
      <c r="H8" s="349"/>
      <c r="I8" s="349"/>
      <c r="J8" s="349"/>
      <c r="K8" s="349"/>
      <c r="L8" s="349"/>
      <c r="M8" s="349"/>
      <c r="N8" s="97"/>
      <c r="O8" s="97"/>
      <c r="P8" s="97"/>
      <c r="Q8" s="97"/>
      <c r="R8" s="97"/>
    </row>
    <row r="9" spans="1:25" ht="3" customHeight="1" x14ac:dyDescent="0.25">
      <c r="A9" s="236"/>
      <c r="B9" s="141"/>
      <c r="C9" s="193"/>
      <c r="D9" s="193"/>
      <c r="E9" s="193"/>
      <c r="F9" s="193"/>
      <c r="G9" s="193"/>
      <c r="H9" s="193"/>
      <c r="I9" s="193"/>
      <c r="J9" s="193"/>
      <c r="K9" s="193"/>
      <c r="L9" s="193"/>
      <c r="M9" s="193"/>
      <c r="N9" s="97"/>
      <c r="O9" s="97"/>
      <c r="P9" s="97"/>
      <c r="Q9" s="97"/>
      <c r="R9" s="97"/>
    </row>
    <row r="10" spans="1:25" ht="18.75" customHeight="1" x14ac:dyDescent="0.25">
      <c r="A10" s="236"/>
      <c r="B10" s="121"/>
      <c r="C10" s="141"/>
      <c r="D10" s="141"/>
      <c r="E10" s="141" t="s">
        <v>2771</v>
      </c>
      <c r="F10" s="237" t="s">
        <v>2772</v>
      </c>
      <c r="G10" s="238">
        <f>L7^(1/3)</f>
        <v>31.936625843519678</v>
      </c>
      <c r="H10" s="239" t="s">
        <v>2658</v>
      </c>
      <c r="I10" s="240">
        <f>10*L7^(1/3)</f>
        <v>319.36625843519676</v>
      </c>
      <c r="J10" s="151" t="s">
        <v>2435</v>
      </c>
      <c r="K10" s="141"/>
      <c r="L10" s="141"/>
      <c r="M10" s="141"/>
      <c r="N10" s="97"/>
      <c r="O10" s="97"/>
      <c r="P10" s="97"/>
      <c r="Q10" s="97"/>
      <c r="R10" s="97"/>
    </row>
    <row r="11" spans="1:25" ht="39" customHeight="1" x14ac:dyDescent="0.25">
      <c r="A11" s="141"/>
      <c r="B11" s="397" t="str">
        <f>"Принимаем величину безопасного расстояния по действию УВВ для зданий и сооружений равной "&amp;ROUNDUP(I10*1.3/100,0)*100&amp;" м."</f>
        <v>Принимаем величину безопасного расстояния по действию УВВ для зданий и сооружений равной 500 м.</v>
      </c>
      <c r="C11" s="394"/>
      <c r="D11" s="394"/>
      <c r="E11" s="394"/>
      <c r="F11" s="394"/>
      <c r="G11" s="394"/>
      <c r="H11" s="394"/>
      <c r="I11" s="394"/>
      <c r="J11" s="394"/>
      <c r="K11" s="394"/>
      <c r="L11" s="394"/>
      <c r="M11" s="394"/>
      <c r="N11" s="102"/>
      <c r="O11" s="102"/>
      <c r="P11" s="102"/>
      <c r="Q11" s="102"/>
      <c r="R11" s="102"/>
      <c r="S11" s="102"/>
      <c r="T11" s="102"/>
    </row>
    <row r="12" spans="1:25" ht="2.25" customHeight="1" x14ac:dyDescent="0.25">
      <c r="A12" s="141"/>
      <c r="B12" s="173"/>
      <c r="C12" s="173"/>
      <c r="D12" s="173"/>
      <c r="E12" s="173"/>
      <c r="F12" s="173"/>
      <c r="G12" s="173"/>
      <c r="H12" s="173"/>
      <c r="I12" s="173"/>
      <c r="J12" s="173"/>
      <c r="K12" s="173"/>
      <c r="L12" s="173"/>
      <c r="M12" s="173"/>
      <c r="N12" s="102"/>
      <c r="O12" s="102"/>
      <c r="P12" s="102"/>
      <c r="Q12" s="102"/>
      <c r="R12" s="102"/>
      <c r="S12" s="102"/>
      <c r="T12" s="102"/>
    </row>
    <row r="13" spans="1:25" ht="15.75" customHeight="1" x14ac:dyDescent="0.25">
      <c r="A13" s="141"/>
      <c r="B13" s="149" t="s">
        <v>2773</v>
      </c>
      <c r="C13" s="185"/>
      <c r="D13" s="185"/>
      <c r="E13" s="185"/>
      <c r="F13" s="185"/>
      <c r="G13" s="185"/>
      <c r="H13" s="185"/>
      <c r="I13" s="185"/>
      <c r="J13" s="185"/>
      <c r="K13" s="185"/>
      <c r="L13" s="185"/>
      <c r="M13" s="185"/>
    </row>
    <row r="14" spans="1:25" ht="52.5" customHeight="1" x14ac:dyDescent="0.25">
      <c r="A14" s="141"/>
      <c r="B14" s="353" t="s">
        <v>2892</v>
      </c>
      <c r="C14" s="349"/>
      <c r="D14" s="349"/>
      <c r="E14" s="349"/>
      <c r="F14" s="349"/>
      <c r="G14" s="349"/>
      <c r="H14" s="349"/>
      <c r="I14" s="349"/>
      <c r="J14" s="349"/>
      <c r="K14" s="349"/>
      <c r="L14" s="349"/>
      <c r="M14" s="349"/>
      <c r="N14" s="102"/>
      <c r="O14" s="102"/>
      <c r="P14" s="102"/>
      <c r="Q14" s="102"/>
      <c r="R14" s="102"/>
      <c r="S14" s="102"/>
      <c r="T14" s="102"/>
      <c r="U14" s="102"/>
      <c r="V14" s="102"/>
      <c r="W14" s="102"/>
      <c r="X14" s="102"/>
      <c r="Y14" s="102"/>
    </row>
    <row r="15" spans="1:25" ht="6.75" customHeight="1" x14ac:dyDescent="0.25">
      <c r="A15" s="141"/>
      <c r="B15" s="173"/>
      <c r="C15" s="173"/>
      <c r="D15" s="173"/>
      <c r="E15" s="173"/>
      <c r="F15" s="173"/>
      <c r="G15" s="173"/>
      <c r="H15" s="173"/>
      <c r="I15" s="173"/>
      <c r="J15" s="173"/>
      <c r="K15" s="173"/>
      <c r="L15" s="173"/>
      <c r="M15" s="173"/>
      <c r="N15" s="102"/>
      <c r="O15" s="102"/>
      <c r="P15" s="102"/>
      <c r="Q15" s="102"/>
      <c r="R15" s="102"/>
      <c r="S15" s="102"/>
      <c r="T15" s="102"/>
      <c r="U15" s="102"/>
      <c r="V15" s="102"/>
      <c r="W15" s="102"/>
      <c r="X15" s="102"/>
      <c r="Y15" s="102"/>
    </row>
    <row r="16" spans="1:25" ht="20.25" customHeight="1" x14ac:dyDescent="0.25">
      <c r="A16" s="141"/>
      <c r="B16" s="173"/>
      <c r="C16" s="173"/>
      <c r="D16" s="173"/>
      <c r="E16" s="173"/>
      <c r="F16" s="173"/>
      <c r="G16" s="173"/>
      <c r="H16" s="173"/>
      <c r="I16" s="173"/>
      <c r="J16" s="173"/>
      <c r="K16" s="173"/>
      <c r="L16" s="120"/>
      <c r="M16" s="119"/>
      <c r="O16" s="102"/>
      <c r="P16" s="102"/>
      <c r="Q16" s="102"/>
      <c r="R16" s="102"/>
      <c r="S16" s="102"/>
      <c r="T16" s="102"/>
      <c r="U16" s="102"/>
      <c r="V16" s="102"/>
      <c r="W16" s="102"/>
      <c r="X16" s="102"/>
      <c r="Y16" s="102"/>
    </row>
    <row r="17" spans="1:25" ht="6.75" customHeight="1" x14ac:dyDescent="0.25">
      <c r="A17" s="141"/>
      <c r="B17" s="173"/>
      <c r="C17" s="173"/>
      <c r="D17" s="173"/>
      <c r="E17" s="173"/>
      <c r="F17" s="173"/>
      <c r="G17" s="173"/>
      <c r="H17" s="173"/>
      <c r="I17" s="173"/>
      <c r="J17" s="173"/>
      <c r="K17" s="173"/>
      <c r="L17" s="173"/>
      <c r="M17" s="173"/>
      <c r="N17" s="102"/>
      <c r="O17" s="102"/>
      <c r="P17" s="102"/>
      <c r="Q17" s="102"/>
      <c r="R17" s="102"/>
      <c r="S17" s="102"/>
      <c r="T17" s="102"/>
      <c r="U17" s="102"/>
      <c r="V17" s="102"/>
      <c r="W17" s="102"/>
      <c r="X17" s="102"/>
      <c r="Y17" s="102"/>
    </row>
    <row r="18" spans="1:25" ht="15.75" customHeight="1" x14ac:dyDescent="0.25">
      <c r="A18" s="141"/>
      <c r="B18" s="353" t="s">
        <v>2680</v>
      </c>
      <c r="C18" s="349"/>
      <c r="D18" s="349"/>
      <c r="E18" s="349"/>
      <c r="F18" s="349"/>
      <c r="G18" s="349"/>
      <c r="H18" s="349"/>
      <c r="I18" s="349"/>
      <c r="J18" s="349"/>
      <c r="K18" s="349"/>
      <c r="L18" s="349"/>
      <c r="M18" s="349"/>
    </row>
    <row r="19" spans="1:25" ht="31.5" customHeight="1" x14ac:dyDescent="0.25">
      <c r="A19" s="141"/>
      <c r="B19" s="173"/>
      <c r="C19" s="353" t="s">
        <v>2774</v>
      </c>
      <c r="D19" s="349"/>
      <c r="E19" s="349"/>
      <c r="F19" s="349"/>
      <c r="G19" s="349"/>
      <c r="H19" s="349"/>
      <c r="I19" s="349"/>
      <c r="J19" s="349"/>
      <c r="K19" s="349"/>
      <c r="L19" s="349"/>
      <c r="M19" s="349"/>
    </row>
    <row r="20" spans="1:25" ht="18.75" customHeight="1" x14ac:dyDescent="0.25">
      <c r="A20" s="141"/>
      <c r="B20" s="141"/>
      <c r="C20" s="121" t="s">
        <v>2775</v>
      </c>
      <c r="D20" s="191"/>
      <c r="E20" s="191"/>
      <c r="F20" s="191"/>
      <c r="G20" s="191"/>
      <c r="H20" s="191"/>
      <c r="I20" s="191"/>
      <c r="J20" s="191"/>
      <c r="K20" s="191"/>
      <c r="L20" s="191"/>
      <c r="M20" s="191"/>
    </row>
    <row r="21" spans="1:25" ht="33" customHeight="1" x14ac:dyDescent="0.25">
      <c r="A21" s="141"/>
      <c r="B21" s="141"/>
      <c r="C21" s="421" t="s">
        <v>2776</v>
      </c>
      <c r="D21" s="349"/>
      <c r="E21" s="349"/>
      <c r="F21" s="349"/>
      <c r="G21" s="349"/>
      <c r="H21" s="349"/>
      <c r="I21" s="349"/>
      <c r="J21" s="349"/>
      <c r="K21" s="349"/>
      <c r="L21" s="349"/>
      <c r="M21" s="349"/>
    </row>
    <row r="22" spans="1:25" ht="64.5" customHeight="1" x14ac:dyDescent="0.25">
      <c r="A22" s="141"/>
      <c r="B22" s="141"/>
      <c r="C22" s="421" t="s">
        <v>2777</v>
      </c>
      <c r="D22" s="349"/>
      <c r="E22" s="349"/>
      <c r="F22" s="349"/>
      <c r="G22" s="349"/>
      <c r="H22" s="349"/>
      <c r="I22" s="349"/>
      <c r="J22" s="349"/>
      <c r="K22" s="349"/>
      <c r="L22" s="349"/>
      <c r="M22" s="349"/>
    </row>
    <row r="23" spans="1:25" ht="15.75" customHeight="1" x14ac:dyDescent="0.25">
      <c r="A23" s="141"/>
      <c r="B23" s="141"/>
      <c r="C23" s="421" t="s">
        <v>2778</v>
      </c>
      <c r="D23" s="349"/>
      <c r="E23" s="349"/>
      <c r="F23" s="349"/>
      <c r="G23" s="349"/>
      <c r="H23" s="349"/>
      <c r="I23" s="349"/>
      <c r="J23" s="349"/>
      <c r="K23" s="349"/>
      <c r="L23" s="349"/>
      <c r="M23" s="349"/>
    </row>
    <row r="24" spans="1:25" ht="15.75" customHeight="1" x14ac:dyDescent="0.25">
      <c r="A24" s="141"/>
      <c r="B24" s="141"/>
      <c r="C24" s="241" t="str">
        <f>"Q = 2 * "&amp;TEXT(Параметры!$D$58,"0.0")&amp;" * 0,9 + 1 = "&amp;TEXT(2*Параметры!$D$58*0.9+1,"# ##0")&amp;" кг"</f>
        <v>Q = 2 * 165,3 * 0,9 + 1 = 299 кг</v>
      </c>
      <c r="D24" s="193"/>
      <c r="E24" s="193"/>
      <c r="F24" s="193"/>
      <c r="G24" s="193"/>
      <c r="H24" s="193"/>
      <c r="I24" s="193"/>
      <c r="J24" s="193"/>
      <c r="K24" s="193"/>
      <c r="L24" s="193"/>
      <c r="M24" s="193"/>
    </row>
    <row r="25" spans="1:25" ht="5.25" customHeight="1" x14ac:dyDescent="0.25">
      <c r="A25" s="141"/>
      <c r="B25" s="173"/>
      <c r="C25" s="173"/>
      <c r="D25" s="173"/>
      <c r="E25" s="173"/>
      <c r="F25" s="173"/>
      <c r="G25" s="173"/>
      <c r="H25" s="173"/>
      <c r="I25" s="173"/>
      <c r="J25" s="173"/>
      <c r="K25" s="173"/>
      <c r="L25" s="173"/>
      <c r="M25" s="173"/>
    </row>
    <row r="26" spans="1:25" ht="15.75" customHeight="1" x14ac:dyDescent="0.25">
      <c r="A26" s="141"/>
      <c r="B26" s="173"/>
      <c r="C26" s="173"/>
      <c r="D26" s="173"/>
      <c r="E26" s="117" t="s">
        <v>2779</v>
      </c>
      <c r="F26" s="242">
        <f>12*1.5*1/(2^(1/4))</f>
        <v>15.136135474566862</v>
      </c>
      <c r="G26" s="242" t="s">
        <v>2656</v>
      </c>
      <c r="H26" s="242">
        <f>(2*Параметры!$D$58*0.9+1)^(1/3)</f>
        <v>6.6841066429131066</v>
      </c>
      <c r="I26" s="242" t="s">
        <v>2658</v>
      </c>
      <c r="J26" s="243">
        <f>F26*H26</f>
        <v>101.17154367358509</v>
      </c>
      <c r="K26" s="244" t="s">
        <v>2435</v>
      </c>
      <c r="L26" s="173"/>
      <c r="M26" s="173"/>
    </row>
    <row r="27" spans="1:25" ht="4.5" customHeight="1" x14ac:dyDescent="0.25">
      <c r="A27" s="141"/>
      <c r="B27" s="141"/>
      <c r="C27" s="119"/>
      <c r="D27" s="119"/>
      <c r="E27" s="245"/>
      <c r="F27" s="119"/>
      <c r="G27" s="192"/>
      <c r="H27" s="192"/>
      <c r="I27" s="245"/>
      <c r="J27" s="192"/>
      <c r="K27" s="246"/>
      <c r="L27" s="192"/>
      <c r="M27" s="173"/>
    </row>
    <row r="28" spans="1:25" ht="19.5" customHeight="1" x14ac:dyDescent="0.25">
      <c r="A28" s="141"/>
      <c r="B28" s="399" t="str">
        <f>"Безопасное расстояние по сейсмическому действию принимаем равным "&amp;ROUNDUP(J26/10,0)*10&amp;" м"</f>
        <v>Безопасное расстояние по сейсмическому действию принимаем равным 110 м</v>
      </c>
      <c r="C28" s="399"/>
      <c r="D28" s="399"/>
      <c r="E28" s="399"/>
      <c r="F28" s="399"/>
      <c r="G28" s="399"/>
      <c r="H28" s="399"/>
      <c r="I28" s="399"/>
      <c r="J28" s="399"/>
      <c r="K28" s="399"/>
      <c r="L28" s="399"/>
      <c r="M28" s="399"/>
    </row>
    <row r="29" spans="1:25" ht="6" customHeight="1" x14ac:dyDescent="0.25">
      <c r="A29" s="141"/>
      <c r="B29" s="255"/>
      <c r="C29" s="255"/>
      <c r="D29" s="255"/>
      <c r="E29" s="255"/>
      <c r="F29" s="255"/>
      <c r="G29" s="255"/>
      <c r="H29" s="255"/>
      <c r="I29" s="255"/>
      <c r="J29" s="255"/>
      <c r="K29" s="255"/>
      <c r="L29" s="255"/>
      <c r="M29" s="255"/>
    </row>
    <row r="30" spans="1:25" ht="34.5" customHeight="1" x14ac:dyDescent="0.25">
      <c r="A30" s="461" t="s">
        <v>2780</v>
      </c>
      <c r="B30" s="461"/>
      <c r="C30" s="461"/>
      <c r="D30" s="461"/>
      <c r="E30" s="461"/>
      <c r="F30" s="461"/>
      <c r="G30" s="461"/>
      <c r="H30" s="461"/>
      <c r="I30" s="461"/>
      <c r="J30" s="461"/>
      <c r="K30" s="461"/>
      <c r="L30" s="461"/>
      <c r="M30" s="461"/>
    </row>
    <row r="31" spans="1:25" ht="4.5" customHeight="1" x14ac:dyDescent="0.25">
      <c r="A31" s="247"/>
      <c r="B31" s="247"/>
      <c r="C31" s="247"/>
      <c r="D31" s="247"/>
      <c r="E31" s="247"/>
      <c r="F31" s="247"/>
      <c r="G31" s="247"/>
      <c r="H31" s="247"/>
      <c r="I31" s="247"/>
      <c r="J31" s="247"/>
      <c r="K31" s="247"/>
      <c r="L31" s="247"/>
      <c r="M31" s="247"/>
    </row>
    <row r="32" spans="1:25" ht="52.5" customHeight="1" x14ac:dyDescent="0.25">
      <c r="A32" s="141"/>
      <c r="B32" s="353" t="s">
        <v>2781</v>
      </c>
      <c r="C32" s="349"/>
      <c r="D32" s="349"/>
      <c r="E32" s="349"/>
      <c r="F32" s="349"/>
      <c r="G32" s="349"/>
      <c r="H32" s="349"/>
      <c r="I32" s="349"/>
      <c r="J32" s="349"/>
      <c r="K32" s="349"/>
      <c r="L32" s="349"/>
      <c r="M32" s="349"/>
    </row>
    <row r="33" spans="1:13" ht="19.5" customHeight="1" x14ac:dyDescent="0.25">
      <c r="A33" s="141"/>
      <c r="B33" s="173"/>
      <c r="C33" s="173"/>
      <c r="D33" s="141"/>
      <c r="E33" s="173"/>
      <c r="F33" s="354" t="s">
        <v>2890</v>
      </c>
      <c r="G33" s="349"/>
      <c r="H33" s="349"/>
      <c r="I33" s="349"/>
      <c r="J33" s="173"/>
      <c r="K33" s="173"/>
      <c r="L33" s="173"/>
      <c r="M33" s="173"/>
    </row>
    <row r="34" spans="1:13" ht="21" customHeight="1" x14ac:dyDescent="0.25">
      <c r="A34" s="141"/>
      <c r="B34" s="141"/>
      <c r="C34" s="121"/>
      <c r="D34" s="121"/>
      <c r="E34" s="141"/>
      <c r="F34" s="153" t="s">
        <v>2891</v>
      </c>
      <c r="G34" s="248">
        <f>'15'!J9</f>
        <v>262.48249299719885</v>
      </c>
      <c r="H34" s="246" t="s">
        <v>2658</v>
      </c>
      <c r="I34" s="246">
        <f>1.4*G34</f>
        <v>367.47549019607834</v>
      </c>
      <c r="J34" s="173" t="s">
        <v>2435</v>
      </c>
      <c r="K34" s="141"/>
      <c r="L34" s="141"/>
      <c r="M34" s="141"/>
    </row>
    <row r="35" spans="1:13" ht="33.75" customHeight="1" x14ac:dyDescent="0.25">
      <c r="A35" s="141"/>
      <c r="B35" s="353" t="str">
        <f>"Расстояние, безопасное по высоте разлета отдельных кусков породы, принимаем равным "&amp;MAX(500,ROUNDUP(I34/100,0)*100)&amp;" м."</f>
        <v>Расстояние, безопасное по высоте разлета отдельных кусков породы, принимаем равным 500 м.</v>
      </c>
      <c r="C35" s="349"/>
      <c r="D35" s="349"/>
      <c r="E35" s="349"/>
      <c r="F35" s="349"/>
      <c r="G35" s="349"/>
      <c r="H35" s="349"/>
      <c r="I35" s="349"/>
      <c r="J35" s="349"/>
      <c r="K35" s="349"/>
      <c r="L35" s="349"/>
      <c r="M35" s="349"/>
    </row>
    <row r="36" spans="1:13" hidden="1" x14ac:dyDescent="0.25"/>
    <row r="37" spans="1:13" hidden="1" x14ac:dyDescent="0.25"/>
    <row r="38" spans="1:13" hidden="1" x14ac:dyDescent="0.25"/>
    <row r="39" spans="1:13" hidden="1" x14ac:dyDescent="0.25"/>
    <row r="40" spans="1:13" hidden="1" x14ac:dyDescent="0.25"/>
    <row r="41" spans="1:13" hidden="1" x14ac:dyDescent="0.25"/>
    <row r="42" spans="1:13" hidden="1" x14ac:dyDescent="0.25"/>
    <row r="43" spans="1:13" hidden="1" x14ac:dyDescent="0.25"/>
    <row r="44" spans="1:13" ht="15" hidden="1" customHeight="1" x14ac:dyDescent="0.25"/>
    <row r="45" spans="1:13" ht="15" hidden="1" customHeight="1" x14ac:dyDescent="0.25"/>
    <row r="46" spans="1:13" ht="15" hidden="1" customHeight="1" x14ac:dyDescent="0.25"/>
    <row r="47" spans="1:13" ht="15" hidden="1" customHeight="1" x14ac:dyDescent="0.25"/>
    <row r="48" spans="1:13" ht="15" hidden="1" customHeight="1" x14ac:dyDescent="0.25"/>
    <row r="49" ht="15" hidden="1" customHeight="1" x14ac:dyDescent="0.25"/>
    <row r="50" ht="15" hidden="1" customHeight="1" x14ac:dyDescent="0.25"/>
    <row r="51" ht="15" hidden="1" customHeight="1" x14ac:dyDescent="0.25"/>
    <row r="52" ht="15" hidden="1" customHeight="1" x14ac:dyDescent="0.25"/>
    <row r="53" ht="15" hidden="1" customHeight="1" x14ac:dyDescent="0.25"/>
    <row r="54" ht="15" hidden="1" customHeight="1" x14ac:dyDescent="0.25"/>
    <row r="55" ht="15" hidden="1" customHeight="1" x14ac:dyDescent="0.25"/>
    <row r="56" ht="15" customHeight="1" x14ac:dyDescent="0.25"/>
    <row r="57" ht="15" customHeight="1" x14ac:dyDescent="0.25"/>
    <row r="58" ht="15" customHeight="1" x14ac:dyDescent="0.25"/>
    <row r="59" ht="15" customHeight="1" x14ac:dyDescent="0.25"/>
  </sheetData>
  <mergeCells count="15">
    <mergeCell ref="B28:M28"/>
    <mergeCell ref="B32:M32"/>
    <mergeCell ref="F33:I33"/>
    <mergeCell ref="B35:M35"/>
    <mergeCell ref="C19:M19"/>
    <mergeCell ref="A30:M30"/>
    <mergeCell ref="B11:M11"/>
    <mergeCell ref="C22:M22"/>
    <mergeCell ref="A2:M2"/>
    <mergeCell ref="C8:M8"/>
    <mergeCell ref="C23:M23"/>
    <mergeCell ref="B18:M18"/>
    <mergeCell ref="C21:M21"/>
    <mergeCell ref="B14:M14"/>
    <mergeCell ref="B4:M4"/>
  </mergeCells>
  <pageMargins left="0.59055118110236227" right="0.39370078740157483" top="0.74803149606299213" bottom="0.74803149606299213" header="0.31496062992125984" footer="0.31496062992125984"/>
  <pageSetup paperSize="9" orientation="portrait" r:id="rId1" fitToWidth="1" fitToHeight="1"/>
  <rowBreaks count="1" manualBreakCount="1">
    <brk id="35" max="41" man="1"/>
  </row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21">
    <tabColor theme="6" tint="0.59999389629810485"/>
  </sheetPr>
  <dimension ref="A1:N36"/>
  <sheetViews>
    <sheetView showGridLines="0" showRowColHeaders="0" zoomScaleNormal="100" workbookViewId="0">
      <selection activeCell="H24" sqref="H24"/>
    </sheetView>
  </sheetViews>
  <sheetFormatPr defaultColWidth="0" defaultRowHeight="15" customHeight="1" zeroHeight="1" x14ac:dyDescent="0.25"/>
  <cols>
    <col min="1" max="1" width="7.42578125" style="111" customWidth="1"/>
    <col min="2" max="8" width="9.140625" style="111" customWidth="1"/>
    <col min="9" max="9" width="10" style="111" customWidth="1"/>
    <col min="10" max="10" width="10.28515625" style="111" customWidth="1"/>
    <col min="11" max="11" width="9.140625" style="77" hidden="1" customWidth="1"/>
    <col min="12" max="14" width="0" style="77" hidden="1" customWidth="1"/>
    <col min="15" max="15" width="9.140625" style="77" hidden="1" customWidth="1"/>
    <col min="16" max="16384" width="9.140625" style="77" hidden="1"/>
  </cols>
  <sheetData>
    <row r="1" spans="1:10" ht="1.5" customHeight="1" x14ac:dyDescent="0.25">
      <c r="A1" s="77"/>
      <c r="B1" s="77"/>
      <c r="C1" s="77"/>
      <c r="D1" s="77"/>
      <c r="E1" s="77"/>
      <c r="F1" s="77"/>
      <c r="G1" s="77"/>
      <c r="H1" s="77"/>
      <c r="I1" s="77"/>
      <c r="J1" s="77"/>
    </row>
    <row r="2" spans="1:10" ht="15.75" hidden="1" customHeight="1" x14ac:dyDescent="0.25">
      <c r="A2" s="77"/>
      <c r="B2" s="77"/>
      <c r="C2" s="99"/>
      <c r="D2" s="77"/>
      <c r="E2" s="77"/>
      <c r="F2" s="77"/>
      <c r="G2" s="77"/>
      <c r="H2" s="77"/>
      <c r="I2" s="77"/>
      <c r="J2" s="77"/>
    </row>
    <row r="3" spans="1:10" ht="15" customHeight="1" x14ac:dyDescent="0.25">
      <c r="B3" s="465" t="s">
        <v>2782</v>
      </c>
      <c r="C3" s="349"/>
      <c r="D3" s="349"/>
      <c r="E3" s="349"/>
      <c r="F3" s="349"/>
      <c r="G3" s="349"/>
      <c r="H3" s="349"/>
      <c r="I3" s="349"/>
      <c r="J3" s="349"/>
    </row>
    <row r="4" spans="1:10" ht="14.25" customHeight="1" x14ac:dyDescent="0.25">
      <c r="B4" s="465" t="s">
        <v>2783</v>
      </c>
      <c r="C4" s="349"/>
      <c r="D4" s="349"/>
      <c r="E4" s="349"/>
      <c r="F4" s="349"/>
      <c r="G4" s="349"/>
      <c r="H4" s="349"/>
      <c r="I4" s="349"/>
      <c r="J4" s="349"/>
    </row>
    <row r="5" spans="1:10" ht="15.75" hidden="1" customHeight="1" x14ac:dyDescent="0.25">
      <c r="C5" s="112"/>
    </row>
    <row r="6" spans="1:10" ht="46.5" customHeight="1" x14ac:dyDescent="0.25">
      <c r="B6" s="462" t="s">
        <v>2784</v>
      </c>
      <c r="C6" s="349"/>
      <c r="D6" s="349"/>
      <c r="E6" s="349"/>
      <c r="F6" s="349"/>
      <c r="G6" s="349"/>
      <c r="H6" s="349"/>
      <c r="I6" s="349"/>
      <c r="J6" s="349"/>
    </row>
    <row r="7" spans="1:10" ht="15.75" customHeight="1" x14ac:dyDescent="0.25">
      <c r="C7" s="113"/>
      <c r="G7" s="48" t="s">
        <v>2664</v>
      </c>
    </row>
    <row r="8" spans="1:10" ht="29.25" customHeight="1" x14ac:dyDescent="0.25">
      <c r="B8" s="462" t="s">
        <v>2864</v>
      </c>
      <c r="C8" s="349"/>
      <c r="D8" s="349"/>
      <c r="E8" s="349"/>
      <c r="F8" s="349"/>
      <c r="G8" s="349"/>
      <c r="H8" s="349"/>
      <c r="I8" s="349"/>
      <c r="J8" s="349"/>
    </row>
    <row r="9" spans="1:10" ht="33" customHeight="1" x14ac:dyDescent="0.25">
      <c r="B9" s="462" t="s">
        <v>2785</v>
      </c>
      <c r="C9" s="349"/>
      <c r="D9" s="349"/>
      <c r="E9" s="349"/>
      <c r="F9" s="349"/>
      <c r="G9" s="349"/>
      <c r="H9" s="349"/>
      <c r="I9" s="349"/>
      <c r="J9" s="349"/>
    </row>
    <row r="10" spans="1:10" ht="17.25" customHeight="1" x14ac:dyDescent="0.25">
      <c r="B10" s="464" t="s">
        <v>2786</v>
      </c>
      <c r="C10" s="349"/>
      <c r="D10" s="349"/>
      <c r="E10" s="349"/>
      <c r="F10" s="349"/>
      <c r="G10" s="349"/>
      <c r="H10" s="349"/>
      <c r="I10" s="349"/>
      <c r="J10" s="349"/>
    </row>
    <row r="11" spans="1:10" ht="15" customHeight="1" x14ac:dyDescent="0.25">
      <c r="B11" s="464" t="s">
        <v>2787</v>
      </c>
      <c r="C11" s="349"/>
      <c r="D11" s="349"/>
      <c r="E11" s="349"/>
      <c r="F11" s="349"/>
      <c r="G11" s="349"/>
      <c r="H11" s="349"/>
      <c r="I11" s="349"/>
      <c r="J11" s="349"/>
    </row>
    <row r="12" spans="1:10" ht="93" customHeight="1" x14ac:dyDescent="0.25">
      <c r="B12" s="462" t="s">
        <v>2788</v>
      </c>
      <c r="C12" s="462"/>
      <c r="D12" s="462"/>
      <c r="E12" s="462"/>
      <c r="F12" s="462"/>
      <c r="G12" s="462"/>
      <c r="H12" s="462"/>
      <c r="I12" s="462"/>
      <c r="J12" s="462"/>
    </row>
    <row r="13" spans="1:10" ht="15" customHeight="1" x14ac:dyDescent="0.25">
      <c r="B13" s="463" t="s">
        <v>2789</v>
      </c>
      <c r="C13" s="349"/>
      <c r="D13" s="349"/>
      <c r="E13" s="349"/>
      <c r="F13" s="349"/>
      <c r="G13" s="349"/>
      <c r="H13" s="349"/>
      <c r="I13" s="349"/>
      <c r="J13" s="349"/>
    </row>
    <row r="14" spans="1:10" ht="21" customHeight="1" x14ac:dyDescent="0.25"/>
    <row r="15" spans="1:10" ht="17.25" customHeight="1" x14ac:dyDescent="0.25">
      <c r="B15" s="463" t="s">
        <v>2790</v>
      </c>
      <c r="C15" s="349"/>
      <c r="D15" s="349"/>
      <c r="E15" s="349"/>
      <c r="F15" s="349"/>
      <c r="G15" s="349"/>
      <c r="H15" s="349"/>
      <c r="I15" s="349"/>
      <c r="J15" s="349"/>
    </row>
    <row r="16" spans="1:10" x14ac:dyDescent="0.25"/>
    <row r="17" spans="2:13" ht="38.25" customHeight="1" x14ac:dyDescent="0.25">
      <c r="B17" s="462" t="s">
        <v>2791</v>
      </c>
      <c r="C17" s="349"/>
      <c r="D17" s="349"/>
      <c r="E17" s="349"/>
      <c r="F17" s="349"/>
      <c r="G17" s="349"/>
      <c r="H17" s="349"/>
      <c r="I17" s="349"/>
      <c r="J17" s="349"/>
    </row>
    <row r="18" spans="2:13" ht="30" customHeight="1" x14ac:dyDescent="0.25">
      <c r="B18" s="466" t="s">
        <v>2792</v>
      </c>
      <c r="C18" s="349"/>
      <c r="D18" s="349"/>
      <c r="E18" s="349"/>
      <c r="F18" s="349"/>
      <c r="G18" s="349"/>
      <c r="H18" s="349"/>
      <c r="I18" s="349"/>
      <c r="J18" s="349"/>
      <c r="K18" s="103"/>
      <c r="L18" s="103"/>
      <c r="M18" s="103"/>
    </row>
    <row r="19" spans="2:13" ht="15.75" customHeight="1" x14ac:dyDescent="0.25">
      <c r="C19" s="114" t="str">
        <f>"для людей – "&amp;MAX(1000,INT(ROUNDUP('15'!$H$33/100,0))*100)&amp;" м."</f>
        <v>для людей – 1000 м.</v>
      </c>
    </row>
    <row r="20" spans="2:13" ht="15.75" customHeight="1" x14ac:dyDescent="0.25">
      <c r="C20" s="114" t="str">
        <f>"для оборудования – "&amp;MAX(600,ROUNDUP('16'!$I$34/100,0)*100)&amp;" м."</f>
        <v>для оборудования – 600 м.</v>
      </c>
    </row>
    <row r="21" spans="2:13" ht="36" customHeight="1" x14ac:dyDescent="0.25">
      <c r="B21" s="462" t="s">
        <v>2793</v>
      </c>
      <c r="C21" s="462"/>
      <c r="D21" s="462"/>
      <c r="E21" s="462"/>
      <c r="F21" s="462"/>
      <c r="G21" s="462"/>
      <c r="H21" s="462"/>
      <c r="I21" s="462"/>
      <c r="J21" s="462"/>
    </row>
    <row r="22" spans="2:13" ht="15" customHeight="1" x14ac:dyDescent="0.25">
      <c r="B22" s="462"/>
      <c r="C22" s="462"/>
      <c r="D22" s="462"/>
      <c r="E22" s="462"/>
      <c r="F22" s="462"/>
      <c r="G22" s="462"/>
      <c r="H22" s="462"/>
      <c r="I22" s="462"/>
      <c r="J22" s="462"/>
    </row>
    <row r="23" spans="2:13" ht="15" customHeight="1" x14ac:dyDescent="0.25">
      <c r="B23" s="462"/>
      <c r="C23" s="462"/>
      <c r="D23" s="462"/>
      <c r="E23" s="462"/>
      <c r="F23" s="462"/>
      <c r="G23" s="462"/>
      <c r="H23" s="462"/>
      <c r="I23" s="462"/>
      <c r="J23" s="462"/>
    </row>
    <row r="24" spans="2:13" ht="15" customHeight="1" x14ac:dyDescent="0.25"/>
    <row r="25" spans="2:13" ht="15" customHeight="1" x14ac:dyDescent="0.25">
      <c r="B25" s="47" t="str">
        <f>"Расчет составил: "</f>
        <v xml:space="preserve">Расчет составил: </v>
      </c>
      <c r="C25" s="47"/>
      <c r="D25" s="47"/>
      <c r="E25" s="47"/>
      <c r="F25" s="47"/>
      <c r="G25" s="47"/>
      <c r="H25" s="47"/>
      <c r="I25" s="47"/>
    </row>
    <row r="26" spans="2:13" ht="15" customHeight="1" x14ac:dyDescent="0.25">
      <c r="B26" s="47"/>
    </row>
    <row r="27" spans="2:13" ht="15" customHeight="1" x14ac:dyDescent="0.25">
      <c r="C27" s="47" t="str">
        <f>Справочник!$M$6&amp;" ____________________ /"&amp;IFERROR(LEFT(Справочник!$N$6,FIND(CHAR(32),Справочник!$N$6,1)-1)&amp;" "&amp;MID(Справочник!$N$6,FIND(CHAR(32),Справочник!$N$6)+1,1)&amp;"."&amp;MID(Справочник!$N$6,SEARCH(CHAR(32),Справочник!$N$6,FIND(CHAR(32),Справочник!$N$6,1)+1)+1,1)&amp;".","")&amp;"/"</f>
        <v xml:space="preserve"> Начальник участка "Хаптагай-Хая" ____________________ /Шмелёв С.В./</v>
      </c>
    </row>
    <row r="28" spans="2:13" ht="15" customHeight="1" x14ac:dyDescent="0.25">
      <c r="B28" s="47"/>
    </row>
    <row r="29" spans="2:13" ht="15" customHeight="1" x14ac:dyDescent="0.25">
      <c r="B29" s="115" t="s">
        <v>2794</v>
      </c>
    </row>
    <row r="30" spans="2:13" x14ac:dyDescent="0.25">
      <c r="B30" s="115" t="s">
        <v>2795</v>
      </c>
    </row>
    <row r="31" spans="2:13" x14ac:dyDescent="0.25">
      <c r="B31" s="116" t="s">
        <v>2796</v>
      </c>
      <c r="C31" s="116"/>
      <c r="D31" s="116"/>
      <c r="E31" s="116"/>
      <c r="F31" s="116"/>
    </row>
    <row r="32" spans="2:13" x14ac:dyDescent="0.25">
      <c r="B32" s="64" t="s">
        <v>2797</v>
      </c>
    </row>
    <row r="33" spans="2:10" ht="15.75" customHeight="1" x14ac:dyDescent="0.25">
      <c r="B33" s="462"/>
      <c r="C33" s="349"/>
      <c r="D33" s="349"/>
      <c r="E33" s="349"/>
      <c r="F33" s="349"/>
      <c r="G33" s="349"/>
      <c r="H33" s="349"/>
      <c r="I33" s="349"/>
      <c r="J33" s="349"/>
    </row>
    <row r="34" spans="2:10" ht="15" customHeight="1" x14ac:dyDescent="0.25"/>
    <row r="35" spans="2:10" ht="15" customHeight="1" x14ac:dyDescent="0.25"/>
    <row r="36" spans="2:10" ht="15" customHeight="1" x14ac:dyDescent="0.25"/>
  </sheetData>
  <mergeCells count="14">
    <mergeCell ref="B21:J23"/>
    <mergeCell ref="B15:J15"/>
    <mergeCell ref="B33:J33"/>
    <mergeCell ref="B11:J11"/>
    <mergeCell ref="B3:J3"/>
    <mergeCell ref="B10:J10"/>
    <mergeCell ref="B17:J17"/>
    <mergeCell ref="B9:J9"/>
    <mergeCell ref="B18:J18"/>
    <mergeCell ref="B8:J8"/>
    <mergeCell ref="B4:J4"/>
    <mergeCell ref="B12:J12"/>
    <mergeCell ref="B13:J13"/>
    <mergeCell ref="B6:J6"/>
  </mergeCells>
  <pageMargins left="0.59055118110236227" right="0.39370078740157483" top="0.74803149606299213" bottom="0.74803149606299213" header="0.31496062992125984" footer="0.31496062992125984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Equation.3" shapeId="7169" r:id="rId4">
          <objectPr defaultSize="0" autoPict="0" r:id="rId5">
            <anchor moveWithCells="1" sizeWithCells="1">
              <from>
                <xdr:col>3</xdr:col>
                <xdr:colOff>523875</xdr:colOff>
                <xdr:row>6</xdr:row>
                <xdr:rowOff>0</xdr:rowOff>
              </from>
              <to>
                <xdr:col>6</xdr:col>
                <xdr:colOff>38100</xdr:colOff>
                <xdr:row>7</xdr:row>
                <xdr:rowOff>19050</xdr:rowOff>
              </to>
            </anchor>
          </objectPr>
        </oleObject>
      </mc:Choice>
      <mc:Fallback>
        <oleObject progId="Equation.3" shapeId="7169" r:id="rId4"/>
      </mc:Fallback>
    </mc:AlternateContent>
    <mc:AlternateContent xmlns:mc="http://schemas.openxmlformats.org/markup-compatibility/2006">
      <mc:Choice Requires="x14">
        <oleObject progId="Equation.3" shapeId="7170" r:id="rId6">
          <objectPr defaultSize="0" autoPict="0" r:id="rId7">
            <anchor moveWithCells="1" sizeWithCells="1">
              <from>
                <xdr:col>3</xdr:col>
                <xdr:colOff>190500</xdr:colOff>
                <xdr:row>13</xdr:row>
                <xdr:rowOff>9525</xdr:rowOff>
              </from>
              <to>
                <xdr:col>7</xdr:col>
                <xdr:colOff>371475</xdr:colOff>
                <xdr:row>14</xdr:row>
                <xdr:rowOff>9525</xdr:rowOff>
              </to>
            </anchor>
          </objectPr>
        </oleObject>
      </mc:Choice>
      <mc:Fallback>
        <oleObject progId="Equation.3" shapeId="7170" r:id="rId6"/>
      </mc:Fallback>
    </mc:AlternateContent>
    <mc:AlternateContent xmlns:mc="http://schemas.openxmlformats.org/markup-compatibility/2006">
      <mc:Choice Requires="x14">
        <oleObject progId="Equation.3" shapeId="7171" r:id="rId8">
          <objectPr defaultSize="0" autoPict="0" r:id="rId9">
            <anchor moveWithCells="1" sizeWithCells="1">
              <from>
                <xdr:col>3</xdr:col>
                <xdr:colOff>190500</xdr:colOff>
                <xdr:row>15</xdr:row>
                <xdr:rowOff>0</xdr:rowOff>
              </from>
              <to>
                <xdr:col>7</xdr:col>
                <xdr:colOff>228600</xdr:colOff>
                <xdr:row>16</xdr:row>
                <xdr:rowOff>76200</xdr:rowOff>
              </to>
            </anchor>
          </objectPr>
        </oleObject>
      </mc:Choice>
      <mc:Fallback>
        <oleObject progId="Equation.3" shapeId="7171" r:id="rId8"/>
      </mc:Fallback>
    </mc:AlternateContent>
  </oleObjec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Лист23">
    <tabColor rgb="FF92D050"/>
  </sheetPr>
  <dimension ref="A1"/>
  <sheetViews>
    <sheetView showGridLines="0" workbookViewId="0">
      <selection activeCell="M50" sqref="M50"/>
    </sheetView>
  </sheetViews>
  <sheetFormatPr defaultColWidth="9.140625" defaultRowHeight="15" x14ac:dyDescent="0.25"/>
  <cols>
    <col min="1" max="1" width="9.140625" style="77" customWidth="1"/>
    <col min="2" max="16384" width="9.140625" style="77"/>
  </cols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Лист24"/>
  <dimension ref="B2:W27"/>
  <sheetViews>
    <sheetView showGridLines="0" topLeftCell="K1" zoomScale="96" zoomScaleNormal="96" workbookViewId="0">
      <pane ySplit="2" topLeftCell="A3" activePane="bottomLeft" state="frozen"/>
      <selection pane="bottomLeft" activeCell="M6" sqref="M6:N23"/>
    </sheetView>
  </sheetViews>
  <sheetFormatPr defaultColWidth="9.140625" defaultRowHeight="12.75" x14ac:dyDescent="0.2"/>
  <cols>
    <col min="1" max="1" width="1.140625" style="68" customWidth="1"/>
    <col min="2" max="2" width="19.7109375" style="68" customWidth="1"/>
    <col min="3" max="3" width="6.85546875" style="68" customWidth="1"/>
    <col min="4" max="4" width="1.140625" style="68" customWidth="1"/>
    <col min="5" max="5" width="8.5703125" style="68" customWidth="1"/>
    <col min="6" max="6" width="6.28515625" style="28" customWidth="1"/>
    <col min="7" max="7" width="8.28515625" style="68" customWidth="1"/>
    <col min="8" max="8" width="14.140625" style="68" customWidth="1"/>
    <col min="9" max="9" width="28.28515625" style="68" customWidth="1"/>
    <col min="10" max="10" width="21.5703125" style="68" bestFit="1" customWidth="1"/>
    <col min="11" max="11" width="19.85546875" style="68" customWidth="1"/>
    <col min="12" max="12" width="1.5703125" style="68" customWidth="1"/>
    <col min="13" max="13" width="33.5703125" style="68" customWidth="1"/>
    <col min="14" max="14" width="36.7109375" style="68" customWidth="1"/>
    <col min="15" max="15" width="44.85546875" style="68" customWidth="1"/>
    <col min="16" max="17" width="40.5703125" style="68" customWidth="1"/>
    <col min="18" max="18" width="8.7109375" style="68" customWidth="1"/>
    <col min="19" max="19" width="14.85546875" style="68" customWidth="1"/>
    <col min="20" max="20" width="0.85546875" style="68" customWidth="1"/>
    <col min="21" max="21" width="20.42578125" style="68" bestFit="1" customWidth="1"/>
    <col min="22" max="22" width="1" style="68" customWidth="1"/>
    <col min="23" max="23" width="21.140625" style="68" bestFit="1" customWidth="1"/>
    <col min="24" max="24" width="9.140625" style="68" customWidth="1"/>
    <col min="25" max="16384" width="9.140625" style="68"/>
  </cols>
  <sheetData>
    <row r="2" spans="2:23" ht="15" customHeight="1" x14ac:dyDescent="0.2">
      <c r="B2" s="11" t="s">
        <v>2798</v>
      </c>
      <c r="C2" s="12" t="s">
        <v>2799</v>
      </c>
      <c r="E2" s="13" t="s">
        <v>2800</v>
      </c>
      <c r="F2" s="14" t="s">
        <v>2801</v>
      </c>
      <c r="G2" s="14" t="s">
        <v>2431</v>
      </c>
      <c r="H2" s="14" t="s">
        <v>2802</v>
      </c>
      <c r="J2" s="11" t="s">
        <v>2803</v>
      </c>
      <c r="K2" s="12" t="s">
        <v>2804</v>
      </c>
      <c r="M2" s="15" t="s">
        <v>2805</v>
      </c>
      <c r="N2" s="16" t="s">
        <v>2806</v>
      </c>
      <c r="O2" s="17" t="s">
        <v>8</v>
      </c>
      <c r="P2" s="73" t="s">
        <v>2807</v>
      </c>
      <c r="S2" s="18" t="s">
        <v>2808</v>
      </c>
      <c r="U2" s="56" t="s">
        <v>2424</v>
      </c>
      <c r="W2" s="55" t="s">
        <v>2440</v>
      </c>
    </row>
    <row r="3" spans="2:23" x14ac:dyDescent="0.2">
      <c r="B3" s="19" t="s">
        <v>2427</v>
      </c>
      <c r="C3" s="20">
        <v>0.82</v>
      </c>
      <c r="E3" s="18" t="s">
        <v>2809</v>
      </c>
      <c r="F3" s="21">
        <v>-46</v>
      </c>
      <c r="G3" s="110">
        <v>0.88784999999999992</v>
      </c>
      <c r="H3" s="110">
        <v>0.87870799999999993</v>
      </c>
      <c r="J3" s="22"/>
      <c r="K3" s="23"/>
      <c r="M3" s="22"/>
      <c r="N3" s="18"/>
      <c r="O3" s="23"/>
      <c r="P3" s="71" t="str">
        <f>Таблица2[[#This Row],[Должность]]&amp;" "&amp;Таблица2[[#This Row],[Фамилия Имя Отчество]]</f>
        <v xml:space="preserve"> </v>
      </c>
      <c r="S3" s="24">
        <v>1</v>
      </c>
      <c r="U3" s="57" t="s">
        <v>2810</v>
      </c>
      <c r="W3" s="58"/>
    </row>
    <row r="4" spans="2:23" x14ac:dyDescent="0.2">
      <c r="B4" s="19"/>
      <c r="C4" s="20"/>
      <c r="E4" s="18" t="s">
        <v>2811</v>
      </c>
      <c r="F4" s="21">
        <v>-42</v>
      </c>
      <c r="G4" s="110">
        <v>0.88495000000000001</v>
      </c>
      <c r="H4" s="110">
        <v>0.87575599999999998</v>
      </c>
      <c r="J4" s="19" t="s">
        <v>2812</v>
      </c>
      <c r="K4" s="20" t="s">
        <v>2813</v>
      </c>
      <c r="M4" s="22" t="s">
        <v>2814</v>
      </c>
      <c r="N4" s="25" t="s">
        <v>2815</v>
      </c>
      <c r="O4" s="23"/>
      <c r="P4" s="71" t="str">
        <f>Таблица2[[#This Row],[Должность]]&amp;" "&amp;Таблица2[[#This Row],[Фамилия Имя Отчество]]</f>
        <v>Генеральный директор Каздобин Андрей Витальевич</v>
      </c>
      <c r="U4" s="57" t="s">
        <v>2425</v>
      </c>
      <c r="W4" s="58">
        <v>0.9</v>
      </c>
    </row>
    <row r="5" spans="2:23" x14ac:dyDescent="0.2">
      <c r="B5" s="26"/>
      <c r="C5" s="27"/>
      <c r="E5" s="18" t="s">
        <v>2816</v>
      </c>
      <c r="F5" s="21">
        <v>-31</v>
      </c>
      <c r="G5" s="110">
        <v>0.87697499999999995</v>
      </c>
      <c r="H5" s="110">
        <v>0.86763799999999991</v>
      </c>
      <c r="J5" s="19" t="s">
        <v>2817</v>
      </c>
      <c r="K5" s="20" t="s">
        <v>2813</v>
      </c>
      <c r="M5" s="22" t="s">
        <v>2818</v>
      </c>
      <c r="N5" s="25" t="s">
        <v>2819</v>
      </c>
      <c r="O5" s="23"/>
      <c r="P5" s="71" t="str">
        <f>Таблица2[[#This Row],[Должность]]&amp;" "&amp;Таблица2[[#This Row],[Фамилия Имя Отчество]]</f>
        <v>Главный инженер Парамонов Вячеслав Иванович</v>
      </c>
      <c r="W5" s="58">
        <v>1</v>
      </c>
    </row>
    <row r="6" spans="2:23" x14ac:dyDescent="0.2">
      <c r="E6" s="18" t="s">
        <v>2820</v>
      </c>
      <c r="F6" s="21">
        <v>-14</v>
      </c>
      <c r="G6" s="110">
        <v>0.86464999999999992</v>
      </c>
      <c r="H6" s="110">
        <v>0.85509199999999996</v>
      </c>
      <c r="J6" s="19" t="s">
        <v>2821</v>
      </c>
      <c r="K6" s="20" t="s">
        <v>2813</v>
      </c>
      <c r="M6" s="19" t="s">
        <v>2908</v>
      </c>
      <c r="N6" s="25" t="s">
        <v>2895</v>
      </c>
      <c r="O6" s="23"/>
      <c r="P6" s="71" t="str">
        <f>Таблица2[[#This Row],[Должность]]&amp;" "&amp;Таблица2[[#This Row],[Фамилия Имя Отчество]]</f>
        <v xml:space="preserve"> Начальник участка "Хаптагай-Хая" Шмелёв Сергей Владимирович</v>
      </c>
      <c r="W6" s="58">
        <v>1.1000000000000001</v>
      </c>
    </row>
    <row r="7" spans="2:23" x14ac:dyDescent="0.2">
      <c r="E7" s="18" t="s">
        <v>2824</v>
      </c>
      <c r="F7" s="21">
        <v>3</v>
      </c>
      <c r="G7" s="110">
        <v>0.852325</v>
      </c>
      <c r="H7" s="110">
        <v>0.84254599999999991</v>
      </c>
      <c r="J7" s="19" t="s">
        <v>2825</v>
      </c>
      <c r="K7" s="20" t="s">
        <v>2813</v>
      </c>
      <c r="M7" s="22" t="s">
        <v>2826</v>
      </c>
      <c r="N7" s="25"/>
      <c r="O7" s="23"/>
      <c r="P7" s="71" t="str">
        <f>Таблица2[[#This Row],[Должность]]&amp;" "&amp;Таблица2[[#This Row],[Фамилия Имя Отчество]]</f>
        <v xml:space="preserve">Главный геолог </v>
      </c>
      <c r="W7" s="58">
        <v>1.2</v>
      </c>
    </row>
    <row r="8" spans="2:23" x14ac:dyDescent="0.2">
      <c r="E8" s="18" t="s">
        <v>2827</v>
      </c>
      <c r="F8" s="21">
        <v>13</v>
      </c>
      <c r="G8" s="110">
        <v>0.84507500000000002</v>
      </c>
      <c r="H8" s="110">
        <v>0.83516599999999996</v>
      </c>
      <c r="J8" s="19" t="s">
        <v>2828</v>
      </c>
      <c r="K8" s="20" t="s">
        <v>2813</v>
      </c>
      <c r="M8" s="22" t="s">
        <v>2829</v>
      </c>
      <c r="N8" s="25" t="s">
        <v>2830</v>
      </c>
      <c r="O8" s="23"/>
      <c r="P8" s="71" t="str">
        <f>Таблица2[[#This Row],[Должность]]&amp;" "&amp;Таблица2[[#This Row],[Фамилия Имя Отчество]]</f>
        <v>Главный маркшейдер Ефимов Сергей Федорович</v>
      </c>
    </row>
    <row r="9" spans="2:23" x14ac:dyDescent="0.2">
      <c r="E9" s="18" t="s">
        <v>2831</v>
      </c>
      <c r="F9" s="21">
        <v>15</v>
      </c>
      <c r="G9" s="110">
        <v>0.84362499999999996</v>
      </c>
      <c r="H9" s="110">
        <v>0.83368999999999993</v>
      </c>
      <c r="J9" s="19" t="s">
        <v>2832</v>
      </c>
      <c r="K9" s="20" t="s">
        <v>2833</v>
      </c>
      <c r="M9" s="22" t="s">
        <v>2834</v>
      </c>
      <c r="N9" s="25" t="s">
        <v>2835</v>
      </c>
      <c r="O9" s="23"/>
      <c r="P9" s="71" t="str">
        <f>Таблица2[[#This Row],[Должность]]&amp;" "&amp;Таблица2[[#This Row],[Фамилия Имя Отчество]]</f>
        <v xml:space="preserve"> Главный механик Круглов Сергей Юрьевич</v>
      </c>
    </row>
    <row r="10" spans="2:23" x14ac:dyDescent="0.2">
      <c r="E10" s="18" t="s">
        <v>2836</v>
      </c>
      <c r="F10" s="21">
        <v>10</v>
      </c>
      <c r="G10" s="110">
        <v>0.84724999999999995</v>
      </c>
      <c r="H10" s="110">
        <v>0.83738000000000001</v>
      </c>
      <c r="J10" s="19" t="s">
        <v>2837</v>
      </c>
      <c r="K10" s="20" t="s">
        <v>2838</v>
      </c>
      <c r="M10" s="22" t="s">
        <v>2839</v>
      </c>
      <c r="N10" s="25"/>
      <c r="O10" s="23"/>
      <c r="P10" s="71" t="str">
        <f>Таблица2[[#This Row],[Должность]]&amp;" "&amp;Таблица2[[#This Row],[Фамилия Имя Отчество]]</f>
        <v xml:space="preserve">Главный энергетик </v>
      </c>
    </row>
    <row r="11" spans="2:23" x14ac:dyDescent="0.2">
      <c r="E11" s="18" t="s">
        <v>2840</v>
      </c>
      <c r="F11" s="21">
        <v>2</v>
      </c>
      <c r="G11" s="110">
        <v>0.85304999999999997</v>
      </c>
      <c r="H11" s="110">
        <v>0.84328399999999992</v>
      </c>
      <c r="J11" s="19" t="s">
        <v>2841</v>
      </c>
      <c r="K11" s="20" t="s">
        <v>2833</v>
      </c>
      <c r="M11" s="22" t="s">
        <v>2842</v>
      </c>
      <c r="N11" s="25" t="s">
        <v>2843</v>
      </c>
      <c r="O11" s="23" t="s">
        <v>2844</v>
      </c>
      <c r="P11" s="71" t="str">
        <f>Таблица2[[#This Row],[Должность]]&amp;" "&amp;Таблица2[[#This Row],[Фамилия Имя Отчество]]</f>
        <v xml:space="preserve">Инженер ОТ и ПБ Сорокин Виталий Владимиртвич </v>
      </c>
    </row>
    <row r="12" spans="2:23" x14ac:dyDescent="0.2">
      <c r="E12" s="18" t="s">
        <v>2845</v>
      </c>
      <c r="F12" s="21">
        <v>-15</v>
      </c>
      <c r="G12" s="110">
        <v>0.86537500000000001</v>
      </c>
      <c r="H12" s="110">
        <v>0.85582999999999998</v>
      </c>
      <c r="J12" s="19" t="s">
        <v>2846</v>
      </c>
      <c r="K12" s="20" t="s">
        <v>2847</v>
      </c>
      <c r="M12" s="19" t="s">
        <v>2908</v>
      </c>
      <c r="N12" s="25" t="s">
        <v>2895</v>
      </c>
      <c r="O12" s="23" t="s">
        <v>2848</v>
      </c>
      <c r="P12" s="71" t="str">
        <f>Таблица2[[#This Row],[Должность]]&amp;" "&amp;Таблица2[[#This Row],[Фамилия Имя Отчество]]</f>
        <v xml:space="preserve"> Начальник участка "Хаптагай-Хая" Шмелёв Сергей Владимирович</v>
      </c>
    </row>
    <row r="13" spans="2:23" x14ac:dyDescent="0.2">
      <c r="E13" s="18" t="s">
        <v>2849</v>
      </c>
      <c r="F13" s="21">
        <v>-35</v>
      </c>
      <c r="G13" s="110">
        <v>0.87987499999999996</v>
      </c>
      <c r="H13" s="110">
        <v>0.87058999999999997</v>
      </c>
      <c r="J13" s="19" t="s">
        <v>2411</v>
      </c>
      <c r="K13" s="20" t="s">
        <v>2850</v>
      </c>
      <c r="M13" s="19" t="s">
        <v>2908</v>
      </c>
      <c r="N13" s="25" t="s">
        <v>2895</v>
      </c>
      <c r="O13" s="23" t="s">
        <v>2851</v>
      </c>
      <c r="P13" s="19" t="s">
        <v>2908</v>
      </c>
    </row>
    <row r="14" spans="2:23" x14ac:dyDescent="0.2">
      <c r="E14" s="18" t="s">
        <v>2852</v>
      </c>
      <c r="F14" s="21">
        <v>-46</v>
      </c>
      <c r="G14" s="110">
        <v>0.88784999999999992</v>
      </c>
      <c r="H14" s="110">
        <v>0.87870799999999993</v>
      </c>
      <c r="J14" s="19" t="s">
        <v>2853</v>
      </c>
      <c r="K14" s="20" t="s">
        <v>2854</v>
      </c>
      <c r="M14" s="19" t="s">
        <v>2855</v>
      </c>
      <c r="N14" s="25" t="s">
        <v>2896</v>
      </c>
      <c r="O14" s="23" t="s">
        <v>2856</v>
      </c>
      <c r="P14" s="71" t="str">
        <f>Таблица2[[#This Row],[Должность]]&amp;" "&amp;Таблица2[[#This Row],[Фамилия Имя Отчество]]</f>
        <v>Старший взрывник Фурман Александр Сергеевич</v>
      </c>
    </row>
    <row r="15" spans="2:23" x14ac:dyDescent="0.2">
      <c r="J15" s="22"/>
      <c r="K15" s="23"/>
      <c r="M15" s="19" t="s">
        <v>2505</v>
      </c>
      <c r="N15" s="25" t="s">
        <v>2896</v>
      </c>
      <c r="O15" s="23" t="s">
        <v>2857</v>
      </c>
      <c r="P15" s="71" t="str">
        <f>Таблица2[[#This Row],[Должность]]&amp;" "&amp;Таблица2[[#This Row],[Фамилия Имя Отчество]]</f>
        <v>Взрывник Фурман Александр Сергеевич</v>
      </c>
    </row>
    <row r="16" spans="2:23" x14ac:dyDescent="0.2">
      <c r="J16" s="29"/>
      <c r="K16" s="30"/>
      <c r="M16" s="19" t="s">
        <v>2822</v>
      </c>
      <c r="N16" s="25" t="s">
        <v>2823</v>
      </c>
      <c r="O16" s="51" t="s">
        <v>2858</v>
      </c>
      <c r="P16" s="71" t="str">
        <f>Таблица2[[#This Row],[Должность]]&amp;" "&amp;Таблица2[[#This Row],[Фамилия Имя Отчество]]</f>
        <v>Начальник участка БВР Сырбу Генадий Петрович</v>
      </c>
      <c r="Q16" s="69"/>
    </row>
    <row r="17" spans="13:19" x14ac:dyDescent="0.2">
      <c r="M17" s="19" t="s">
        <v>2855</v>
      </c>
      <c r="N17" s="25" t="s">
        <v>2896</v>
      </c>
      <c r="O17" s="51" t="s">
        <v>2859</v>
      </c>
      <c r="P17" s="71" t="str">
        <f>Таблица2[[#This Row],[Должность]]&amp;" "&amp;Таблица2[[#This Row],[Фамилия Имя Отчество]]</f>
        <v>Старший взрывник Фурман Александр Сергеевич</v>
      </c>
      <c r="Q17" s="69"/>
    </row>
    <row r="18" spans="13:19" x14ac:dyDescent="0.2">
      <c r="M18" s="19" t="s">
        <v>2908</v>
      </c>
      <c r="N18" s="25" t="s">
        <v>2895</v>
      </c>
      <c r="O18" s="51" t="s">
        <v>2860</v>
      </c>
      <c r="P18" s="71" t="str">
        <f>Таблица2[[#This Row],[Должность]]&amp;" "&amp;Таблица2[[#This Row],[Фамилия Имя Отчество]]</f>
        <v xml:space="preserve"> Начальник участка "Хаптагай-Хая" Шмелёв Сергей Владимирович</v>
      </c>
      <c r="Q18" s="69"/>
    </row>
    <row r="19" spans="13:19" x14ac:dyDescent="0.2">
      <c r="M19" s="19" t="s">
        <v>2908</v>
      </c>
      <c r="N19" s="25" t="s">
        <v>2895</v>
      </c>
      <c r="O19" s="51" t="s">
        <v>2861</v>
      </c>
      <c r="P19" s="71" t="str">
        <f>Таблица2[[#This Row],[Должность]]&amp;" "&amp;Таблица2[[#This Row],[Фамилия Имя Отчество]]</f>
        <v xml:space="preserve"> Начальник участка "Хаптагай-Хая" Шмелёв Сергей Владимирович</v>
      </c>
      <c r="Q19" s="69"/>
    </row>
    <row r="20" spans="13:19" x14ac:dyDescent="0.2">
      <c r="M20" s="19" t="s">
        <v>2908</v>
      </c>
      <c r="N20" s="25" t="s">
        <v>2895</v>
      </c>
      <c r="O20" s="19" t="s">
        <v>2909</v>
      </c>
      <c r="P20" s="25" t="s">
        <v>2895</v>
      </c>
      <c r="Q20" s="69"/>
    </row>
    <row r="21" spans="13:19" x14ac:dyDescent="0.2">
      <c r="M21" s="19" t="s">
        <v>2908</v>
      </c>
      <c r="N21" s="25" t="s">
        <v>2895</v>
      </c>
      <c r="O21" s="19" t="s">
        <v>2909</v>
      </c>
      <c r="P21" s="25" t="s">
        <v>2895</v>
      </c>
      <c r="Q21" s="69"/>
    </row>
    <row r="22" spans="13:19" x14ac:dyDescent="0.2">
      <c r="M22" s="19" t="s">
        <v>2908</v>
      </c>
      <c r="N22" s="25" t="s">
        <v>2895</v>
      </c>
      <c r="O22" s="19" t="s">
        <v>2909</v>
      </c>
      <c r="P22" s="25" t="s">
        <v>2895</v>
      </c>
      <c r="Q22" s="69"/>
    </row>
    <row r="23" spans="13:19" x14ac:dyDescent="0.2">
      <c r="M23" s="19" t="s">
        <v>2862</v>
      </c>
      <c r="N23" s="25"/>
      <c r="O23" s="51"/>
      <c r="P23" s="71" t="str">
        <f>Таблица2[[#This Row],[Должность]]&amp;" "&amp;Таблица2[[#This Row],[Фамилия Имя Отчество]]</f>
        <v xml:space="preserve">Маркшейдер </v>
      </c>
      <c r="Q23" s="69"/>
    </row>
    <row r="24" spans="13:19" x14ac:dyDescent="0.2">
      <c r="M24" s="19" t="s">
        <v>2506</v>
      </c>
      <c r="N24" s="25"/>
      <c r="O24" s="20" t="s">
        <v>2863</v>
      </c>
      <c r="P24" s="72" t="str">
        <f>Таблица2[[#This Row],[Должность]]&amp;" "&amp;Таблица2[[#This Row],[Фамилия Имя Отчество]]</f>
        <v xml:space="preserve">Водитель  </v>
      </c>
      <c r="Q24" s="70"/>
    </row>
    <row r="26" spans="13:19" x14ac:dyDescent="0.2">
      <c r="N26" s="68" t="s">
        <v>2494</v>
      </c>
    </row>
    <row r="27" spans="13:19" x14ac:dyDescent="0.2">
      <c r="S27" s="63"/>
    </row>
  </sheetData>
  <conditionalFormatting sqref="F3:F14">
    <cfRule type="cellIs" dxfId="24" priority="5" operator="greaterThan">
      <formula>0</formula>
    </cfRule>
    <cfRule type="cellIs" dxfId="23" priority="6" operator="lessThan">
      <formula>0</formula>
    </cfRule>
  </conditionalFormatting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22</vt:i4>
      </vt:variant>
      <vt:variant>
        <vt:lpstr>Именованные диапазоны</vt:lpstr>
      </vt:variant>
      <vt:variant>
        <vt:i4>24</vt:i4>
      </vt:variant>
    </vt:vector>
  </HeadingPairs>
  <TitlesOfParts>
    <vt:vector size="46" baseType="lpstr">
      <vt:lpstr>Зарядная карта</vt:lpstr>
      <vt:lpstr>Каталог скважин</vt:lpstr>
      <vt:lpstr>Параметры</vt:lpstr>
      <vt:lpstr>&lt;</vt:lpstr>
      <vt:lpstr>Обложка</vt:lpstr>
      <vt:lpstr>АКТ</vt:lpstr>
      <vt:lpstr>2</vt:lpstr>
      <vt:lpstr>Распорядок</vt:lpstr>
      <vt:lpstr>Таблица</vt:lpstr>
      <vt:lpstr>5</vt:lpstr>
      <vt:lpstr>7</vt:lpstr>
      <vt:lpstr>8</vt:lpstr>
      <vt:lpstr>не печатать!!!</vt:lpstr>
      <vt:lpstr>11</vt:lpstr>
      <vt:lpstr>12</vt:lpstr>
      <vt:lpstr>13</vt:lpstr>
      <vt:lpstr>14</vt:lpstr>
      <vt:lpstr>15</vt:lpstr>
      <vt:lpstr>16</vt:lpstr>
      <vt:lpstr>17</vt:lpstr>
      <vt:lpstr>&gt;</vt:lpstr>
      <vt:lpstr>Справочник</vt:lpstr>
      <vt:lpstr>d_скважины</vt:lpstr>
      <vt:lpstr>h_уступа</vt:lpstr>
      <vt:lpstr>l_скважины</vt:lpstr>
      <vt:lpstr>n_скважин</vt:lpstr>
      <vt:lpstr>S_массива</vt:lpstr>
      <vt:lpstr>ДатаВзрыва</vt:lpstr>
      <vt:lpstr>'Каталог скважин'!Заголовки_для_печати</vt:lpstr>
      <vt:lpstr>КИС</vt:lpstr>
      <vt:lpstr>'11'!Область_печати</vt:lpstr>
      <vt:lpstr>'12'!Область_печати</vt:lpstr>
      <vt:lpstr>'13'!Область_печати</vt:lpstr>
      <vt:lpstr>'16'!Область_печати</vt:lpstr>
      <vt:lpstr>'2'!Область_печати</vt:lpstr>
      <vt:lpstr>'5'!Область_печати</vt:lpstr>
      <vt:lpstr>'7'!Область_печати</vt:lpstr>
      <vt:lpstr>'8'!Область_печати</vt:lpstr>
      <vt:lpstr>АКТ!Область_печати</vt:lpstr>
      <vt:lpstr>'Зарядная карта'!Область_печати</vt:lpstr>
      <vt:lpstr>'не печатать!!!'!Область_печати</vt:lpstr>
      <vt:lpstr>Таблица!Область_печати</vt:lpstr>
      <vt:lpstr>Плотность_ВВ</vt:lpstr>
      <vt:lpstr>Плотность_ДТ</vt:lpstr>
      <vt:lpstr>Селитра</vt:lpstr>
      <vt:lpstr>Скважины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Чернушенко</dc:creator>
  <cp:lastModifiedBy>poisk-40</cp:lastModifiedBy>
  <cp:lastPrinted>2026-05-23T00:40:57Z</cp:lastPrinted>
  <dcterms:created xsi:type="dcterms:W3CDTF">2018-04-07T01:45:57Z</dcterms:created>
  <dcterms:modified xsi:type="dcterms:W3CDTF">2026-05-23T23:46:11Z</dcterms:modified>
</cp:coreProperties>
</file>